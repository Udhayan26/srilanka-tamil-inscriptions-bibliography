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Articles'!$A$1:$M$87</definedName>
    <definedName name="_xlnm._FilterDatabase" localSheetId="4" hidden="1">'Magazines &amp; Journals'!$A$1:$M$110</definedName>
    <definedName name="_xlnm._FilterDatabase" localSheetId="5" hidden="1">'Web Articles'!$A$1:$M$162</definedName>
    <definedName name="_xlnm._FilterDatabase" localSheetId="6" hidden="1">'All Records'!$A$1:$N$562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telo.org/wp-content/uploads/2021/01/COINS-OF-ANCIENT-JAFFNA-REVISED-PDF.pdf" TargetMode="External" Id="rId11" /><Relationship Type="http://schemas.openxmlformats.org/officeDocument/2006/relationships/hyperlink" Target="https://www.lankapradeepa.com/2021/06/rock-paintings-and-engraving-sites-in.html" TargetMode="External" Id="rId12" /><Relationship Type="http://schemas.openxmlformats.org/officeDocument/2006/relationships/hyperlink" Target="https://amazinglanka.com/wp/sankiliyatital/" TargetMode="External" Id="rId13" /><Relationship Type="http://schemas.openxmlformats.org/officeDocument/2006/relationships/hyperlink" Target="https://ta.wikipedia.org/wiki/%E0%AE%A4%E0%AF%87%E0%AE%B5%E0%AE%A9%E0%AE%BE%E0%AE%AE%E0%AF%8D%E0%AE%AA%E0%AE%BF%E0%AE%B0%E0%AE%BF%E0%AE%AF%E0%AE%BE" TargetMode="External" Id="rId14" /><Relationship Type="http://schemas.openxmlformats.org/officeDocument/2006/relationships/hyperlink" Target="https://ta.wikipedia.org/wiki/%E0%AE%95%E0%AF%8B%E0%AE%AE%E0%AE%B0%E0%AE%99%E0%AF%8D%E0%AE%95%E0%AE%9F%E0%AE%B5%E0%AE%B2%E0%AF%88_%E0%AE%95%E0%AE%B2%E0%AF%8D%E0%AE%B5%E0%AF%86%E0%AE%9F%E0%AF%8D%E0%AE%9F%E0%AF%81" TargetMode="External" Id="rId15" /><Relationship Type="http://schemas.openxmlformats.org/officeDocument/2006/relationships/hyperlink" Target="https://www.nimirvu.org/2020/01/blog-post_14.html" TargetMode="External" Id="rId16" /><Relationship Type="http://schemas.openxmlformats.org/officeDocument/2006/relationships/hyperlink" Target="https://www.lankapradeepa.com/2020/04/tamil-inscriptions-in-sri-lanka_16.html" TargetMode="External" Id="rId17" /><Relationship Type="http://schemas.openxmlformats.org/officeDocument/2006/relationships/hyperlink" Target="https://en.wikipedia.org/wiki/Pottery_of_Sri_Lanka" TargetMode="External" Id="rId18" /><Relationship Type="http://schemas.openxmlformats.org/officeDocument/2006/relationships/hyperlink" Target="https://www.lankapradeepa.com/2019/04/fort-fredrick-trincomalee.html" TargetMode="External" Id="rId19" /><Relationship Type="http://schemas.openxmlformats.org/officeDocument/2006/relationships/hyperlink" Target="https://en.wikipedia.org/wiki/Tamil_inscriptions" TargetMode="External" Id="rId20"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1" /><Relationship Type="http://schemas.openxmlformats.org/officeDocument/2006/relationships/hyperlink" Target="https://en.wikipedia.org/wiki/Mantri_Manai" TargetMode="External" Id="rId22"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3" /><Relationship Type="http://schemas.openxmlformats.org/officeDocument/2006/relationships/hyperlink" Target="https://en.wikipedia.org/wiki/Velgam_Vehera" TargetMode="External" Id="rId24" /><Relationship Type="http://schemas.openxmlformats.org/officeDocument/2006/relationships/hyperlink" Target="https://en.wikipedia.org/wiki/Kulakkottan" TargetMode="External" Id="rId25"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6" /><Relationship Type="http://schemas.openxmlformats.org/officeDocument/2006/relationships/hyperlink" Target="https://ta.wikipedia.org/wiki/%E0%AE%95%E0%AE%A8%E0%AF%8D%E0%AE%A4%E0%AE%B0%E0%AF%8B%E0%AE%9F%E0%AF%88_%E0%AE%A4%E0%AF%8A%E0%AE%B2%E0%AF%8D%E0%AE%B2%E0%AE%BF%E0%AE%AF%E0%AE%B2%E0%AF%8D_%E0%AE%95%E0%AE%B3%E0%AE%AE%E0%AF%8D" TargetMode="External" Id="rId27" /><Relationship Type="http://schemas.openxmlformats.org/officeDocument/2006/relationships/hyperlink" Target="https://ta.wikipedia.org/wiki/%E0%AE%86._%E0%AE%B5%E0%AF%87%E0%AE%B2%E0%AF%81%E0%AE%AA%E0%AF%8D%E0%AE%AA%E0%AE%BF%E0%AE%B3%E0%AF%8D%E0%AE%B3%E0%AF%88" TargetMode="External" Id="rId28" /><Relationship Type="http://schemas.openxmlformats.org/officeDocument/2006/relationships/hyperlink" Target="https://en.wikipedia.org/wiki/Anuradhapura_Museum" TargetMode="External" Id="rId29" /><Relationship Type="http://schemas.openxmlformats.org/officeDocument/2006/relationships/hyperlink" Target="https://ta.wikipedia.org/wiki/%E0%AE%B5%E0%AF%86%E0%AE%B8%E0%AF%8D%E0%AE%B8%E0%AE%95%E0%AE%BF%E0%AE%B0%E0%AE%BF%E0%AE%AF" TargetMode="External" Id="rId30"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1" /><Relationship Type="http://schemas.openxmlformats.org/officeDocument/2006/relationships/hyperlink" Target="https://ta.wikipedia.org/wiki/%E0%AE%9A%E0%AF%87%E0%AE%A9%E0%AE%B0%E0%AE%A4%E0%AF%8D_%E0%AE%AA%E0%AE%B0%E0%AE%A3%E0%AE%B5%E0%AE%BF%E0%AE%A4%E0%AE%BE%E0%AE%A9" TargetMode="External" Id="rId32"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3" /><Relationship Type="http://schemas.openxmlformats.org/officeDocument/2006/relationships/hyperlink" Target="https://ta.wikipedia.org/wiki/%E0%AE%9A%E0%AE%BF%E0%AE%B0%E0%AE%BE%E0%AE%A9%E0%AF%8D_%E0%AE%89%E0%AE%AA%E0%AF%87%E0%AE%A8%E0%AF%8D%E0%AE%A4%E0%AE%BF%E0%AE%B0_%E0%AE%A4%E0%AF%86%E0%AE%B0%E0%AE%A3%E0%AE%BF%E0%AE%AF%E0%AE%95%E0%AE%B2" TargetMode="External" Id="rId34"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5"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6"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7"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8"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9" /><Relationship Type="http://schemas.openxmlformats.org/officeDocument/2006/relationships/hyperlink" Target="https://ta.wikipedia.org/wiki/%E0%AE%AA%E0%AE%B3%E0%AE%AE%E0%AF%8B%E0%AE%9F%E0%AF%8D%E0%AE%9F%E0%AF%88%E0%AE%95%E0%AF%8D_%E0%AE%95%E0%AE%B2%E0%AF%8D%E0%AE%B5%E0%AF%86%E0%AE%9F%E0%AF%8D%E0%AE%9F%E0%AF%81" TargetMode="External" Id="rId40" /><Relationship Type="http://schemas.openxmlformats.org/officeDocument/2006/relationships/hyperlink" Target="https://ta.wikipedia.org/wiki/%E0%AE%AE%E0%AE%BE%E0%AE%A9%E0%AE%BE%E0%AE%99%E0%AF%8D%E0%AE%95%E0%AF%87%E0%AE%A3%E0%AE%BF%E0%AE%95%E0%AF%8D_%E0%AE%95%E0%AE%B2%E0%AF%8D%E0%AE%B5%E0%AF%86%E0%AE%9F%E0%AF%8D%E0%AE%9F%E0%AF%81" TargetMode="External" Id="rId41" /><Relationship Type="http://schemas.openxmlformats.org/officeDocument/2006/relationships/hyperlink" Target="https://ta.wikipedia.org/wiki/%E0%AE%A8%E0%AE%BF%E0%AE%B2%E0%AE%BE%E0%AE%B5%E0%AF%86%E0%AE%B3%E0%AE%BF%E0%AE%95%E0%AF%8D_%E0%AE%95%E0%AE%B2%E0%AF%8D%E0%AE%B5%E0%AF%86%E0%AE%9F%E0%AF%8D%E0%AE%9F%E0%AF%81" TargetMode="External" Id="rId42" /><Relationship Type="http://schemas.openxmlformats.org/officeDocument/2006/relationships/hyperlink" Target="https://ta.wikipedia.org/wiki/%E0%AE%85%E0%AE%A4%E0%AE%B0%E0%AE%95%E0%AF%81%E0%AE%B3%E0%AE%BF%E0%AE%AF_%E0%AE%95%E0%AE%B2%E0%AF%8D%E0%AE%B5%E0%AF%86%E0%AE%9F%E0%AF%8D%E0%AE%9F%E0%AF%81" TargetMode="External" Id="rId43" /><Relationship Type="http://schemas.openxmlformats.org/officeDocument/2006/relationships/hyperlink" Target="https://ta.wikipedia.org/wiki/%E0%AE%86%E0%AE%A4%E0%AE%95%E0%AE%9F_%E0%AE%95%E0%AE%B2%E0%AF%8D%E0%AE%B5%E0%AF%86%E0%AE%9F%E0%AF%8D%E0%AE%9F%E0%AF%81" TargetMode="External" Id="rId44"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5"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6"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7" /><Relationship Type="http://schemas.openxmlformats.org/officeDocument/2006/relationships/hyperlink" Target="https://en.wikipedia.org/wiki/Department_of_Archaeology_%28Sri_Lanka%29" TargetMode="External" Id="rId48" /><Relationship Type="http://schemas.openxmlformats.org/officeDocument/2006/relationships/hyperlink" Target="https://en.wikipedia.org/wiki/Megalithic_graffiti_symbols" TargetMode="External" Id="rId49"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0"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1"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2"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3" /><Relationship Type="http://schemas.openxmlformats.org/officeDocument/2006/relationships/hyperlink" Target="https://ta.wikipedia.org/wiki/%E0%AE%A8%E0%AE%AF%E0%AE%BF%E0%AE%A9%E0%AE%BE%E0%AE%A4%E0%AF%80%E0%AE%B5%E0%AF%81%E0%AE%95%E0%AF%8D_%E0%AE%95%E0%AE%B2%E0%AF%8D%E0%AE%B5%E0%AF%86%E0%AE%9F%E0%AF%8D%E0%AE%9F%E0%AF%81" TargetMode="External" Id="rId54"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5"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6"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7" /><Relationship Type="http://schemas.openxmlformats.org/officeDocument/2006/relationships/hyperlink" Target="https://ta.wikipedia.org/wiki/%E0%AE%9A%E0%AF%80%E0%AE%A9%E0%AE%B0%E0%AF%8D_-_%E0%AE%A4%E0%AE%AE%E0%AE%BF%E0%AE%B4%E0%AE%B0%E0%AF%8D_%E0%AE%A4%E0%AF%8A%E0%AE%9F%E0%AE%B0%E0%AF%8D%E0%AE%AA%E0%AF%81%E0%AE%95%E0%AE%B3%E0%AF%8D" TargetMode="External" Id="rId58" /><Relationship Type="http://schemas.openxmlformats.org/officeDocument/2006/relationships/hyperlink" Target="https://ta.wikipedia.org/wiki/%E0%AE%B5%E0%AF%87%E0%AE%B3%E0%AE%BF%E0%AE%B0%E0%AF%8D_%28%E0%AE%88%E0%AE%B4%E0%AE%AE%E0%AF%8D%29" TargetMode="External" Id="rId59" /><Relationship Type="http://schemas.openxmlformats.org/officeDocument/2006/relationships/hyperlink" Target="https://en.wikipedia.org/wiki/Archaeological_Museum%2C_Jaffna" TargetMode="External" Id="rId60" /><Relationship Type="http://schemas.openxmlformats.org/officeDocument/2006/relationships/hyperlink" Target="https://en.wikipedia.org/wiki/History_of_the_Jaffna_kingdom" TargetMode="External" Id="rId61" /><Relationship Type="http://schemas.openxmlformats.org/officeDocument/2006/relationships/hyperlink" Target="https://southeastasianarchaeology.com/2012/06/27/prehistoric-skeleton-found-in-sri-lanka" TargetMode="External" Id="rId62" /><Relationship Type="http://schemas.openxmlformats.org/officeDocument/2006/relationships/hyperlink" Target="https://en.wikipedia.org/wiki/Anaikoddai_seal" TargetMode="External" Id="rId63"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4" /><Relationship Type="http://schemas.openxmlformats.org/officeDocument/2006/relationships/hyperlink" Target="https://ta.wikipedia.org/wiki/%E0%AE%AE%E0%AE%9F%E0%AF%8D%E0%AE%9F%E0%AE%95%E0%AF%8D%E0%AE%95%E0%AE%B3%E0%AE%AA%E0%AF%8D%E0%AE%AA%E0%AF%81_%E0%AE%AE%E0%AE%BE%E0%AE%A9%E0%AF%8D%E0%AE%AE%E0%AE%BF%E0%AE%AF%E0%AE%AE%E0%AF%8D" TargetMode="External" Id="rId65"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6" /><Relationship Type="http://schemas.openxmlformats.org/officeDocument/2006/relationships/hyperlink" Target="https://en.wikipedia.org/wiki/Tissamaharama_inscription_No._53" TargetMode="External" Id="rId67" /><Relationship Type="http://schemas.openxmlformats.org/officeDocument/2006/relationships/hyperlink" Target="https://en.wikipedia.org/wiki/Galle_Trilingual_Inscription" TargetMode="External" Id="rId68" /><Relationship Type="http://schemas.openxmlformats.org/officeDocument/2006/relationships/hyperlink" Target="https://en.wikipedia.org/wiki/Prehistory_of_Sri_Lanka" TargetMode="External" Id="rId69" /><Relationship Type="http://schemas.openxmlformats.org/officeDocument/2006/relationships/hyperlink" Target="https://ta.wikipedia.org/wiki/%E0%AE%95%E0%AE%BE._%E0%AE%87%E0%AE%A8%E0%AF%8D%E0%AE%A4%E0%AE%BF%E0%AE%B0%E0%AE%AA%E0%AE%BE%E0%AE%B2%E0%AE%BE" TargetMode="External" Id="rId70" /><Relationship Type="http://schemas.openxmlformats.org/officeDocument/2006/relationships/hyperlink" Target="https://en.wikipedia.org/wiki/Kandarodai" TargetMode="External" Id="rId71" /><Relationship Type="http://schemas.openxmlformats.org/officeDocument/2006/relationships/hyperlink" Target="https://en.wikipedia.org/wiki/Sri_Lankan_Tamil_literature" TargetMode="External" Id="rId72" /><Relationship Type="http://schemas.openxmlformats.org/officeDocument/2006/relationships/hyperlink" Target="https://en.wikipedia.org/wiki/Kotagama_inscription" TargetMode="External" Id="rId73" /><Relationship Type="http://schemas.openxmlformats.org/officeDocument/2006/relationships/hyperlink" Target="https://ta.wikipedia.org/wiki/%E0%AE%A4%E0%AE%AE%E0%AE%BF%E0%AE%B4%E0%AE%BF" TargetMode="External" Id="rId74" /><Relationship Type="http://schemas.openxmlformats.org/officeDocument/2006/relationships/hyperlink" Target="https://en.wikipedia.org/wiki/Naga_people_%28Lanka%29" TargetMode="External" Id="rId75" /><Relationship Type="http://schemas.openxmlformats.org/officeDocument/2006/relationships/hyperlink" Target="https://en.wikipedia.org/wiki/Jaffna_kingdom" TargetMode="External" Id="rId76" /><Relationship Type="http://schemas.openxmlformats.org/officeDocument/2006/relationships/hyperlink" Target="https://en.wikipedia.org/wiki/Sri_Lankan_Tamils" TargetMode="External" Id="rId77" /><Relationship Type="http://schemas.openxmlformats.org/officeDocument/2006/relationships/hyperlink" Target="https://ta.wikipedia.org/wiki/%E0%AE%AA%E0%AF%8A._%E0%AE%AA%E0%AF%82%E0%AE%B2%E0%AF%8B%E0%AE%95%E0%AE%9A%E0%AE%BF%E0%AE%99%E0%AF%8D%E0%AE%95%E0%AE%AE%E0%AF%8D" TargetMode="External" Id="rId78" /><Relationship Type="http://schemas.openxmlformats.org/officeDocument/2006/relationships/hyperlink" Target="https://en.wikipedia.org/wiki/Velanai" TargetMode="External" Id="rId79"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0" /><Relationship Type="http://schemas.openxmlformats.org/officeDocument/2006/relationships/hyperlink" Target="https://en.wikipedia.org/wiki/Tamil-Brahmi" TargetMode="External" Id="rId81" /><Relationship Type="http://schemas.openxmlformats.org/officeDocument/2006/relationships/hyperlink" Target="https://en.wikipedia.org/wiki/Batticaloa" TargetMode="External" Id="rId82" /><Relationship Type="http://schemas.openxmlformats.org/officeDocument/2006/relationships/hyperlink" Target="https://en.wikipedia.org/wiki/Hinduism_in_Sri_Lanka" TargetMode="External" Id="rId83" /><Relationship Type="http://schemas.openxmlformats.org/officeDocument/2006/relationships/hyperlink" Target="https://sangam.org/kantarodai-civilization-ancient-jaffna/" TargetMode="External" Id="rId84" /><Relationship Type="http://schemas.openxmlformats.org/officeDocument/2006/relationships/hyperlink" Target="https://www.researchgate.net/publication/335939791_Contested_Histories_Multi-Religious_Space_and_Conflict_A_Case_Study_of_Kantarodai_in_Northern_Sri_Lanka" TargetMode="External" Id="rId85" /><Relationship Type="http://schemas.openxmlformats.org/officeDocument/2006/relationships/hyperlink" Target="https://www.academia.edu/83422032/Contested_Histories_Multi_Religious_Space_and_Conflict_A_Case_Study_of_Kantarodai_in_Northern_Sri_Lanka" TargetMode="External" Id="rId86" /><Relationship Type="http://schemas.openxmlformats.org/officeDocument/2006/relationships/hyperlink" Target="https://www.researchgate.net/publication/365603730_Lifeways_of_Early_Kantharodai_Sri_Lanka" TargetMode="External" Id="rId87" /><Relationship Type="http://schemas.openxmlformats.org/officeDocument/2006/relationships/hyperlink" Target="https://www.academia.edu/123922554/Lifeways_of_Early_Kantharodai_Sri_Lanka" TargetMode="External" Id="rId88" /><Relationship Type="http://schemas.openxmlformats.org/officeDocument/2006/relationships/hyperlink" Target="https://amazinglanka.com/wp/buddhist-shrines-in-batticaloa-and-ampara/" TargetMode="External" Id="rId89" /><Relationship Type="http://schemas.openxmlformats.org/officeDocument/2006/relationships/hyperlink" Target="https://archaeology.gov.lk/index.php/ancient-coins" TargetMode="External" Id="rId90" /><Relationship Type="http://schemas.openxmlformats.org/officeDocument/2006/relationships/hyperlink" Target="https://lankawebsites.com/blog/ancient-civilization-archaeology/ancient-coins-and-trade-evidence" TargetMode="External" Id="rId91" /><Relationship Type="http://schemas.openxmlformats.org/officeDocument/2006/relationships/hyperlink" Target="https://grokipedia.com/page/ancient_kadurugoda_viharaya" TargetMode="External" Id="rId92" /><Relationship Type="http://schemas.openxmlformats.org/officeDocument/2006/relationships/hyperlink" Target="https://www.tamilguardian.com/content/ancient-pandyan-coins-unearthed-mannar" TargetMode="External" Id="rId93" /><Relationship Type="http://schemas.openxmlformats.org/officeDocument/2006/relationships/hyperlink" Target="https://www.talesofceylon.com/destinations/jaffna/attractions-in-jaffna/archaeological-museum-of-jaffna/" TargetMode="External" Id="rId94" /><Relationship Type="http://schemas.openxmlformats.org/officeDocument/2006/relationships/hyperlink" Target="https://en.wikipedia.org/wiki/Archaeological_Museum,_Jaffna" TargetMode="External" Id="rId95" /><Relationship Type="http://schemas.openxmlformats.org/officeDocument/2006/relationships/hyperlink" Target="https://www.inscriptions.lk/brahmi-alphabet/?lang=en" TargetMode="External" Id="rId96" /><Relationship Type="http://schemas.openxmlformats.org/officeDocument/2006/relationships/hyperlink" Target="https://en.wikipedia.org/wiki/Brahmi_script" TargetMode="External" Id="rId97" /><Relationship Type="http://schemas.openxmlformats.org/officeDocument/2006/relationships/hyperlink" Target="https://en.wikipedia.org/wiki/Buddhism_amongst_Tamils_in_Sri_Lanka" TargetMode="External" Id="rId98" /><Relationship Type="http://schemas.openxmlformats.org/officeDocument/2006/relationships/hyperlink" Target="https://amazinglanka.com/wp/jaffna/" TargetMode="External" Id="rId99" /><Relationship Type="http://schemas.openxmlformats.org/officeDocument/2006/relationships/hyperlink" Target="https://amazinglanka.com/wp/tikali/" TargetMode="External" Id="rId100" /><Relationship Type="http://schemas.openxmlformats.org/officeDocument/2006/relationships/hyperlink" Target="https://en.wikipedia.org/wiki/Cankilian_Thoppu" TargetMode="External" Id="rId101" /><Relationship Type="http://schemas.openxmlformats.org/officeDocument/2006/relationships/hyperlink" Target="https://archaeology.gov.lk/coins/query/adsearch.php?lang=en" TargetMode="External" Id="rId102" /><Relationship Type="http://schemas.openxmlformats.org/officeDocument/2006/relationships/hyperlink" Target="https://www.dainst.org/en/newsroom/exploring-ancient-kantarodai-season-2026/918" TargetMode="External" Id="rId103" /><Relationship Type="http://schemas.openxmlformats.org/officeDocument/2006/relationships/hyperlink" Target="https://www.elanka.com.au/hero-stones-in-sri-lankas-past-by-ama-h-vanniarachchy/" TargetMode="External" Id="rId104" /><Relationship Type="http://schemas.openxmlformats.org/officeDocument/2006/relationships/hyperlink" Target="https://searchworks.stanford.edu/view/14451040" TargetMode="External" Id="rId105" /><Relationship Type="http://schemas.openxmlformats.org/officeDocument/2006/relationships/hyperlink" Target="https://inscriptions.lk/db/VInscriptionsView/1220?language=en-US" TargetMode="External" Id="rId106" /><Relationship Type="http://schemas.openxmlformats.org/officeDocument/2006/relationships/hyperlink" Target="https://www.inscriptions.lk/?lang=en" TargetMode="External" Id="rId107" /><Relationship Type="http://schemas.openxmlformats.org/officeDocument/2006/relationships/hyperlink" Target="https://www.tripadvisor.com/Attraction_Review-g304135-d8865728-Reviews-Jaffna_Archaeological_Museum-Jaffna_Northern_Province.html" TargetMode="External" Id="rId108" /><Relationship Type="http://schemas.openxmlformats.org/officeDocument/2006/relationships/hyperlink" Target="https://jaffna.top/jaffna-archaeological-museum-nallur/" TargetMode="External" Id="rId109" /><Relationship Type="http://schemas.openxmlformats.org/officeDocument/2006/relationships/hyperlink" Target="https://srilankatravelpages.com/listing/jaffna-archaeological-museum/" TargetMode="External" Id="rId110" /><Relationship Type="http://schemas.openxmlformats.org/officeDocument/2006/relationships/hyperlink" Target="https://srilankatourhelp.org/articles/explore-rich-heritage-jaffna-archaeological-museum" TargetMode="External" Id="rId111" /><Relationship Type="http://schemas.openxmlformats.org/officeDocument/2006/relationships/hyperlink" Target="https://jaffna-archaeological-museum-sri-lanka.about.lk/" TargetMode="External" Id="rId112" /><Relationship Type="http://schemas.openxmlformats.org/officeDocument/2006/relationships/hyperlink" Target="https://amazinglanka.com/wp/jaffna-museum/" TargetMode="External" Id="rId113" /><Relationship Type="http://schemas.openxmlformats.org/officeDocument/2006/relationships/hyperlink" Target="https://i-discoverasia.com/walks/jaffna-university-city-walk-sri-lanka/locations/jaffna-archaeological-museum-sri-lanka/" TargetMode="External" Id="rId114" /><Relationship Type="http://schemas.openxmlformats.org/officeDocument/2006/relationships/hyperlink" Target="https://journesrilanka.com/trips/jaffna-archeology-tour/" TargetMode="External" Id="rId115" /><Relationship Type="http://schemas.openxmlformats.org/officeDocument/2006/relationships/hyperlink" Target="https://www.lanka-excursions-holidays.com/kandarodai.html" TargetMode="External" Id="rId116" /><Relationship Type="http://schemas.openxmlformats.org/officeDocument/2006/relationships/hyperlink" Target="https://www.atlasobscura.com/places/kantharodai" TargetMode="External" Id="rId117" /><Relationship Type="http://schemas.openxmlformats.org/officeDocument/2006/relationships/hyperlink" Target="https://amazinglanka.com/wp/kurullangala/" TargetMode="External" Id="rId118" /><Relationship Type="http://schemas.openxmlformats.org/officeDocument/2006/relationships/hyperlink" Target="https://asianartnewspaper.com/the-mysterious-rock-art-of-kurullangala/" TargetMode="External" Id="rId119" /><Relationship Type="http://schemas.openxmlformats.org/officeDocument/2006/relationships/hyperlink" Target="https://en.wikipedia.org/wiki/List_of_Archaeological_Protected_Monuments_in_Jaffna_District" TargetMode="External" Id="rId120" /><Relationship Type="http://schemas.openxmlformats.org/officeDocument/2006/relationships/hyperlink" Target="https://amazinglanka.com/wp/manniththalai-settlements/" TargetMode="External" Id="rId121" /><Relationship Type="http://schemas.openxmlformats.org/officeDocument/2006/relationships/hyperlink" Target="https://archaeology.gov.lk/index.php/about/sections/museums" TargetMode="External" Id="rId122" /><Relationship Type="http://schemas.openxmlformats.org/officeDocument/2006/relationships/hyperlink" Target="https://tamildiplomat.com/new-archaeological-evidence/" TargetMode="External" Id="rId123"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24" /><Relationship Type="http://schemas.openxmlformats.org/officeDocument/2006/relationships/hyperlink" Target="https://tamilwritersguild.com/Tamil%20Brahmi%20Inscription%20Belonging%20to%2022_240119_110151.pdf" TargetMode="External" Id="rId125" /><Relationship Type="http://schemas.openxmlformats.org/officeDocument/2006/relationships/hyperlink" Target="http://repo.lib.jfn.ac.lk:8080/ujrr/bitstream/123456789/865/2/JUICE2014-Tamil%20Brahmi%20Inscription%20Belonging%20to%202200%20years%20ago%2C.pdf" TargetMode="External" Id="rId126" /><Relationship Type="http://schemas.openxmlformats.org/officeDocument/2006/relationships/hyperlink" Target="https://en.wikipedia.org/wiki/Pandya_coinage" TargetMode="External" Id="rId127" /><Relationship Type="http://schemas.openxmlformats.org/officeDocument/2006/relationships/hyperlink" Target="https://www.bradshawfoundation.com/sri_lanka/gallery/index.php" TargetMode="External" Id="rId128" /><Relationship Type="http://schemas.openxmlformats.org/officeDocument/2006/relationships/hyperlink" Target="https://www.bradshawfoundation.com/sri_lanka/rock_paintings_engraving_sites/index.php" TargetMode="External" Id="rId129" /><Relationship Type="http://schemas.openxmlformats.org/officeDocument/2006/relationships/hyperlink" Target="https://www.scribd.com/document/459454071/srilanka-herostone-pdf" TargetMode="External" Id="rId130" /><Relationship Type="http://schemas.openxmlformats.org/officeDocument/2006/relationships/hyperlink" Target="https://en.wikipedia.org/wiki/Sources_of_ancient_Tamil_history" TargetMode="External" Id="rId131" /><Relationship Type="http://schemas.openxmlformats.org/officeDocument/2006/relationships/hyperlink" Target="https://www.inscriptions.lk/db/VInscriptionsView/116?language=en-US" TargetMode="External" Id="rId132" /><Relationship Type="http://schemas.openxmlformats.org/officeDocument/2006/relationships/hyperlink" Target="https://www.aksharamukha.com/describe/TamilBrahmi" TargetMode="External" Id="rId133" /><Relationship Type="http://schemas.openxmlformats.org/officeDocument/2006/relationships/hyperlink" Target="https://www.academia.edu/Documents/in/Tamil_Brahmi" TargetMode="External" Id="rId134" /><Relationship Type="http://schemas.openxmlformats.org/officeDocument/2006/relationships/hyperlink" Target="https://sangam.org/tamil-coin-issued-by-king-ellalan-during-the-anuradhapura-era/" TargetMode="External" Id="rId135" /><Relationship Type="http://schemas.openxmlformats.org/officeDocument/2006/relationships/hyperlink" Target="https://www.scribd.com/document/375399590/Tamil-Influence-in-Ancient-Sri-Lanka-With-Special-Reference-to-Early-Brahmi-Inscriptions-All-Parts-A-Veluppillai-1979-and-1980" TargetMode="External" Id="rId136" /><Relationship Type="http://schemas.openxmlformats.org/officeDocument/2006/relationships/hyperlink" Target="https://en.bharatpedia.org/wiki/Tamil_inscriptions_in_Sri_Lanka" TargetMode="External" Id="rId137" /><Relationship Type="http://schemas.openxmlformats.org/officeDocument/2006/relationships/hyperlink" Target="https://grokipedia.com/page/tamil_inscriptions_in_sri_lanka" TargetMode="External" Id="rId138" /><Relationship Type="http://schemas.openxmlformats.org/officeDocument/2006/relationships/hyperlink" Target="https://www.wikiwand.com/en/Tamil_inscriptions_in_Sri_Lanka" TargetMode="External" Id="rId139" /><Relationship Type="http://schemas.openxmlformats.org/officeDocument/2006/relationships/hyperlink" Target="https://www.jstor.org/stable/43483806" TargetMode="External" Id="rId140" /><Relationship Type="http://schemas.openxmlformats.org/officeDocument/2006/relationships/hyperlink" Target="https://ir.lib.pdn.ac.lk/bitstreams/98390e3c-9f21-449b-b076-6276cf94f4e8/download" TargetMode="External" Id="rId141"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42" /><Relationship Type="http://schemas.openxmlformats.org/officeDocument/2006/relationships/hyperlink" Target="https://www.unesco.org/en/memory-world/trilingual-inscription-tribhashasellipiya" TargetMode="External" Id="rId143" /><Relationship Type="http://schemas.openxmlformats.org/officeDocument/2006/relationships/hyperlink" Target="http://libcat.lib.jfn.ac.lk/cgi-bin/koha/opac-detail.pl?biblionumber=54703" TargetMode="External" Id="rId144" /><Relationship Type="http://schemas.openxmlformats.org/officeDocument/2006/relationships/hyperlink" Target="https://en.wikipedia.org/wiki/Vallipuram" TargetMode="External" Id="rId145" /><Relationship Type="http://schemas.openxmlformats.org/officeDocument/2006/relationships/hyperlink" Target="https://amazinglanka.com/wp/vanni-bandara-en/" TargetMode="External" Id="rId146" /><Relationship Type="http://schemas.openxmlformats.org/officeDocument/2006/relationships/hyperlink" Target="https://noolaham.org/wiki/index.php/Vanni_and_The_Vanniyas" TargetMode="External" Id="rId147"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48" /><Relationship Type="http://schemas.openxmlformats.org/officeDocument/2006/relationships/hyperlink" Target="https://www.ilakku.org/tamil-brahmi-in-sri-lanka/" TargetMode="External" Id="rId149" /><Relationship Type="http://schemas.openxmlformats.org/officeDocument/2006/relationships/hyperlink" Target="https://telibrary.com/ancient-language-of-eelam-and-archaeological-evidence/" TargetMode="External" Id="rId150"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51" /><Relationship Type="http://schemas.openxmlformats.org/officeDocument/2006/relationships/hyperlink" Target="https://ngmtamil.in/kalanjiyam-tamil/index.php/kalanjiyam/article/view/58" TargetMode="External" Id="rId152" /><Relationship Type="http://schemas.openxmlformats.org/officeDocument/2006/relationships/hyperlink" Target="https://ta.wikipedia.org/wiki/%E0%AE%A4%E0%AE%AE%E0%AE%BF%E0%AE%B4%E0%AF%8D%E0%AE%95%E0%AF%8D_%E0%AE%95%E0%AE%B2%E0%AF%8D%E0%AE%B5%E0%AF%86%E0%AE%9F%E0%AF%8D%E0%AE%9F%E0%AF%81%E0%AE%95%E0%AE%B3%E0%AF%8D" TargetMode="External" Id="rId153" /><Relationship Type="http://schemas.openxmlformats.org/officeDocument/2006/relationships/hyperlink" Target="https://ta.wikipedia.org/wiki/%E0%AE%A4%E0%AE%AE%E0%AF%8D%E0%AE%AA%E0%AE%BF%E0%AE%B2%E0%AF%81%E0%AE%B5%E0%AE%BF%E0%AE%B2%E0%AF%8D_%E0%AE%95%E0%AE%B2%E0%AF%8D%E0%AE%B5%E0%AF%86%E0%AE%9F%E0%AF%8D%E0%AE%9F%E0%AF%81" TargetMode="External" Id="rId154" /><Relationship Type="http://schemas.openxmlformats.org/officeDocument/2006/relationships/hyperlink" Target="https://jvpnews.com/article/rare-tamil-inscription-found-in-trincomalee-1637737357" TargetMode="External" Id="rId155" /><Relationship Type="http://schemas.openxmlformats.org/officeDocument/2006/relationships/hyperlink" Target="https://www.ezhunaonline.com/historical-background-of-ancient-tamil-coins-found-in-south-lanka/" TargetMode="External" Id="rId156" /><Relationship Type="http://schemas.openxmlformats.org/officeDocument/2006/relationships/hyperlink" Target="http://repo.lib.jfn.ac.lk/xmlui/handle/123456789/8444" TargetMode="External" Id="rId157" /><Relationship Type="http://schemas.openxmlformats.org/officeDocument/2006/relationships/hyperlink" Target="https://telibrary.com/category/history/%E0%AE%AF%E0%AE%BE%E0%AE%B4%E0%AF%8D%E0%AE%AA%E0%AF%8D%E0%AE%AA%E0%AE%BE%E0%AE%A3-%E0%AE%87%E0%AE%B0%E0%AE%BE%E0%AE%9A%E0%AF%8D%E0%AE%9A%E0%AE%BF%E0%AE%AF%E0%AE%AE%E0%AF%8D/" TargetMode="External" Id="rId158" /><Relationship Type="http://schemas.openxmlformats.org/officeDocument/2006/relationships/hyperlink" Target="https://treasurehouseofjaffna.com/%E0%AE%AF%E0%AE%BE%E0%AE%B4%E0%AF%8D%E0%AE%AA%E0%AF%8D%E0%AE%AA%E0%AE%BE%E0%AE%A3-%E0%AE%B5%E0%AE%B0%E0%AE%B2%E0%AE%BE%E0%AE%B1%E0%AF%81/" TargetMode="External" Id="rId159" /><Relationship Type="http://schemas.openxmlformats.org/officeDocument/2006/relationships/hyperlink" Target="https://jvpnews.com/article/ja-anaikottai-archeological-excavation-ceremony-1721384878" TargetMode="External" Id="rId160"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61"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www.dailynews.lk/2025/04/19/admin-catagories/breaking-news/763455/unesco-recognizes-sri-lankas-trilingual-inscription-and-panadurawaadaya-documents-as-world-heritage/" TargetMode="External" Id="rId213" /><Relationship Type="http://schemas.openxmlformats.org/officeDocument/2006/relationships/hyperlink" Target="https://dailynews.lk/2025/04/22/features/764498/significance-of-galle-trilingual-inscriptions-inclusion-in-the-world-heritage-list/" TargetMode="External" Id="rId214" /><Relationship Type="http://schemas.openxmlformats.org/officeDocument/2006/relationships/hyperlink" Target="https://www.tamilguardian.com/index.php/content/trilingual-inscription-tamil-chinese-and-persian-recognised-unesco" TargetMode="External" Id="rId215"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6"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7"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8" /><Relationship Type="http://schemas.openxmlformats.org/officeDocument/2006/relationships/hyperlink" Target="https://ibctamil.com/article/department-of-archaeology-personnel-chased-away-1763743917" TargetMode="External" Id="rId219" /><Relationship Type="http://schemas.openxmlformats.org/officeDocument/2006/relationships/hyperlink" Target="https://ibctamil.com/article/archaeology-dep-to-construct-a-vihara-in-vavuniya-1766829487" TargetMode="External" Id="rId220" /><Relationship Type="http://schemas.openxmlformats.org/officeDocument/2006/relationships/hyperlink" Target="https://tamilwin.com/article/viharaya-in-the-pillayar-temple-complex-vavuniya-1766838422" TargetMode="External" Id="rId221"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2" /><Relationship Type="http://schemas.openxmlformats.org/officeDocument/2006/relationships/hyperlink" Target="https://ibctamil.com/article/an-underground-city-discovered-in-polonnaruwa-sl-1708747886" TargetMode="External" Id="rId223"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4"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5" /><Relationship Type="http://schemas.openxmlformats.org/officeDocument/2006/relationships/hyperlink" Target="https://tamilwin.com/article/vedukunari-hill-affair-1679899848" TargetMode="External" Id="rId226"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7"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8" /><Relationship Type="http://schemas.openxmlformats.org/officeDocument/2006/relationships/hyperlink" Target="https://news.google.com/rss/articles/CBMiSkFVX3lxTE9RWHRpZjlDZE92MEg4bC1VRXFNMjNpSlotREpZclVwU2tncGcyRWFNUnpxQ1ZJTmlRZS1VanBPWl9XNVdjcWhtd29R?oc=5" TargetMode="External" Id="rId229"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0"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1"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2" /><Relationship Type="http://schemas.openxmlformats.org/officeDocument/2006/relationships/hyperlink" Target="https://news.google.com/rss/articles/CBMiV0FVX3lxTE0xSVZDa2M2cjhyOFJNVzZ4UEt2TnRyanBkaXBhSmxhTElobUFMNWhic0dWMlloejhDY3NaOGVEMnNnN0liY1B6cjR1OTFMOVowUUp1YzQ1WQ?oc=5" TargetMode="External" Id="rId233"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4" /><Relationship Type="http://schemas.openxmlformats.org/officeDocument/2006/relationships/hyperlink" Target="https://tamilwin.com/article/sri-lanka-parliament-sumanthiran-thirukoneshwaram-1663923669" TargetMode="External" Id="rId235"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6"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7"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8" /><Relationship Type="http://schemas.openxmlformats.org/officeDocument/2006/relationships/hyperlink" Target="https://www.virakesari.lk/article/117633" TargetMode="External" Id="rId239"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0" /><Relationship Type="http://schemas.openxmlformats.org/officeDocument/2006/relationships/hyperlink" Target="https://athavannews.com/2021/1251617" TargetMode="External" Id="rId241"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2"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3"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4"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5"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6"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7" /><Relationship Type="http://schemas.openxmlformats.org/officeDocument/2006/relationships/hyperlink" Target="https://news.google.com/rss/articles/CBMiUEFVX3lxTFBoclkwMTRjdmdKLWZ2aVE4Tk5VNUd5VlAyeVM4WG5EVHBNUFFfT2lwTkVweC1qLTJNODhBRE1wdUcxdVpvU3NVXzJFeGFKMXFp?oc=5" TargetMode="External" Id="rId248" /><Relationship Type="http://schemas.openxmlformats.org/officeDocument/2006/relationships/hyperlink" Target="https://www.sundaytimes.lk/180211/plus/head-to-the-east-for-a-feast-of-archaeological-sites-281129.html" TargetMode="External" Id="rId249"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0"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1" /><Relationship Type="http://schemas.openxmlformats.org/officeDocument/2006/relationships/hyperlink" Target="https://archives1.dailynews.lk/2017/01/04/features/103659" TargetMode="External" Id="rId252"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3"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4"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5"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6"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7" /><Relationship Type="http://schemas.openxmlformats.org/officeDocument/2006/relationships/hyperlink" Target="https://www.sundaytimes.lk/140921/plus/a-visit-marked-in-stone-118621.html" TargetMode="External" Id="rId258" /><Relationship Type="http://schemas.openxmlformats.org/officeDocument/2006/relationships/hyperlink" Target="https://archives.sundayobserver.lk/2013/03/10/mon13.asp" TargetMode="External" Id="rId259" /><Relationship Type="http://schemas.openxmlformats.org/officeDocument/2006/relationships/hyperlink" Target="https://www.tamilnet.com/art.html?artid=36503&amp;catid=79" TargetMode="External" Id="rId260"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1"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2" /><Relationship Type="http://schemas.openxmlformats.org/officeDocument/2006/relationships/hyperlink" Target="https://tamilnet.com/art.html?artid=35707&amp;catid=79" TargetMode="External" Id="rId263" /><Relationship Type="http://schemas.openxmlformats.org/officeDocument/2006/relationships/hyperlink" Target="https://www.his.jfn.ac.lk/?p=791" TargetMode="External" Id="rId264" /><Relationship Type="http://schemas.openxmlformats.org/officeDocument/2006/relationships/hyperlink" Target="https://archives.thinakaran.lk/2011/02/15/?fn=i1102155&amp;p=1" TargetMode="External" Id="rId265" /><Relationship Type="http://schemas.openxmlformats.org/officeDocument/2006/relationships/hyperlink" Target="https://tamilnet.com/art.html?artid=32063&amp;catid=79" TargetMode="External" Id="rId266" /><Relationship Type="http://schemas.openxmlformats.org/officeDocument/2006/relationships/hyperlink" Target="https://www.tamilnet.com/art.html?artid=32303&amp;catid=79" TargetMode="External" Id="rId267"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8" /><Relationship Type="http://schemas.openxmlformats.org/officeDocument/2006/relationships/hyperlink" Target="https://tamilnet.com/art.html?artid=32843&amp;catid=79" TargetMode="External" Id="rId269" /><Relationship Type="http://schemas.openxmlformats.org/officeDocument/2006/relationships/hyperlink" Target="https://www.tamilnet.com/art.html?artid=32850&amp;catid=13" TargetMode="External" Id="rId270" /><Relationship Type="http://schemas.openxmlformats.org/officeDocument/2006/relationships/hyperlink" Target="https://archives.dailynews.lk/2009/09/18/fea30.asp" TargetMode="External" Id="rId271" /><Relationship Type="http://schemas.openxmlformats.org/officeDocument/2006/relationships/hyperlink" Target="https://www.sundaytimes.lk/080504/Plus/plus000025.html" TargetMode="External" Id="rId272" /><Relationship Type="http://schemas.openxmlformats.org/officeDocument/2006/relationships/hyperlink" Target="https://www.sundaytimes.lk/000423/plus3.html" TargetMode="External" Id="rId273" /><Relationship Type="http://schemas.openxmlformats.org/officeDocument/2006/relationships/hyperlink" Target="https://www.tamilguardian.com/content/3400-year-old-human-remains-discovered-velanai-jaffna" TargetMode="External" Id="rId274" /><Relationship Type="http://schemas.openxmlformats.org/officeDocument/2006/relationships/hyperlink" Target="https://www.historynewsnetwork.org/article/117404" TargetMode="External" Id="rId275" /><Relationship Type="http://schemas.openxmlformats.org/officeDocument/2006/relationships/hyperlink" Target="https://www.tamilguardian.com/content/ancient-pandyan-coins-bring-intrigue-and-dispute-sri-lanka" TargetMode="External" Id="rId276" /><Relationship Type="http://schemas.openxmlformats.org/officeDocument/2006/relationships/hyperlink" Target="https://www.colombotelegraph.com/index.php/book-review-the-historian-as-bridge/" TargetMode="External" Id="rId277" /><Relationship Type="http://schemas.openxmlformats.org/officeDocument/2006/relationships/hyperlink" Target="https://archives1.sundayobserver.lk/node/26758" TargetMode="External" Id="rId278" /><Relationship Type="http://schemas.openxmlformats.org/officeDocument/2006/relationships/hyperlink" Target="https://island.lk/little-known-facets-of-sri-lankan-historya-chola-princess-and-the-old-name-for-jaffna/" TargetMode="External" Id="rId279" /><Relationship Type="http://schemas.openxmlformats.org/officeDocument/2006/relationships/hyperlink" Target="https://island.lk/mandarin-and-tamil-a-historical-perspective/" TargetMode="External" Id="rId280" /><Relationship Type="http://schemas.openxmlformats.org/officeDocument/2006/relationships/hyperlink" Target="https://archives1.sundayobserver.lk/node/59637" TargetMode="External" Id="rId281" /><Relationship Type="http://schemas.openxmlformats.org/officeDocument/2006/relationships/hyperlink" Target="https://island.lk/reptiles-in-rock-and-time-unveiling-sri-lankas-ancient-herpetological-art/" TargetMode="External" Id="rId282" /><Relationship Type="http://schemas.openxmlformats.org/officeDocument/2006/relationships/hyperlink" Target="https://archives1.sundayobserver.lk/node/44600" TargetMode="External" Id="rId283" /><Relationship Type="http://schemas.openxmlformats.org/officeDocument/2006/relationships/hyperlink" Target="https://www.tamilguardian.com/index.php/node/955066" TargetMode="External" Id="rId284" /><Relationship Type="http://schemas.openxmlformats.org/officeDocument/2006/relationships/hyperlink" Target="https://www.colombotelegraph.com/index.php/sri-lankas-role-in-south-asias-earliest-writing-controversy/" TargetMode="External" Id="rId285" /><Relationship Type="http://schemas.openxmlformats.org/officeDocument/2006/relationships/hyperlink" Target="https://www.tamilguardian.com/content/tamil-civilisation-it-oldest" TargetMode="External" Id="rId286" /><Relationship Type="http://schemas.openxmlformats.org/officeDocument/2006/relationships/hyperlink" Target="https://www.colombotelegraph.com/index.php/the-tamils-are-the-original-inhabitants-of-sri-lanka/" TargetMode="External" Id="rId287" /><Relationship Type="http://schemas.openxmlformats.org/officeDocument/2006/relationships/hyperlink" Target="https://island.lk/unesco-and-trilingual-inscription/" TargetMode="External" Id="rId288" /><Relationship Type="http://schemas.openxmlformats.org/officeDocument/2006/relationships/hyperlink" Target="https://thinakkural.lk/article/45056" TargetMode="External" Id="rId289" /><Relationship Type="http://schemas.openxmlformats.org/officeDocument/2006/relationships/hyperlink" Target="https://www.tamilmirror.lk/91-286936" TargetMode="External" Id="rId290" /><Relationship Type="http://schemas.openxmlformats.org/officeDocument/2006/relationships/hyperlink" Target="https://www.virakesari.lk/article/160191" TargetMode="External" Id="rId291" /><Relationship Type="http://schemas.openxmlformats.org/officeDocument/2006/relationships/hyperlink" Target="https://www.ezhunaonline.com/manthai-the-seafaring-trading-center-of-ancient-sri-lanka/" TargetMode="External" Id="rId292" /><Relationship Type="http://schemas.openxmlformats.org/officeDocument/2006/relationships/hyperlink" Target="https://www.ezhunaonline.com/from-tradition-to-tradition-the-southern-modic-koothu-of-jaffna/" TargetMode="External" Id="rId293" /><Relationship Type="http://schemas.openxmlformats.org/officeDocument/2006/relationships/hyperlink" Target="https://www.ezhunaonline.com/ancient-religious-practices-in-ancient-jaffna-part-2/" TargetMode="External" Id="rId294" /><Relationship Type="http://schemas.openxmlformats.org/officeDocument/2006/relationships/hyperlink" Target="https://www.ezhunaonline.com/jaffna-buddhism-100-bc-1200-ad-part-2/" TargetMode="External" Id="rId295" /><Relationship Type="http://schemas.openxmlformats.org/officeDocument/2006/relationships/hyperlink" Target="https://www.ezhunaonline.com/ancient-coins-found-in-kandy-and-northern-sri-lanka-part-1/" TargetMode="External" Id="rId296" /><Relationship Type="http://schemas.openxmlformats.org/officeDocument/2006/relationships/hyperlink" Target="https://www.ezhunaonline.com/ancient-coins-found-in-kandy-and-northern-sri-lanka-part-2/" TargetMode="External" Id="rId297" /><Relationship Type="http://schemas.openxmlformats.org/officeDocument/2006/relationships/hyperlink" Target="https://www.ezhunaonline.com/origin-and-gradual-development-of-the-gandharoda-civilization-part-4/" TargetMode="External" Id="rId298" /><Relationship Type="http://schemas.openxmlformats.org/officeDocument/2006/relationships/hyperlink" Target="https://www.ezhunaonline.com/the-gandarodai-archaeological-site-and-scientific-studies-on-the-early-iron-age-that-overturned-the-mahavamsa-history-of-sri-lanka-part-5/" TargetMode="External" Id="rId299" /><Relationship Type="http://schemas.openxmlformats.org/officeDocument/2006/relationships/hyperlink" Target="https://www.ezhunaonline.com/archaeology-and-weaponizing-the-past-part-2/" TargetMode="External" Id="rId300" /><Relationship Type="http://schemas.openxmlformats.org/officeDocument/2006/relationships/hyperlink" Target="https://www.ezhunaonline.com/the-genetic-origins-of-the-dravidian-people-and-the-evolutionary-emergence-of-the-tamil-language-an-introduction/" TargetMode="External" Id="rId301" /><Relationship Type="http://schemas.openxmlformats.org/officeDocument/2006/relationships/hyperlink" Target="https://www.ezhunaonline.com/dietary-habits-of-the-people-of-jaffna-2500-years-ago-facts-revealed-by-the-anaicottai-excavation/" TargetMode="External" Id="rId302" /><Relationship Type="http://schemas.openxmlformats.org/officeDocument/2006/relationships/hyperlink" Target="https://www.ezhunaonline.com/ochapu-kallu-is-an-ancient-nagar-settlement/" TargetMode="External" Id="rId303" /><Relationship Type="http://schemas.openxmlformats.org/officeDocument/2006/relationships/hyperlink" Target="https://www.ezhunaonline.com/inscription-about-nagar-on-thanga-tirumala-by-brahmin-divakan/" TargetMode="External" Id="rId304" /><Relationship Type="http://schemas.openxmlformats.org/officeDocument/2006/relationships/hyperlink" Target="https://www.ezhunaonline.com/on-the-border-of-ghazigamalai/" TargetMode="External" Id="rId305" /><Relationship Type="http://schemas.openxmlformats.org/officeDocument/2006/relationships/hyperlink" Target="https://www.ezhunaonline.com/inscriptions-about-nagar-found-on-rittikala-hill-arita-parvata-hill/" TargetMode="External" Id="rId306" /><Relationship Type="http://schemas.openxmlformats.org/officeDocument/2006/relationships/hyperlink" Target="https://www.ezhunaonline.com/inscription-of-naga-maharaja-on-rithi-viharai-hill/" TargetMode="External" Id="rId307" /><Relationship Type="http://schemas.openxmlformats.org/officeDocument/2006/relationships/hyperlink" Target="https://www.ezhunaonline.com/gandharoda-civilization-of-ancient-jaffna/" TargetMode="External" Id="rId308" /><Relationship Type="http://schemas.openxmlformats.org/officeDocument/2006/relationships/hyperlink" Target="https://www.ezhunaonline.com/geology-topography-and-ancient-settlements-of-jaffna/" TargetMode="External" Id="rId309" /><Relationship Type="http://schemas.openxmlformats.org/officeDocument/2006/relationships/hyperlink" Target="https://www.ezhunaonline.com/andiyagala-hill-inscription-where-siddhas-lived-2000-years-ago/" TargetMode="External" Id="rId310" /><Relationship Type="http://schemas.openxmlformats.org/officeDocument/2006/relationships/hyperlink" Target="https://www.ezhunaonline.com/hibauwa-inscription-about-the-naga-clan/" TargetMode="External" Id="rId311" /><Relationship Type="http://schemas.openxmlformats.org/officeDocument/2006/relationships/hyperlink" Target="https://www.ezhunaonline.com/nagaland-and-the-nagas-in-history-and-literary-records-part-2/" TargetMode="External" Id="rId312" /><Relationship Type="http://schemas.openxmlformats.org/officeDocument/2006/relationships/hyperlink" Target="https://www.ezhunaonline.com/the-dating-of-archaeological-artefacts/" TargetMode="External" Id="rId313" /><Relationship Type="http://schemas.openxmlformats.org/officeDocument/2006/relationships/hyperlink" Target="https://www.ezhunaonline.com/archaeology-of-kantarodai-part-3/" TargetMode="External" Id="rId314" /><Relationship Type="http://schemas.openxmlformats.org/officeDocument/2006/relationships/hyperlink" Target="https://www.ezhunaonline.com/anaikottai-archaeological-survey/" TargetMode="External" Id="rId315" /><Relationship Type="http://schemas.openxmlformats.org/officeDocument/2006/relationships/hyperlink" Target="https://www.ezhunaonline.com/the-kallanchiya-rock-inscription-tells-of-king-nagan/" TargetMode="External" Id="rId316" /><Relationship Type="http://schemas.openxmlformats.org/officeDocument/2006/relationships/hyperlink" Target="https://www.ezhunaonline.com/jaffna-city-pongoli-water-lion-city-part-2/" TargetMode="External" Id="rId317" /><Relationship Type="http://schemas.openxmlformats.org/officeDocument/2006/relationships/hyperlink" Target="https://www.ezhunaonline.com/vallipuram-and-nagercoil/" TargetMode="External" Id="rId318" /><Relationship Type="http://schemas.openxmlformats.org/officeDocument/2006/relationships/hyperlink" Target="https://www.ezhunaonline.com/early-settlements-near-the-jaffna-peninsula/" TargetMode="External" Id="rId319" /><Relationship Type="http://schemas.openxmlformats.org/officeDocument/2006/relationships/hyperlink" Target="https://www.ezhunaonline.com/primitive-settlements-in-the-northern-mainland-of-sri-lanka/" TargetMode="External" Id="rId320" /><Relationship Type="http://schemas.openxmlformats.org/officeDocument/2006/relationships/hyperlink" Target="https://www.ezhunaonline.com/early-iron-age-and-neolithic-culture-in-sri-lanka-part-3/" TargetMode="External" Id="rId321" /><Relationship Type="http://schemas.openxmlformats.org/officeDocument/2006/relationships/hyperlink" Target="https://www.ezhunaonline.com/history-of-naga-and-anuradhapura-kings-in-eastern-srilanka/" TargetMode="External" Id="rId322" /><Relationship Type="http://schemas.openxmlformats.org/officeDocument/2006/relationships/hyperlink" Target="https://www.ezhunaonline.com/the-first-ten-clans-of-eastern-sri-lanka/" TargetMode="External" Id="rId323" /><Relationship Type="http://schemas.openxmlformats.org/officeDocument/2006/relationships/hyperlink" Target="https://www.ezhunaonline.com/an-introduction-to-brahmi-inscriptions-in-sri-lanka/" TargetMode="External" Id="rId324" /><Relationship Type="http://schemas.openxmlformats.org/officeDocument/2006/relationships/hyperlink" Target="https://www.ezhunaonline.com/tamil-brahmi-inscription-in-ambanthotta-2/" TargetMode="External" Id="rId325" /><Relationship Type="http://schemas.openxmlformats.org/officeDocument/2006/relationships/hyperlink" Target="https://www.ezhunaonline.com/from-vattagamini-to-vattagamini/" TargetMode="External" Id="rId326" /><Relationship Type="http://schemas.openxmlformats.org/officeDocument/2006/relationships/hyperlink" Target="https://www.ezhunaonline.com/history-of-nagar-in-northern-sri-lanka/" TargetMode="External" Id="rId327" /><Relationship Type="http://schemas.openxmlformats.org/officeDocument/2006/relationships/hyperlink" Target="https://www.ezhunaonline.com/eastern-ruhunu-until-the-period-of-mahasenan/" TargetMode="External" Id="rId328" /><Relationship Type="http://schemas.openxmlformats.org/officeDocument/2006/relationships/hyperlink" Target="https://www.ezhunaonline.com/naga-culture-in-mihintala-anuradhapura/" TargetMode="External" Id="rId329" /><Relationship Type="http://schemas.openxmlformats.org/officeDocument/2006/relationships/hyperlink" Target="https://www.ezhunaonline.com/thissamaharama-inscription/" TargetMode="External" Id="rId330" /><Relationship Type="http://schemas.openxmlformats.org/officeDocument/2006/relationships/hyperlink" Target="https://www.ezhunaonline.com/archaeological-reseachers-of-nagar-in-sri-lanka/" TargetMode="External" Id="rId331" /><Relationship Type="http://schemas.openxmlformats.org/officeDocument/2006/relationships/hyperlink" Target="https://www.ezhunaonline.com/nagar-culture-in-sri-lankan-history-part-2/" TargetMode="External" Id="rId332" /><Relationship Type="http://schemas.openxmlformats.org/officeDocument/2006/relationships/hyperlink" Target="https://www.ezhunaonline.com/pidurangala-bhirami-inscription/" TargetMode="External" Id="rId333" /><Relationship Type="http://schemas.openxmlformats.org/officeDocument/2006/relationships/hyperlink" Target="https://www.ezhunaonline.com/sri-lanka-eastern-province-ancient-history/" TargetMode="External" Id="rId334" /><Relationship Type="http://schemas.openxmlformats.org/officeDocument/2006/relationships/hyperlink" Target="https://www.ezhunaonline.com/brahmi-inscription-about-sri-lankan-kingdoms/" TargetMode="External" Id="rId335" /><Relationship Type="http://schemas.openxmlformats.org/officeDocument/2006/relationships/hyperlink" Target="https://www.ezhunaonline.com/vessagiriya-inscription-that-tells-about-naga-blacksmith/" TargetMode="External" Id="rId336" /><Relationship Type="http://schemas.openxmlformats.org/officeDocument/2006/relationships/hyperlink" Target="https://www.ezhunaonline.com/the-wife-of-akkapothi-sri-lankan-eastern-history/" TargetMode="External" Id="rId337" /><Relationship Type="http://schemas.openxmlformats.org/officeDocument/2006/relationships/hyperlink" Target="https://www.ezhunaonline.com/kathirgamam-inscription-by-tamil-king-maha-nagan/" TargetMode="External" Id="rId338" /><Relationship Type="http://schemas.openxmlformats.org/officeDocument/2006/relationships/hyperlink" Target="https://www.ezhunaonline.com/siththar-rock-inscription-which-tell-about-maharajan/" TargetMode="External" Id="rId339" /><Relationship Type="http://schemas.openxmlformats.org/officeDocument/2006/relationships/hyperlink" Target="https://www.ezhunaonline.com/irakkamam-a-tax-free-village-for-anuradhapura-commander/" TargetMode="External" Id="rId340" /><Relationship Type="http://schemas.openxmlformats.org/officeDocument/2006/relationships/hyperlink" Target="https://www.ezhunaonline.com/archaeological-view-of-kathiramalai-kingdom/" TargetMode="External" Id="rId341" /><Relationship Type="http://schemas.openxmlformats.org/officeDocument/2006/relationships/hyperlink" Target="https://www.ezhunaonline.com/pandakiriya-inscription/" TargetMode="External" Id="rId342" /><Relationship Type="http://schemas.openxmlformats.org/officeDocument/2006/relationships/hyperlink" Target="https://www.ezhunaonline.com/padarkal-malai-inscrption/" TargetMode="External" Id="rId343" /><Relationship Type="http://schemas.openxmlformats.org/officeDocument/2006/relationships/hyperlink" Target="https://www.ezhunaonline.com/velodum-malai-nagamalai-inscription-mentions-maha-naga-king/" TargetMode="External" Id="rId344" /><Relationship Type="http://schemas.openxmlformats.org/officeDocument/2006/relationships/hyperlink" Target="https://www.ezhunaonline.com/inscriptions-about-nagar-on-pambarakasthalava-hill-nagaparvata-hill/" TargetMode="External" Id="rId345" /><Relationship Type="http://schemas.openxmlformats.org/officeDocument/2006/relationships/hyperlink" Target="https://www.ezhunaonline.com/tamil-brahmic-charters-of-vel-eelam-recently-discovered-in-poonagri-region/" TargetMode="External" Id="rId346" /><Relationship Type="http://schemas.openxmlformats.org/officeDocument/2006/relationships/hyperlink" Target="https://www.ezhunaonline.com/kalladi-niliyamman-hill-inscriptions-sri-lanka-mentions-the-naga-king-and-the-naga-canal/" TargetMode="External" Id="rId347" /><Relationship Type="http://schemas.openxmlformats.org/officeDocument/2006/relationships/hyperlink" Target="https://www.ezhunaonline.com/the-rajagala-inscriptions-refer-to-nagar/" TargetMode="External" Id="rId348" /><Relationship Type="http://schemas.openxmlformats.org/officeDocument/2006/relationships/hyperlink" Target="https://www.ezhunaonline.com/the-kudumbigala-hill-inscription-mentions-the-village-officer-nagan/" TargetMode="External" Id="rId349" /><Relationship Type="http://schemas.openxmlformats.org/officeDocument/2006/relationships/hyperlink" Target="https://www.ezhunaonline.com/chola-in-keekhagarai/" TargetMode="External" Id="rId350" /><Relationship Type="http://schemas.openxmlformats.org/officeDocument/2006/relationships/hyperlink" Target="https://www.ezhunaonline.com/muthukal-hill-inscriptions-mention-nagar/" TargetMode="External" Id="rId351" /><Relationship Type="http://schemas.openxmlformats.org/officeDocument/2006/relationships/hyperlink" Target="https://www.ezhunaonline.com/kayanguda-kumacholai-inscription-of-eastern-ceylon-viceroy/" TargetMode="External" Id="rId352" /><Relationship Type="http://schemas.openxmlformats.org/officeDocument/2006/relationships/hyperlink" Target="https://www.ezhunaonline.com/handagala-brahmic-inscriptions-refer-to-nagar/" TargetMode="External" Id="rId353" /><Relationship Type="http://schemas.openxmlformats.org/officeDocument/2006/relationships/hyperlink" Target="https://www.ezhunaonline.com/later-inscriptions-refer-to-tamils/" TargetMode="External" Id="rId354" /><Relationship Type="http://schemas.openxmlformats.org/officeDocument/2006/relationships/hyperlink" Target="https://www.ezhunaonline.com/kizhargalin-vampa-vendar/" TargetMode="External" Id="rId355" /><Relationship Type="http://schemas.openxmlformats.org/officeDocument/2006/relationships/hyperlink" Target="https://www.ezhunaonline.com/tamaraveva-pillar-inscription-referring-to-the-tamil-official-mahasathan/" TargetMode="External" Id="rId356" /><Relationship Type="http://schemas.openxmlformats.org/officeDocument/2006/relationships/hyperlink" Target="https://www.ezhunaonline.com/badulla-inscription/" TargetMode="External" Id="rId357" /><Relationship Type="http://schemas.openxmlformats.org/officeDocument/2006/relationships/hyperlink" Target="https://www.ezhunaonline.com/rediscovery-of-tamil-inscription-at-tambalagama/" TargetMode="External" Id="rId358" /><Relationship Type="http://schemas.openxmlformats.org/officeDocument/2006/relationships/hyperlink" Target="https://www.ezhunaonline.com/anuradhapura-inscription/" TargetMode="External" Id="rId359" /><Relationship Type="http://schemas.openxmlformats.org/officeDocument/2006/relationships/hyperlink" Target="https://www.ezhunaonline.com/rankoth-viharai-inscription/" TargetMode="External" Id="rId360" /><Relationship Type="http://schemas.openxmlformats.org/officeDocument/2006/relationships/hyperlink" Target="https://www.ezhunaonline.com/wessagiri-inscription/" TargetMode="External" Id="rId361" /><Relationship Type="http://schemas.openxmlformats.org/officeDocument/2006/relationships/hyperlink" Target="https://www.ezhunaonline.com/keekhakarai-paravani-inscriptioniii/" TargetMode="External" Id="rId362" /><Relationship Type="http://schemas.openxmlformats.org/officeDocument/2006/relationships/hyperlink" Target="https://www.ezhunaonline.com/the-biggest-undiscovered-tourist-destination-in-vanni/" TargetMode="External" Id="rId363" /><Relationship Type="http://schemas.openxmlformats.org/officeDocument/2006/relationships/hyperlink" Target="https://www.ezhunaonline.com/jaffna-fort/" TargetMode="External" Id="rId364" /><Relationship Type="http://schemas.openxmlformats.org/officeDocument/2006/relationships/hyperlink" Target="https://www.ezhunaonline.com/archaeological-research-of-jaffna-fort/" TargetMode="External" Id="rId365" /><Relationship Type="http://schemas.openxmlformats.org/officeDocument/2006/relationships/hyperlink" Target="https://www.ezhunaonline.com/the-coins-of-bhuvanaikabahu/" TargetMode="External" Id="rId366" /><Relationship Type="http://schemas.openxmlformats.org/officeDocument/2006/relationships/hyperlink" Target="https://www.ezhunaonline.com/batticaloa-history-iii/" TargetMode="External" Id="rId367" /><Relationship Type="http://schemas.openxmlformats.org/officeDocument/2006/relationships/hyperlink" Target="https://www.ezhunaonline.com/tamil-coin-of-ellalan/" TargetMode="External" Id="rId368" /><Relationship Type="http://schemas.openxmlformats.org/officeDocument/2006/relationships/hyperlink" Target="https://www.ezhunaonline.com/an-inscription-and-a-ruined-house-in-vanni/" TargetMode="External" Id="rId369" /><Relationship Type="http://schemas.openxmlformats.org/officeDocument/2006/relationships/hyperlink" Target="https://www.ezhunaonline.com/the-other-myths-of-batticaloa-2/" TargetMode="External" Id="rId370" /><Relationship Type="http://schemas.openxmlformats.org/officeDocument/2006/relationships/hyperlink" Target="https://www.ezhunaonline.com/timeline-of-sri-lankan-pre-history/" TargetMode="External" Id="rId371" /><Relationship Type="http://schemas.openxmlformats.org/officeDocument/2006/relationships/hyperlink" Target="https://www.ezhunaonline.com/the-initial-stage-of-sri-lankan-history-period/" TargetMode="External" Id="rId372" /><Relationship Type="http://schemas.openxmlformats.org/officeDocument/2006/relationships/hyperlink" Target="https://www.ezhunaonline.com/%e0%ae%ae%e0%ae%b0%e0%ae%aa%e0%af%81%e0%ae%b0%e0%ae%bf%e0%ae%ae%e0%af%88%e0%ae%95%e0%ae%b3%e0%af%88%e0%ae%aa%e0%af%8d-%e0%ae%aa%e0%ae%b1%e0%af%88%e0%ae%a4%e0%ae%b2%e0%af%8d-%e0%ae%87%e0%ae%b2/" TargetMode="External" Id="rId373" /><Relationship Type="http://schemas.openxmlformats.org/officeDocument/2006/relationships/hyperlink" Target="https://www.ezhunaonline.com/brahmic-inscriptions-on-tamils-in-ceylon-an-introduction/" TargetMode="External" Id="rId374" /><Relationship Type="http://schemas.openxmlformats.org/officeDocument/2006/relationships/hyperlink" Target="https://www.ezhunaonline.com/history-and-culture-of-srilankan-tamils-part-3/" TargetMode="External" Id="rId375" /><Relationship Type="http://schemas.openxmlformats.org/officeDocument/2006/relationships/hyperlink" Target="https://www.ezhunaonline.com/5brahmic-in-icriptions-tamils/" TargetMode="External" Id="rId376" /><Relationship Type="http://schemas.openxmlformats.org/officeDocument/2006/relationships/hyperlink" Target="https://www.ezhunaonline.com/historical-evidence-of-keekhakarai/" TargetMode="External" Id="rId377" /><Relationship Type="http://schemas.openxmlformats.org/officeDocument/2006/relationships/hyperlink" Target="https://www.ezhunaonline.com/tamil-vanikan-puliankulam-inscriptions/" TargetMode="External" Id="rId378" /><Relationship Type="http://schemas.openxmlformats.org/officeDocument/2006/relationships/hyperlink" Target="https://vanakkamlondon.com/stories/featured-story/2022/11/178155/" TargetMode="External" Id="rId379" /><Relationship Type="http://schemas.openxmlformats.org/officeDocument/2006/relationships/hyperlink" Target="https://www.ezhunaonline.com/seruvila-inscription-on-tamil-family-leader-guttan/" TargetMode="External" Id="rId380" /><Relationship Type="http://schemas.openxmlformats.org/officeDocument/2006/relationships/hyperlink" Target="https://www.ezhunaonline.com/tamil-inscription-found-in-the-vanni/" TargetMode="External" Id="rId381" /><Relationship Type="http://schemas.openxmlformats.org/officeDocument/2006/relationships/hyperlink" Target="https://www.ezhunaonline.com/gudvil-inscription-about-a-tamil-merchant-who-was-a-resident-of-dikavapi/" TargetMode="External" Id="rId382" /><Relationship Type="http://schemas.openxmlformats.org/officeDocument/2006/relationships/hyperlink" Target="https://www.ezhunaonline.com/evidence-for-keekhakarai-tamil-literature/" TargetMode="External" Id="rId383" /><Relationship Type="http://schemas.openxmlformats.org/officeDocument/2006/relationships/hyperlink" Target="https://www.ezhunaonline.com/alinthu-varum-maraburimai-sinnangal/" TargetMode="External" Id="rId384" /><Relationship Type="http://schemas.openxmlformats.org/officeDocument/2006/relationships/hyperlink" Target="https://www.ezhunaonline.com/yaalpana-nagarukku-mundhiya-thalainagarangal/" TargetMode="External" Id="rId385" /><Relationship Type="http://schemas.openxmlformats.org/officeDocument/2006/relationships/hyperlink" Target="https://www.his.jfn.ac.lk/?p=791"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worldgenweb.org/lkawgw/tamil-brahmi.htm" TargetMode="External" Id="rId389" /><Relationship Type="http://schemas.openxmlformats.org/officeDocument/2006/relationships/hyperlink" Target="https://www.ezhunaonline.com/article/brahmin-and-brahmatheya-in-sri-lankan-tamil-inscriptions/" TargetMode="External" Id="rId390" /><Relationship Type="http://schemas.openxmlformats.org/officeDocument/2006/relationships/hyperlink" Target="https://www.ezhunaonline.com/sangam-age-in-sri-lankan-brahmic-inscriptions/" TargetMode="External" Id="rId391" /><Relationship Type="http://schemas.openxmlformats.org/officeDocument/2006/relationships/hyperlink" Target="https://www.ezhunaonline.com/how-kannagi-worship-entered-sri-lanka/" TargetMode="External" Id="rId392" /><Relationship Type="http://schemas.openxmlformats.org/officeDocument/2006/relationships/hyperlink" Target="https://www.ezhunaonline.com/the-archaeological-value-of-cheddikulam/" TargetMode="External" Id="rId393" /><Relationship Type="http://schemas.openxmlformats.org/officeDocument/2006/relationships/hyperlink" Target="https://www.ezhunaonline.com/folk-religion-and-hinduism/" TargetMode="External" Id="rId394" /><Relationship Type="http://schemas.openxmlformats.org/officeDocument/2006/relationships/hyperlink" Target="https://www.ezhunaonline.com/kanaki-worship-in-ancient-tamil-culture/" TargetMode="External" Id="rId395" /><Relationship Type="http://schemas.openxmlformats.org/officeDocument/2006/relationships/hyperlink" Target="https://www.ezhunaonline.com/article/brahmi-script-and-early-literacy/" TargetMode="External" Id="rId396" /><Relationship Type="http://schemas.openxmlformats.org/officeDocument/2006/relationships/hyperlink" Target="https://www.ezhunaonline.com/compilation/buddhism-and-tamils-during-megalith-of-srilanka/" TargetMode="External" Id="rId397" /><Relationship Type="http://schemas.openxmlformats.org/officeDocument/2006/relationships/hyperlink" Target="https://www.ezhunaonline.com/history-of-ariya-kulam-jaffna/" TargetMode="External" Id="rId398" /><Relationship Type="http://schemas.openxmlformats.org/officeDocument/2006/relationships/hyperlink" Target="https://www.ezhunaonline.com/tamil-rasathani-in-vanni-kurundankula-temple/" TargetMode="External" Id="rId399" /><Relationship Type="http://schemas.openxmlformats.org/officeDocument/2006/relationships/hyperlink" Target="https://www.ezhunaonline.com/velana-palaeolithic-culture-at-chatti/" TargetMode="External" Id="rId400"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2" /><Relationship Type="http://schemas.openxmlformats.org/officeDocument/2006/relationships/hyperlink" Target="https://en.wikipedia.org/wiki/Jaffna" TargetMode="External" Id="rId403" /><Relationship Type="http://schemas.openxmlformats.org/officeDocument/2006/relationships/hyperlink" Target="https://ceylontoday.lk/2025/10/04/carved-for-glory/" TargetMode="External" Id="rId404" /><Relationship Type="http://schemas.openxmlformats.org/officeDocument/2006/relationships/hyperlink" Target="https://thuppahis.com/2025/02/16/hero-stones-in-sri-lankas-past/" TargetMode="External" Id="rId405" /><Relationship Type="http://schemas.openxmlformats.org/officeDocument/2006/relationships/hyperlink" Target="https://fhss.niibs.lk/wp-content/uploads/2025/02/Prehistoric-Life-in-the-Jaffna-Peninsula-A-Preliminary-Investigations-for-the-study-of-Stone-Age-culture-base-on-Archaeological-Evidences.pdf" TargetMode="External" Id="rId406" /><Relationship Type="http://schemas.openxmlformats.org/officeDocument/2006/relationships/hyperlink" Target="https://ceylonvibesonline.blogspot.com/2025/12/sri-lankan-rock-art-ancient-stories.html" TargetMode="External" Id="rId407" /><Relationship Type="http://schemas.openxmlformats.org/officeDocument/2006/relationships/hyperlink" Target="https://uthayannews.ca/2025/12/19/%E0%AE%AF%E0%AE%BE%E0%AE%B4%E0%AF%8D%E0%AE%AA%E0%AF%8D%E0%AE%AA%E0%AE%BE%E0%AE%A3%E0%AE%AE%E0%AF%8D-%E0%AE%95%E0%AF%8B%E0%AE%9F%E0%AF%8D%E0%AE%9F%E0%AF%88%E0%AE%AF%E0%AF%88-%E0%AE%9A%E0%AF%81/" TargetMode="External" Id="rId408" /><Relationship Type="http://schemas.openxmlformats.org/officeDocument/2006/relationships/hyperlink" Target="https://fssh.rjt.ac.lk/wp-content/uploads/2024/08/JAHS-10II-122-128-pp.pdf" TargetMode="External" Id="rId40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0" /><Relationship Type="http://schemas.openxmlformats.org/officeDocument/2006/relationships/hyperlink" Target="https://telo.org/wp-content/uploads/2021/01/COINS-OF-ANCIENT-JAFFNA-REVISED-PDF.pdf" TargetMode="External" Id="rId411" /><Relationship Type="http://schemas.openxmlformats.org/officeDocument/2006/relationships/hyperlink" Target="https://www.lankapradeepa.com/2021/06/rock-paintings-and-engraving-sites-in.html" TargetMode="External" Id="rId412" /><Relationship Type="http://schemas.openxmlformats.org/officeDocument/2006/relationships/hyperlink" Target="https://amazinglanka.com/wp/sankiliyatital/" TargetMode="External" Id="rId413" /><Relationship Type="http://schemas.openxmlformats.org/officeDocument/2006/relationships/hyperlink" Target="https://ta.wikipedia.org/wiki/%E0%AE%A4%E0%AF%87%E0%AE%B5%E0%AE%A9%E0%AE%BE%E0%AE%AE%E0%AF%8D%E0%AE%AA%E0%AE%BF%E0%AE%B0%E0%AE%BF%E0%AE%AF%E0%AE%BE" TargetMode="External" Id="rId414" /><Relationship Type="http://schemas.openxmlformats.org/officeDocument/2006/relationships/hyperlink" Target="https://ta.wikipedia.org/wiki/%E0%AE%95%E0%AF%8B%E0%AE%AE%E0%AE%B0%E0%AE%99%E0%AF%8D%E0%AE%95%E0%AE%9F%E0%AE%B5%E0%AE%B2%E0%AF%88_%E0%AE%95%E0%AE%B2%E0%AF%8D%E0%AE%B5%E0%AF%86%E0%AE%9F%E0%AF%8D%E0%AE%9F%E0%AF%81" TargetMode="External" Id="rId415" /><Relationship Type="http://schemas.openxmlformats.org/officeDocument/2006/relationships/hyperlink" Target="https://www.nimirvu.org/2020/01/blog-post_14.html" TargetMode="External" Id="rId416" /><Relationship Type="http://schemas.openxmlformats.org/officeDocument/2006/relationships/hyperlink" Target="https://www.lankapradeepa.com/2020/04/tamil-inscriptions-in-sri-lanka_16.html" TargetMode="External" Id="rId417" /><Relationship Type="http://schemas.openxmlformats.org/officeDocument/2006/relationships/hyperlink" Target="https://en.wikipedia.org/wiki/Pottery_of_Sri_Lanka" TargetMode="External" Id="rId418" /><Relationship Type="http://schemas.openxmlformats.org/officeDocument/2006/relationships/hyperlink" Target="https://www.lankapradeepa.com/2019/04/fort-fredrick-trincomalee.html" TargetMode="External" Id="rId419" /><Relationship Type="http://schemas.openxmlformats.org/officeDocument/2006/relationships/hyperlink" Target="https://en.wikipedia.org/wiki/Tamil_inscriptions" TargetMode="External" Id="rId420"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1" /><Relationship Type="http://schemas.openxmlformats.org/officeDocument/2006/relationships/hyperlink" Target="https://en.wikipedia.org/wiki/Mantri_Manai" TargetMode="External" Id="rId422"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3" /><Relationship Type="http://schemas.openxmlformats.org/officeDocument/2006/relationships/hyperlink" Target="https://en.wikipedia.org/wiki/Velgam_Vehera" TargetMode="External" Id="rId424" /><Relationship Type="http://schemas.openxmlformats.org/officeDocument/2006/relationships/hyperlink" Target="https://en.wikipedia.org/wiki/Kulakkottan" TargetMode="External" Id="rId425"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6" /><Relationship Type="http://schemas.openxmlformats.org/officeDocument/2006/relationships/hyperlink" Target="https://ta.wikipedia.org/wiki/%E0%AE%95%E0%AE%A8%E0%AF%8D%E0%AE%A4%E0%AE%B0%E0%AF%8B%E0%AE%9F%E0%AF%88_%E0%AE%A4%E0%AF%8A%E0%AE%B2%E0%AF%8D%E0%AE%B2%E0%AE%BF%E0%AE%AF%E0%AE%B2%E0%AF%8D_%E0%AE%95%E0%AE%B3%E0%AE%AE%E0%AF%8D" TargetMode="External" Id="rId427" /><Relationship Type="http://schemas.openxmlformats.org/officeDocument/2006/relationships/hyperlink" Target="https://ta.wikipedia.org/wiki/%E0%AE%86._%E0%AE%B5%E0%AF%87%E0%AE%B2%E0%AF%81%E0%AE%AA%E0%AF%8D%E0%AE%AA%E0%AE%BF%E0%AE%B3%E0%AF%8D%E0%AE%B3%E0%AF%88" TargetMode="External" Id="rId428" /><Relationship Type="http://schemas.openxmlformats.org/officeDocument/2006/relationships/hyperlink" Target="https://en.wikipedia.org/wiki/Anuradhapura_Museum" TargetMode="External" Id="rId429" /><Relationship Type="http://schemas.openxmlformats.org/officeDocument/2006/relationships/hyperlink" Target="https://ta.wikipedia.org/wiki/%E0%AE%B5%E0%AF%86%E0%AE%B8%E0%AF%8D%E0%AE%B8%E0%AE%95%E0%AE%BF%E0%AE%B0%E0%AE%BF%E0%AE%AF" TargetMode="External" Id="rId430"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1" /><Relationship Type="http://schemas.openxmlformats.org/officeDocument/2006/relationships/hyperlink" Target="https://ta.wikipedia.org/wiki/%E0%AE%9A%E0%AF%87%E0%AE%A9%E0%AE%B0%E0%AE%A4%E0%AF%8D_%E0%AE%AA%E0%AE%B0%E0%AE%A3%E0%AE%B5%E0%AE%BF%E0%AE%A4%E0%AE%BE%E0%AE%A9" TargetMode="External" Id="rId432"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3" /><Relationship Type="http://schemas.openxmlformats.org/officeDocument/2006/relationships/hyperlink" Target="https://ta.wikipedia.org/wiki/%E0%AE%9A%E0%AE%BF%E0%AE%B0%E0%AE%BE%E0%AE%A9%E0%AF%8D_%E0%AE%89%E0%AE%AA%E0%AF%87%E0%AE%A8%E0%AF%8D%E0%AE%A4%E0%AE%BF%E0%AE%B0_%E0%AE%A4%E0%AF%86%E0%AE%B0%E0%AE%A3%E0%AE%BF%E0%AE%AF%E0%AE%95%E0%AE%B2" TargetMode="External" Id="rId434"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5"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6"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7"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8"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39" /><Relationship Type="http://schemas.openxmlformats.org/officeDocument/2006/relationships/hyperlink" Target="https://ta.wikipedia.org/wiki/%E0%AE%AA%E0%AE%B3%E0%AE%AE%E0%AF%8B%E0%AE%9F%E0%AF%8D%E0%AE%9F%E0%AF%88%E0%AE%95%E0%AF%8D_%E0%AE%95%E0%AE%B2%E0%AF%8D%E0%AE%B5%E0%AF%86%E0%AE%9F%E0%AF%8D%E0%AE%9F%E0%AF%81" TargetMode="External" Id="rId440" /><Relationship Type="http://schemas.openxmlformats.org/officeDocument/2006/relationships/hyperlink" Target="https://ta.wikipedia.org/wiki/%E0%AE%AE%E0%AE%BE%E0%AE%A9%E0%AE%BE%E0%AE%99%E0%AF%8D%E0%AE%95%E0%AF%87%E0%AE%A3%E0%AE%BF%E0%AE%95%E0%AF%8D_%E0%AE%95%E0%AE%B2%E0%AF%8D%E0%AE%B5%E0%AF%86%E0%AE%9F%E0%AF%8D%E0%AE%9F%E0%AF%81" TargetMode="External" Id="rId441" /><Relationship Type="http://schemas.openxmlformats.org/officeDocument/2006/relationships/hyperlink" Target="https://ta.wikipedia.org/wiki/%E0%AE%A8%E0%AE%BF%E0%AE%B2%E0%AE%BE%E0%AE%B5%E0%AF%86%E0%AE%B3%E0%AE%BF%E0%AE%95%E0%AF%8D_%E0%AE%95%E0%AE%B2%E0%AF%8D%E0%AE%B5%E0%AF%86%E0%AE%9F%E0%AF%8D%E0%AE%9F%E0%AF%81" TargetMode="External" Id="rId442" /><Relationship Type="http://schemas.openxmlformats.org/officeDocument/2006/relationships/hyperlink" Target="https://ta.wikipedia.org/wiki/%E0%AE%85%E0%AE%A4%E0%AE%B0%E0%AE%95%E0%AF%81%E0%AE%B3%E0%AE%BF%E0%AE%AF_%E0%AE%95%E0%AE%B2%E0%AF%8D%E0%AE%B5%E0%AF%86%E0%AE%9F%E0%AF%8D%E0%AE%9F%E0%AF%81" TargetMode="External" Id="rId443" /><Relationship Type="http://schemas.openxmlformats.org/officeDocument/2006/relationships/hyperlink" Target="https://ta.wikipedia.org/wiki/%E0%AE%86%E0%AE%A4%E0%AE%95%E0%AE%9F_%E0%AE%95%E0%AE%B2%E0%AF%8D%E0%AE%B5%E0%AF%86%E0%AE%9F%E0%AF%8D%E0%AE%9F%E0%AF%81" TargetMode="External" Id="rId444"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5"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6"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7" /><Relationship Type="http://schemas.openxmlformats.org/officeDocument/2006/relationships/hyperlink" Target="https://en.wikipedia.org/wiki/Department_of_Archaeology_%28Sri_Lanka%29" TargetMode="External" Id="rId448" /><Relationship Type="http://schemas.openxmlformats.org/officeDocument/2006/relationships/hyperlink" Target="https://en.wikipedia.org/wiki/Megalithic_graffiti_symbols" TargetMode="External" Id="rId449"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0"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1"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2"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3" /><Relationship Type="http://schemas.openxmlformats.org/officeDocument/2006/relationships/hyperlink" Target="https://ta.wikipedia.org/wiki/%E0%AE%A8%E0%AE%AF%E0%AE%BF%E0%AE%A9%E0%AE%BE%E0%AE%A4%E0%AF%80%E0%AE%B5%E0%AF%81%E0%AE%95%E0%AF%8D_%E0%AE%95%E0%AE%B2%E0%AF%8D%E0%AE%B5%E0%AF%86%E0%AE%9F%E0%AF%8D%E0%AE%9F%E0%AF%81" TargetMode="External" Id="rId454"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5"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6"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7" /><Relationship Type="http://schemas.openxmlformats.org/officeDocument/2006/relationships/hyperlink" Target="https://ta.wikipedia.org/wiki/%E0%AE%9A%E0%AF%80%E0%AE%A9%E0%AE%B0%E0%AF%8D_-_%E0%AE%A4%E0%AE%AE%E0%AE%BF%E0%AE%B4%E0%AE%B0%E0%AF%8D_%E0%AE%A4%E0%AF%8A%E0%AE%9F%E0%AE%B0%E0%AF%8D%E0%AE%AA%E0%AF%81%E0%AE%95%E0%AE%B3%E0%AF%8D" TargetMode="External" Id="rId458" /><Relationship Type="http://schemas.openxmlformats.org/officeDocument/2006/relationships/hyperlink" Target="https://ta.wikipedia.org/wiki/%E0%AE%B5%E0%AF%87%E0%AE%B3%E0%AE%BF%E0%AE%B0%E0%AF%8D_%28%E0%AE%88%E0%AE%B4%E0%AE%AE%E0%AF%8D%29" TargetMode="External" Id="rId459" /><Relationship Type="http://schemas.openxmlformats.org/officeDocument/2006/relationships/hyperlink" Target="https://en.wikipedia.org/wiki/Archaeological_Museum%2C_Jaffna" TargetMode="External" Id="rId460" /><Relationship Type="http://schemas.openxmlformats.org/officeDocument/2006/relationships/hyperlink" Target="https://en.wikipedia.org/wiki/History_of_the_Jaffna_kingdom" TargetMode="External" Id="rId461" /><Relationship Type="http://schemas.openxmlformats.org/officeDocument/2006/relationships/hyperlink" Target="https://southeastasianarchaeology.com/2012/06/27/prehistoric-skeleton-found-in-sri-lanka" TargetMode="External" Id="rId462" /><Relationship Type="http://schemas.openxmlformats.org/officeDocument/2006/relationships/hyperlink" Target="https://en.wikipedia.org/wiki/Anaikoddai_seal" TargetMode="External" Id="rId463"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4" /><Relationship Type="http://schemas.openxmlformats.org/officeDocument/2006/relationships/hyperlink" Target="https://ta.wikipedia.org/wiki/%E0%AE%AE%E0%AE%9F%E0%AF%8D%E0%AE%9F%E0%AE%95%E0%AF%8D%E0%AE%95%E0%AE%B3%E0%AE%AA%E0%AF%8D%E0%AE%AA%E0%AF%81_%E0%AE%AE%E0%AE%BE%E0%AE%A9%E0%AF%8D%E0%AE%AE%E0%AE%BF%E0%AE%AF%E0%AE%AE%E0%AF%8D" TargetMode="External" Id="rId465"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6" /><Relationship Type="http://schemas.openxmlformats.org/officeDocument/2006/relationships/hyperlink" Target="https://en.wikipedia.org/wiki/Tissamaharama_inscription_No._53" TargetMode="External" Id="rId467" /><Relationship Type="http://schemas.openxmlformats.org/officeDocument/2006/relationships/hyperlink" Target="https://en.wikipedia.org/wiki/Galle_Trilingual_Inscription" TargetMode="External" Id="rId468" /><Relationship Type="http://schemas.openxmlformats.org/officeDocument/2006/relationships/hyperlink" Target="https://en.wikipedia.org/wiki/Prehistory_of_Sri_Lanka" TargetMode="External" Id="rId469" /><Relationship Type="http://schemas.openxmlformats.org/officeDocument/2006/relationships/hyperlink" Target="https://ta.wikipedia.org/wiki/%E0%AE%95%E0%AE%BE._%E0%AE%87%E0%AE%A8%E0%AF%8D%E0%AE%A4%E0%AE%BF%E0%AE%B0%E0%AE%AA%E0%AE%BE%E0%AE%B2%E0%AE%BE" TargetMode="External" Id="rId470" /><Relationship Type="http://schemas.openxmlformats.org/officeDocument/2006/relationships/hyperlink" Target="https://en.wikipedia.org/wiki/Kandarodai" TargetMode="External" Id="rId471" /><Relationship Type="http://schemas.openxmlformats.org/officeDocument/2006/relationships/hyperlink" Target="https://en.wikipedia.org/wiki/Sri_Lankan_Tamil_literature" TargetMode="External" Id="rId472" /><Relationship Type="http://schemas.openxmlformats.org/officeDocument/2006/relationships/hyperlink" Target="https://en.wikipedia.org/wiki/Kotagama_inscription" TargetMode="External" Id="rId473" /><Relationship Type="http://schemas.openxmlformats.org/officeDocument/2006/relationships/hyperlink" Target="https://ta.wikipedia.org/wiki/%E0%AE%A4%E0%AE%AE%E0%AE%BF%E0%AE%B4%E0%AE%BF" TargetMode="External" Id="rId474" /><Relationship Type="http://schemas.openxmlformats.org/officeDocument/2006/relationships/hyperlink" Target="https://en.wikipedia.org/wiki/Naga_people_%28Lanka%29" TargetMode="External" Id="rId475" /><Relationship Type="http://schemas.openxmlformats.org/officeDocument/2006/relationships/hyperlink" Target="https://en.wikipedia.org/wiki/Jaffna_kingdom" TargetMode="External" Id="rId476" /><Relationship Type="http://schemas.openxmlformats.org/officeDocument/2006/relationships/hyperlink" Target="https://en.wikipedia.org/wiki/Sri_Lankan_Tamils" TargetMode="External" Id="rId477" /><Relationship Type="http://schemas.openxmlformats.org/officeDocument/2006/relationships/hyperlink" Target="https://ta.wikipedia.org/wiki/%E0%AE%AA%E0%AF%8A._%E0%AE%AA%E0%AF%82%E0%AE%B2%E0%AF%8B%E0%AE%95%E0%AE%9A%E0%AE%BF%E0%AE%99%E0%AF%8D%E0%AE%95%E0%AE%AE%E0%AF%8D" TargetMode="External" Id="rId478" /><Relationship Type="http://schemas.openxmlformats.org/officeDocument/2006/relationships/hyperlink" Target="https://en.wikipedia.org/wiki/Velanai" TargetMode="External" Id="rId479"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0" /><Relationship Type="http://schemas.openxmlformats.org/officeDocument/2006/relationships/hyperlink" Target="https://en.wikipedia.org/wiki/Tamil-Brahmi" TargetMode="External" Id="rId481" /><Relationship Type="http://schemas.openxmlformats.org/officeDocument/2006/relationships/hyperlink" Target="https://en.wikipedia.org/wiki/Batticaloa" TargetMode="External" Id="rId482" /><Relationship Type="http://schemas.openxmlformats.org/officeDocument/2006/relationships/hyperlink" Target="https://en.wikipedia.org/wiki/Hinduism_in_Sri_Lanka" TargetMode="External" Id="rId483" /><Relationship Type="http://schemas.openxmlformats.org/officeDocument/2006/relationships/hyperlink" Target="https://sangam.org/kantarodai-civilization-ancient-jaffna/" TargetMode="External" Id="rId484" /><Relationship Type="http://schemas.openxmlformats.org/officeDocument/2006/relationships/hyperlink" Target="https://www.researchgate.net/publication/335939791_Contested_Histories_Multi-Religious_Space_and_Conflict_A_Case_Study_of_Kantarodai_in_Northern_Sri_Lanka" TargetMode="External" Id="rId485" /><Relationship Type="http://schemas.openxmlformats.org/officeDocument/2006/relationships/hyperlink" Target="https://www.academia.edu/83422032/Contested_Histories_Multi_Religious_Space_and_Conflict_A_Case_Study_of_Kantarodai_in_Northern_Sri_Lanka" TargetMode="External" Id="rId486" /><Relationship Type="http://schemas.openxmlformats.org/officeDocument/2006/relationships/hyperlink" Target="https://www.researchgate.net/publication/365603730_Lifeways_of_Early_Kantharodai_Sri_Lanka" TargetMode="External" Id="rId487" /><Relationship Type="http://schemas.openxmlformats.org/officeDocument/2006/relationships/hyperlink" Target="https://www.academia.edu/123922554/Lifeways_of_Early_Kantharodai_Sri_Lanka" TargetMode="External" Id="rId488" /><Relationship Type="http://schemas.openxmlformats.org/officeDocument/2006/relationships/hyperlink" Target="https://amazinglanka.com/wp/buddhist-shrines-in-batticaloa-and-ampara/" TargetMode="External" Id="rId489" /><Relationship Type="http://schemas.openxmlformats.org/officeDocument/2006/relationships/hyperlink" Target="https://archaeology.gov.lk/index.php/ancient-coins" TargetMode="External" Id="rId490" /><Relationship Type="http://schemas.openxmlformats.org/officeDocument/2006/relationships/hyperlink" Target="https://lankawebsites.com/blog/ancient-civilization-archaeology/ancient-coins-and-trade-evidence" TargetMode="External" Id="rId491" /><Relationship Type="http://schemas.openxmlformats.org/officeDocument/2006/relationships/hyperlink" Target="https://grokipedia.com/page/ancient_kadurugoda_viharaya" TargetMode="External" Id="rId492" /><Relationship Type="http://schemas.openxmlformats.org/officeDocument/2006/relationships/hyperlink" Target="https://www.tamilguardian.com/content/ancient-pandyan-coins-unearthed-mannar" TargetMode="External" Id="rId493" /><Relationship Type="http://schemas.openxmlformats.org/officeDocument/2006/relationships/hyperlink" Target="https://www.talesofceylon.com/destinations/jaffna/attractions-in-jaffna/archaeological-museum-of-jaffna/" TargetMode="External" Id="rId494" /><Relationship Type="http://schemas.openxmlformats.org/officeDocument/2006/relationships/hyperlink" Target="https://en.wikipedia.org/wiki/Archaeological_Museum,_Jaffna" TargetMode="External" Id="rId495" /><Relationship Type="http://schemas.openxmlformats.org/officeDocument/2006/relationships/hyperlink" Target="https://www.inscriptions.lk/brahmi-alphabet/?lang=en" TargetMode="External" Id="rId496" /><Relationship Type="http://schemas.openxmlformats.org/officeDocument/2006/relationships/hyperlink" Target="https://en.wikipedia.org/wiki/Brahmi_script" TargetMode="External" Id="rId497" /><Relationship Type="http://schemas.openxmlformats.org/officeDocument/2006/relationships/hyperlink" Target="https://en.wikipedia.org/wiki/Buddhism_amongst_Tamils_in_Sri_Lanka" TargetMode="External" Id="rId498" /><Relationship Type="http://schemas.openxmlformats.org/officeDocument/2006/relationships/hyperlink" Target="https://amazinglanka.com/wp/jaffna/" TargetMode="External" Id="rId499" /><Relationship Type="http://schemas.openxmlformats.org/officeDocument/2006/relationships/hyperlink" Target="https://amazinglanka.com/wp/tikali/" TargetMode="External" Id="rId500" /><Relationship Type="http://schemas.openxmlformats.org/officeDocument/2006/relationships/hyperlink" Target="https://en.wikipedia.org/wiki/Cankilian_Thoppu" TargetMode="External" Id="rId501" /><Relationship Type="http://schemas.openxmlformats.org/officeDocument/2006/relationships/hyperlink" Target="https://archaeology.gov.lk/coins/query/adsearch.php?lang=en" TargetMode="External" Id="rId502" /><Relationship Type="http://schemas.openxmlformats.org/officeDocument/2006/relationships/hyperlink" Target="https://www.dainst.org/en/newsroom/exploring-ancient-kantarodai-season-2026/918" TargetMode="External" Id="rId503" /><Relationship Type="http://schemas.openxmlformats.org/officeDocument/2006/relationships/hyperlink" Target="https://www.elanka.com.au/hero-stones-in-sri-lankas-past-by-ama-h-vanniarachchy/" TargetMode="External" Id="rId504" /><Relationship Type="http://schemas.openxmlformats.org/officeDocument/2006/relationships/hyperlink" Target="https://searchworks.stanford.edu/view/14451040" TargetMode="External" Id="rId505" /><Relationship Type="http://schemas.openxmlformats.org/officeDocument/2006/relationships/hyperlink" Target="https://inscriptions.lk/db/VInscriptionsView/1220?language=en-US" TargetMode="External" Id="rId506" /><Relationship Type="http://schemas.openxmlformats.org/officeDocument/2006/relationships/hyperlink" Target="https://www.inscriptions.lk/?lang=en" TargetMode="External" Id="rId507" /><Relationship Type="http://schemas.openxmlformats.org/officeDocument/2006/relationships/hyperlink" Target="https://www.tripadvisor.com/Attraction_Review-g304135-d8865728-Reviews-Jaffna_Archaeological_Museum-Jaffna_Northern_Province.html" TargetMode="External" Id="rId508" /><Relationship Type="http://schemas.openxmlformats.org/officeDocument/2006/relationships/hyperlink" Target="https://jaffna.top/jaffna-archaeological-museum-nallur/" TargetMode="External" Id="rId509" /><Relationship Type="http://schemas.openxmlformats.org/officeDocument/2006/relationships/hyperlink" Target="https://srilankatravelpages.com/listing/jaffna-archaeological-museum/" TargetMode="External" Id="rId510" /><Relationship Type="http://schemas.openxmlformats.org/officeDocument/2006/relationships/hyperlink" Target="https://srilankatourhelp.org/articles/explore-rich-heritage-jaffna-archaeological-museum" TargetMode="External" Id="rId511" /><Relationship Type="http://schemas.openxmlformats.org/officeDocument/2006/relationships/hyperlink" Target="https://jaffna-archaeological-museum-sri-lanka.about.lk/" TargetMode="External" Id="rId512" /><Relationship Type="http://schemas.openxmlformats.org/officeDocument/2006/relationships/hyperlink" Target="https://amazinglanka.com/wp/jaffna-museum/" TargetMode="External" Id="rId513" /><Relationship Type="http://schemas.openxmlformats.org/officeDocument/2006/relationships/hyperlink" Target="https://i-discoverasia.com/walks/jaffna-university-city-walk-sri-lanka/locations/jaffna-archaeological-museum-sri-lanka/" TargetMode="External" Id="rId514" /><Relationship Type="http://schemas.openxmlformats.org/officeDocument/2006/relationships/hyperlink" Target="https://journesrilanka.com/trips/jaffna-archeology-tour/" TargetMode="External" Id="rId515" /><Relationship Type="http://schemas.openxmlformats.org/officeDocument/2006/relationships/hyperlink" Target="https://www.lanka-excursions-holidays.com/kandarodai.html" TargetMode="External" Id="rId516" /><Relationship Type="http://schemas.openxmlformats.org/officeDocument/2006/relationships/hyperlink" Target="https://www.atlasobscura.com/places/kantharodai" TargetMode="External" Id="rId517" /><Relationship Type="http://schemas.openxmlformats.org/officeDocument/2006/relationships/hyperlink" Target="https://amazinglanka.com/wp/kurullangala/" TargetMode="External" Id="rId518" /><Relationship Type="http://schemas.openxmlformats.org/officeDocument/2006/relationships/hyperlink" Target="https://asianartnewspaper.com/the-mysterious-rock-art-of-kurullangala/" TargetMode="External" Id="rId519" /><Relationship Type="http://schemas.openxmlformats.org/officeDocument/2006/relationships/hyperlink" Target="https://en.wikipedia.org/wiki/List_of_Archaeological_Protected_Monuments_in_Jaffna_District" TargetMode="External" Id="rId520" /><Relationship Type="http://schemas.openxmlformats.org/officeDocument/2006/relationships/hyperlink" Target="https://amazinglanka.com/wp/manniththalai-settlements/" TargetMode="External" Id="rId521" /><Relationship Type="http://schemas.openxmlformats.org/officeDocument/2006/relationships/hyperlink" Target="https://archaeology.gov.lk/index.php/about/sections/museums" TargetMode="External" Id="rId522" /><Relationship Type="http://schemas.openxmlformats.org/officeDocument/2006/relationships/hyperlink" Target="https://tamildiplomat.com/new-archaeological-evidence/" TargetMode="External" Id="rId523"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24" /><Relationship Type="http://schemas.openxmlformats.org/officeDocument/2006/relationships/hyperlink" Target="https://tamilwritersguild.com/Tamil%20Brahmi%20Inscription%20Belonging%20to%2022_240119_110151.pdf" TargetMode="External" Id="rId525" /><Relationship Type="http://schemas.openxmlformats.org/officeDocument/2006/relationships/hyperlink" Target="http://repo.lib.jfn.ac.lk:8080/ujrr/bitstream/123456789/865/2/JUICE2014-Tamil%20Brahmi%20Inscription%20Belonging%20to%202200%20years%20ago%2C.pdf" TargetMode="External" Id="rId526" /><Relationship Type="http://schemas.openxmlformats.org/officeDocument/2006/relationships/hyperlink" Target="https://en.wikipedia.org/wiki/Pandya_coinage" TargetMode="External" Id="rId527" /><Relationship Type="http://schemas.openxmlformats.org/officeDocument/2006/relationships/hyperlink" Target="https://www.bradshawfoundation.com/sri_lanka/gallery/index.php" TargetMode="External" Id="rId528" /><Relationship Type="http://schemas.openxmlformats.org/officeDocument/2006/relationships/hyperlink" Target="https://www.bradshawfoundation.com/sri_lanka/rock_paintings_engraving_sites/index.php" TargetMode="External" Id="rId529" /><Relationship Type="http://schemas.openxmlformats.org/officeDocument/2006/relationships/hyperlink" Target="https://www.scribd.com/document/459454071/srilanka-herostone-pdf" TargetMode="External" Id="rId530" /><Relationship Type="http://schemas.openxmlformats.org/officeDocument/2006/relationships/hyperlink" Target="https://en.wikipedia.org/wiki/Sources_of_ancient_Tamil_history" TargetMode="External" Id="rId531" /><Relationship Type="http://schemas.openxmlformats.org/officeDocument/2006/relationships/hyperlink" Target="https://www.inscriptions.lk/db/VInscriptionsView/116?language=en-US" TargetMode="External" Id="rId532" /><Relationship Type="http://schemas.openxmlformats.org/officeDocument/2006/relationships/hyperlink" Target="https://www.aksharamukha.com/describe/TamilBrahmi" TargetMode="External" Id="rId533" /><Relationship Type="http://schemas.openxmlformats.org/officeDocument/2006/relationships/hyperlink" Target="https://www.academia.edu/Documents/in/Tamil_Brahmi" TargetMode="External" Id="rId534" /><Relationship Type="http://schemas.openxmlformats.org/officeDocument/2006/relationships/hyperlink" Target="https://sangam.org/tamil-coin-issued-by-king-ellalan-during-the-anuradhapura-era/" TargetMode="External" Id="rId535" /><Relationship Type="http://schemas.openxmlformats.org/officeDocument/2006/relationships/hyperlink" Target="https://www.scribd.com/document/375399590/Tamil-Influence-in-Ancient-Sri-Lanka-With-Special-Reference-to-Early-Brahmi-Inscriptions-All-Parts-A-Veluppillai-1979-and-1980" TargetMode="External" Id="rId536" /><Relationship Type="http://schemas.openxmlformats.org/officeDocument/2006/relationships/hyperlink" Target="https://en.bharatpedia.org/wiki/Tamil_inscriptions_in_Sri_Lanka" TargetMode="External" Id="rId537" /><Relationship Type="http://schemas.openxmlformats.org/officeDocument/2006/relationships/hyperlink" Target="https://grokipedia.com/page/tamil_inscriptions_in_sri_lanka" TargetMode="External" Id="rId538" /><Relationship Type="http://schemas.openxmlformats.org/officeDocument/2006/relationships/hyperlink" Target="https://www.wikiwand.com/en/Tamil_inscriptions_in_Sri_Lanka" TargetMode="External" Id="rId539" /><Relationship Type="http://schemas.openxmlformats.org/officeDocument/2006/relationships/hyperlink" Target="https://www.jstor.org/stable/43483806" TargetMode="External" Id="rId540" /><Relationship Type="http://schemas.openxmlformats.org/officeDocument/2006/relationships/hyperlink" Target="https://ir.lib.pdn.ac.lk/bitstreams/98390e3c-9f21-449b-b076-6276cf94f4e8/download" TargetMode="External" Id="rId541"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42" /><Relationship Type="http://schemas.openxmlformats.org/officeDocument/2006/relationships/hyperlink" Target="https://www.unesco.org/en/memory-world/trilingual-inscription-tribhashasellipiya" TargetMode="External" Id="rId543" /><Relationship Type="http://schemas.openxmlformats.org/officeDocument/2006/relationships/hyperlink" Target="http://libcat.lib.jfn.ac.lk/cgi-bin/koha/opac-detail.pl?biblionumber=54703" TargetMode="External" Id="rId544" /><Relationship Type="http://schemas.openxmlformats.org/officeDocument/2006/relationships/hyperlink" Target="https://en.wikipedia.org/wiki/Vallipuram" TargetMode="External" Id="rId545" /><Relationship Type="http://schemas.openxmlformats.org/officeDocument/2006/relationships/hyperlink" Target="https://amazinglanka.com/wp/vanni-bandara-en/" TargetMode="External" Id="rId546" /><Relationship Type="http://schemas.openxmlformats.org/officeDocument/2006/relationships/hyperlink" Target="https://noolaham.org/wiki/index.php/Vanni_and_The_Vanniyas" TargetMode="External" Id="rId547"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48" /><Relationship Type="http://schemas.openxmlformats.org/officeDocument/2006/relationships/hyperlink" Target="https://www.ilakku.org/tamil-brahmi-in-sri-lanka/" TargetMode="External" Id="rId549" /><Relationship Type="http://schemas.openxmlformats.org/officeDocument/2006/relationships/hyperlink" Target="https://telibrary.com/ancient-language-of-eelam-and-archaeological-evidence/" TargetMode="External" Id="rId550"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51" /><Relationship Type="http://schemas.openxmlformats.org/officeDocument/2006/relationships/hyperlink" Target="https://ngmtamil.in/kalanjiyam-tamil/index.php/kalanjiyam/article/view/58" TargetMode="External" Id="rId552" /><Relationship Type="http://schemas.openxmlformats.org/officeDocument/2006/relationships/hyperlink" Target="https://ta.wikipedia.org/wiki/%E0%AE%A4%E0%AE%AE%E0%AE%BF%E0%AE%B4%E0%AF%8D%E0%AE%95%E0%AF%8D_%E0%AE%95%E0%AE%B2%E0%AF%8D%E0%AE%B5%E0%AF%86%E0%AE%9F%E0%AF%8D%E0%AE%9F%E0%AF%81%E0%AE%95%E0%AE%B3%E0%AF%8D" TargetMode="External" Id="rId553" /><Relationship Type="http://schemas.openxmlformats.org/officeDocument/2006/relationships/hyperlink" Target="https://ta.wikipedia.org/wiki/%E0%AE%A4%E0%AE%AE%E0%AF%8D%E0%AE%AA%E0%AE%BF%E0%AE%B2%E0%AF%81%E0%AE%B5%E0%AE%BF%E0%AE%B2%E0%AF%8D_%E0%AE%95%E0%AE%B2%E0%AF%8D%E0%AE%B5%E0%AF%86%E0%AE%9F%E0%AF%8D%E0%AE%9F%E0%AF%81" TargetMode="External" Id="rId554" /><Relationship Type="http://schemas.openxmlformats.org/officeDocument/2006/relationships/hyperlink" Target="https://jvpnews.com/article/rare-tamil-inscription-found-in-trincomalee-1637737357" TargetMode="External" Id="rId555" /><Relationship Type="http://schemas.openxmlformats.org/officeDocument/2006/relationships/hyperlink" Target="https://www.ezhunaonline.com/historical-background-of-ancient-tamil-coins-found-in-south-lanka/" TargetMode="External" Id="rId556" /><Relationship Type="http://schemas.openxmlformats.org/officeDocument/2006/relationships/hyperlink" Target="http://repo.lib.jfn.ac.lk/xmlui/handle/123456789/8444" TargetMode="External" Id="rId557" /><Relationship Type="http://schemas.openxmlformats.org/officeDocument/2006/relationships/hyperlink" Target="https://telibrary.com/category/history/%E0%AE%AF%E0%AE%BE%E0%AE%B4%E0%AF%8D%E0%AE%AA%E0%AF%8D%E0%AE%AA%E0%AE%BE%E0%AE%A3-%E0%AE%87%E0%AE%B0%E0%AE%BE%E0%AE%9A%E0%AF%8D%E0%AE%9A%E0%AE%BF%E0%AE%AF%E0%AE%AE%E0%AF%8D/" TargetMode="External" Id="rId558" /><Relationship Type="http://schemas.openxmlformats.org/officeDocument/2006/relationships/hyperlink" Target="https://treasurehouseofjaffna.com/%E0%AE%AF%E0%AE%BE%E0%AE%B4%E0%AF%8D%E0%AE%AA%E0%AF%8D%E0%AE%AA%E0%AE%BE%E0%AE%A3-%E0%AE%B5%E0%AE%B0%E0%AE%B2%E0%AE%BE%E0%AE%B1%E0%AF%81/" TargetMode="External" Id="rId559" /><Relationship Type="http://schemas.openxmlformats.org/officeDocument/2006/relationships/hyperlink" Target="https://jvpnews.com/article/ja-anaikottai-archeological-excavation-ceremony-1721384878" TargetMode="External" Id="rId560"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61"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2026-10-22.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Records'!$B$2:$B$562,A6)</f>
        <v/>
      </c>
      <c r="C6" s="2">
        <f>COUNTIFS('All Records'!$B$2:$B$562,A6,'All Records'!$L$2:$L$562,"Yes")</f>
        <v/>
      </c>
    </row>
    <row r="7">
      <c r="A7" s="2" t="inlineStr">
        <is>
          <t>Research Papers</t>
        </is>
      </c>
      <c r="B7" s="2">
        <f>COUNTIF('All Records'!$B$2:$B$562,A7)</f>
        <v/>
      </c>
      <c r="C7" s="2">
        <f>COUNTIFS('All Records'!$B$2:$B$562,A7,'All Records'!$L$2:$L$562,"Yes")</f>
        <v/>
      </c>
    </row>
    <row r="8">
      <c r="A8" s="2" t="inlineStr">
        <is>
          <t>Newspaper Articles</t>
        </is>
      </c>
      <c r="B8" s="2">
        <f>COUNTIF('All Records'!$B$2:$B$562,A8)</f>
        <v/>
      </c>
      <c r="C8" s="2">
        <f>COUNTIFS('All Records'!$B$2:$B$562,A8,'All Records'!$L$2:$L$562,"Yes")</f>
        <v/>
      </c>
    </row>
    <row r="9">
      <c r="A9" s="2" t="inlineStr">
        <is>
          <t>Magazines/Journals</t>
        </is>
      </c>
      <c r="B9" s="2">
        <f>COUNTIF('All Records'!$B$2:$B$562,A9)</f>
        <v/>
      </c>
      <c r="C9" s="2">
        <f>COUNTIFS('All Records'!$B$2:$B$562,A9,'All Records'!$L$2:$L$562,"Yes")</f>
        <v/>
      </c>
    </row>
    <row r="10">
      <c r="A10" s="2" t="inlineStr">
        <is>
          <t>Web Articles</t>
        </is>
      </c>
      <c r="B10" s="2">
        <f>COUNTIF('All Records'!$B$2:$B$562,A10)</f>
        <v/>
      </c>
      <c r="C10" s="2">
        <f>COUNTIFS('All Records'!$B$2:$B$562,A10,'All Records'!$L$2:$L$562,"Yes")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Records'!$J$2:$J$562,"*"&amp;A14&amp;"*")</f>
        <v/>
      </c>
    </row>
    <row r="15">
      <c r="A15" s="2" t="inlineStr">
        <is>
          <t>Brahmi / பிராமி</t>
        </is>
      </c>
      <c r="B15" s="2">
        <f>COUNTIF('All Records'!$J$2:$J$562,"*"&amp;A15&amp;"*")</f>
        <v/>
      </c>
    </row>
    <row r="16">
      <c r="A16" s="2" t="inlineStr">
        <is>
          <t>Archaeology / தொல்லியல்</t>
        </is>
      </c>
      <c r="B16" s="2">
        <f>COUNTIF('All Records'!$J$2:$J$562,"*"&amp;A16&amp;"*")</f>
        <v/>
      </c>
    </row>
    <row r="17">
      <c r="A17" s="2" t="inlineStr">
        <is>
          <t>Hero stones / நடுகல்</t>
        </is>
      </c>
      <c r="B17" s="2">
        <f>COUNTIF('All Records'!$J$2:$J$562,"*"&amp;A17&amp;"*")</f>
        <v/>
      </c>
    </row>
    <row r="18">
      <c r="A18" s="2" t="inlineStr">
        <is>
          <t>Rock art / பாறை ஓவியம்</t>
        </is>
      </c>
      <c r="B18" s="2">
        <f>COUNTIF('All Records'!$J$2:$J$562,"*"&amp;A18&amp;"*")</f>
        <v/>
      </c>
    </row>
    <row r="19">
      <c r="A19" s="2" t="inlineStr">
        <is>
          <t>Coins / நாணயம்</t>
        </is>
      </c>
      <c r="B19" s="2">
        <f>COUNTIF('All Records'!$J$2:$J$562,"*"&amp;A19&amp;"*")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Records'!$B$2:$B$562="Books")*(IFERROR(VALUE(LEFT('All Records'!$C$2:$C$562,4)),0)&gt;=1996)*(IFERROR(VALUE(LEFT('All Records'!$C$2:$C$562,4)),0)&lt;=2000))</f>
        <v/>
      </c>
      <c r="C23" s="2">
        <f>SUMPRODUCT(('All Records'!$B$2:$B$562="Research Papers")*(IFERROR(VALUE(LEFT('All Records'!$C$2:$C$562,4)),0)&gt;=1996)*(IFERROR(VALUE(LEFT('All Records'!$C$2:$C$562,4)),0)&lt;=2000))</f>
        <v/>
      </c>
      <c r="D23" s="2">
        <f>SUMPRODUCT(('All Records'!$B$2:$B$562="Newspaper Articles")*(IFERROR(VALUE(LEFT('All Records'!$C$2:$C$562,4)),0)&gt;=1996)*(IFERROR(VALUE(LEFT('All Records'!$C$2:$C$562,4)),0)&lt;=2000))</f>
        <v/>
      </c>
      <c r="E23" s="2">
        <f>SUMPRODUCT(('All Records'!$B$2:$B$562="Magazines/Journals")*(IFERROR(VALUE(LEFT('All Records'!$C$2:$C$562,4)),0)&gt;=1996)*(IFERROR(VALUE(LEFT('All Records'!$C$2:$C$562,4)),0)&lt;=2000))</f>
        <v/>
      </c>
      <c r="F23" s="2">
        <f>SUMPRODUCT(('All Records'!$B$2:$B$562="Web Articles")*(IFERROR(VALUE(LEFT('All Records'!$C$2:$C$562,4)),0)&gt;=1996)*(IFERROR(VALUE(LEFT('All Records'!$C$2:$C$562,4)),0)&lt;=2000))</f>
        <v/>
      </c>
      <c r="G23" s="4">
        <f>SUM(B23:F23)</f>
        <v/>
      </c>
    </row>
    <row r="24">
      <c r="A24" s="2" t="inlineStr">
        <is>
          <t>2001-2005</t>
        </is>
      </c>
      <c r="B24" s="2">
        <f>SUMPRODUCT(('All Records'!$B$2:$B$562="Books")*(IFERROR(VALUE(LEFT('All Records'!$C$2:$C$562,4)),0)&gt;=2001)*(IFERROR(VALUE(LEFT('All Records'!$C$2:$C$562,4)),0)&lt;=2005))</f>
        <v/>
      </c>
      <c r="C24" s="2">
        <f>SUMPRODUCT(('All Records'!$B$2:$B$562="Research Papers")*(IFERROR(VALUE(LEFT('All Records'!$C$2:$C$562,4)),0)&gt;=2001)*(IFERROR(VALUE(LEFT('All Records'!$C$2:$C$562,4)),0)&lt;=2005))</f>
        <v/>
      </c>
      <c r="D24" s="2">
        <f>SUMPRODUCT(('All Records'!$B$2:$B$562="Newspaper Articles")*(IFERROR(VALUE(LEFT('All Records'!$C$2:$C$562,4)),0)&gt;=2001)*(IFERROR(VALUE(LEFT('All Records'!$C$2:$C$562,4)),0)&lt;=2005))</f>
        <v/>
      </c>
      <c r="E24" s="2">
        <f>SUMPRODUCT(('All Records'!$B$2:$B$562="Magazines/Journals")*(IFERROR(VALUE(LEFT('All Records'!$C$2:$C$562,4)),0)&gt;=2001)*(IFERROR(VALUE(LEFT('All Records'!$C$2:$C$562,4)),0)&lt;=2005))</f>
        <v/>
      </c>
      <c r="F24" s="2">
        <f>SUMPRODUCT(('All Records'!$B$2:$B$562="Web Articles")*(IFERROR(VALUE(LEFT('All Records'!$C$2:$C$562,4)),0)&gt;=2001)*(IFERROR(VALUE(LEFT('All Records'!$C$2:$C$562,4)),0)&lt;=2005))</f>
        <v/>
      </c>
      <c r="G24" s="4">
        <f>SUM(B24:F24)</f>
        <v/>
      </c>
    </row>
    <row r="25">
      <c r="A25" s="2" t="inlineStr">
        <is>
          <t>2006-2010</t>
        </is>
      </c>
      <c r="B25" s="2">
        <f>SUMPRODUCT(('All Records'!$B$2:$B$562="Books")*(IFERROR(VALUE(LEFT('All Records'!$C$2:$C$562,4)),0)&gt;=2006)*(IFERROR(VALUE(LEFT('All Records'!$C$2:$C$562,4)),0)&lt;=2010))</f>
        <v/>
      </c>
      <c r="C25" s="2">
        <f>SUMPRODUCT(('All Records'!$B$2:$B$562="Research Papers")*(IFERROR(VALUE(LEFT('All Records'!$C$2:$C$562,4)),0)&gt;=2006)*(IFERROR(VALUE(LEFT('All Records'!$C$2:$C$562,4)),0)&lt;=2010))</f>
        <v/>
      </c>
      <c r="D25" s="2">
        <f>SUMPRODUCT(('All Records'!$B$2:$B$562="Newspaper Articles")*(IFERROR(VALUE(LEFT('All Records'!$C$2:$C$562,4)),0)&gt;=2006)*(IFERROR(VALUE(LEFT('All Records'!$C$2:$C$562,4)),0)&lt;=2010))</f>
        <v/>
      </c>
      <c r="E25" s="2">
        <f>SUMPRODUCT(('All Records'!$B$2:$B$562="Magazines/Journals")*(IFERROR(VALUE(LEFT('All Records'!$C$2:$C$562,4)),0)&gt;=2006)*(IFERROR(VALUE(LEFT('All Records'!$C$2:$C$562,4)),0)&lt;=2010))</f>
        <v/>
      </c>
      <c r="F25" s="2">
        <f>SUMPRODUCT(('All Records'!$B$2:$B$562="Web Articles")*(IFERROR(VALUE(LEFT('All Records'!$C$2:$C$562,4)),0)&gt;=2006)*(IFERROR(VALUE(LEFT('All Records'!$C$2:$C$562,4)),0)&lt;=2010))</f>
        <v/>
      </c>
      <c r="G25" s="4">
        <f>SUM(B25:F25)</f>
        <v/>
      </c>
    </row>
    <row r="26">
      <c r="A26" s="2" t="inlineStr">
        <is>
          <t>2011-2015</t>
        </is>
      </c>
      <c r="B26" s="2">
        <f>SUMPRODUCT(('All Records'!$B$2:$B$562="Books")*(IFERROR(VALUE(LEFT('All Records'!$C$2:$C$562,4)),0)&gt;=2011)*(IFERROR(VALUE(LEFT('All Records'!$C$2:$C$562,4)),0)&lt;=2015))</f>
        <v/>
      </c>
      <c r="C26" s="2">
        <f>SUMPRODUCT(('All Records'!$B$2:$B$562="Research Papers")*(IFERROR(VALUE(LEFT('All Records'!$C$2:$C$562,4)),0)&gt;=2011)*(IFERROR(VALUE(LEFT('All Records'!$C$2:$C$562,4)),0)&lt;=2015))</f>
        <v/>
      </c>
      <c r="D26" s="2">
        <f>SUMPRODUCT(('All Records'!$B$2:$B$562="Newspaper Articles")*(IFERROR(VALUE(LEFT('All Records'!$C$2:$C$562,4)),0)&gt;=2011)*(IFERROR(VALUE(LEFT('All Records'!$C$2:$C$562,4)),0)&lt;=2015))</f>
        <v/>
      </c>
      <c r="E26" s="2">
        <f>SUMPRODUCT(('All Records'!$B$2:$B$562="Magazines/Journals")*(IFERROR(VALUE(LEFT('All Records'!$C$2:$C$562,4)),0)&gt;=2011)*(IFERROR(VALUE(LEFT('All Records'!$C$2:$C$562,4)),0)&lt;=2015))</f>
        <v/>
      </c>
      <c r="F26" s="2">
        <f>SUMPRODUCT(('All Records'!$B$2:$B$562="Web Articles")*(IFERROR(VALUE(LEFT('All Records'!$C$2:$C$562,4)),0)&gt;=2011)*(IFERROR(VALUE(LEFT('All Records'!$C$2:$C$562,4)),0)&lt;=2015))</f>
        <v/>
      </c>
      <c r="G26" s="4">
        <f>SUM(B26:F26)</f>
        <v/>
      </c>
    </row>
    <row r="27">
      <c r="A27" s="2" t="inlineStr">
        <is>
          <t>2016-2020</t>
        </is>
      </c>
      <c r="B27" s="2">
        <f>SUMPRODUCT(('All Records'!$B$2:$B$562="Books")*(IFERROR(VALUE(LEFT('All Records'!$C$2:$C$562,4)),0)&gt;=2016)*(IFERROR(VALUE(LEFT('All Records'!$C$2:$C$562,4)),0)&lt;=2020))</f>
        <v/>
      </c>
      <c r="C27" s="2">
        <f>SUMPRODUCT(('All Records'!$B$2:$B$562="Research Papers")*(IFERROR(VALUE(LEFT('All Records'!$C$2:$C$562,4)),0)&gt;=2016)*(IFERROR(VALUE(LEFT('All Records'!$C$2:$C$562,4)),0)&lt;=2020))</f>
        <v/>
      </c>
      <c r="D27" s="2">
        <f>SUMPRODUCT(('All Records'!$B$2:$B$562="Newspaper Articles")*(IFERROR(VALUE(LEFT('All Records'!$C$2:$C$562,4)),0)&gt;=2016)*(IFERROR(VALUE(LEFT('All Records'!$C$2:$C$562,4)),0)&lt;=2020))</f>
        <v/>
      </c>
      <c r="E27" s="2">
        <f>SUMPRODUCT(('All Records'!$B$2:$B$562="Magazines/Journals")*(IFERROR(VALUE(LEFT('All Records'!$C$2:$C$562,4)),0)&gt;=2016)*(IFERROR(VALUE(LEFT('All Records'!$C$2:$C$562,4)),0)&lt;=2020))</f>
        <v/>
      </c>
      <c r="F27" s="2">
        <f>SUMPRODUCT(('All Records'!$B$2:$B$562="Web Articles")*(IFERROR(VALUE(LEFT('All Records'!$C$2:$C$562,4)),0)&gt;=2016)*(IFERROR(VALUE(LEFT('All Records'!$C$2:$C$562,4)),0)&lt;=2020))</f>
        <v/>
      </c>
      <c r="G27" s="4">
        <f>SUM(B27:F27)</f>
        <v/>
      </c>
    </row>
    <row r="28">
      <c r="A28" s="2" t="inlineStr">
        <is>
          <t>2021-2026</t>
        </is>
      </c>
      <c r="B28" s="2">
        <f>SUMPRODUCT(('All Records'!$B$2:$B$562="Books")*(IFERROR(VALUE(LEFT('All Records'!$C$2:$C$562,4)),0)&gt;=2021)*(IFERROR(VALUE(LEFT('All Records'!$C$2:$C$562,4)),0)&lt;=2026))</f>
        <v/>
      </c>
      <c r="C28" s="2">
        <f>SUMPRODUCT(('All Records'!$B$2:$B$562="Research Papers")*(IFERROR(VALUE(LEFT('All Records'!$C$2:$C$562,4)),0)&gt;=2021)*(IFERROR(VALUE(LEFT('All Records'!$C$2:$C$562,4)),0)&lt;=2026))</f>
        <v/>
      </c>
      <c r="D28" s="2">
        <f>SUMPRODUCT(('All Records'!$B$2:$B$562="Newspaper Articles")*(IFERROR(VALUE(LEFT('All Records'!$C$2:$C$562,4)),0)&gt;=2021)*(IFERROR(VALUE(LEFT('All Records'!$C$2:$C$562,4)),0)&lt;=2026))</f>
        <v/>
      </c>
      <c r="E28" s="2">
        <f>SUMPRODUCT(('All Records'!$B$2:$B$562="Magazines/Journals")*(IFERROR(VALUE(LEFT('All Records'!$C$2:$C$562,4)),0)&gt;=2021)*(IFERROR(VALUE(LEFT('All Records'!$C$2:$C$562,4)),0)&lt;=2026))</f>
        <v/>
      </c>
      <c r="F28" s="2">
        <f>SUMPRODUCT(('All Records'!$B$2:$B$562="Web Articles")*(IFERROR(VALUE(LEFT('All Records'!$C$2:$C$562,4)),0)&gt;=2021)*(IFERROR(VALUE(LEFT('All Records'!$C$2:$C$562,4)),0)&lt;=2026))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PDF COINS OF ANCIENT JAFFNA - telo.org</t>
        </is>
      </c>
      <c r="E12" s="9" t="n"/>
      <c r="F12" s="9" t="inlineStr">
        <is>
          <t>telo.org</t>
        </is>
      </c>
      <c r="G12" s="7" t="inlineStr">
        <is>
          <t>Web page</t>
        </is>
      </c>
      <c r="H12" s="7" t="inlineStr">
        <is>
          <t>English</t>
        </is>
      </c>
      <c r="I12" s="9" t="inlineStr">
        <is>
          <t>Coins / நாணயம்</t>
        </is>
      </c>
      <c r="J12" s="9" t="n"/>
      <c r="K12" s="7" t="inlineStr">
        <is>
          <t>Yes</t>
        </is>
      </c>
      <c r="L12" s="9" t="inlineStr">
        <is>
          <t>Web search: Tamil coins Sri Lanka archaeology. Auto-collected 2026-10-19 (ddg); review.</t>
        </is>
      </c>
      <c r="M12" s="10" t="inlineStr">
        <is>
          <t>https://telo.org/wp-content/uploads/2021/01/COINS-OF-ANCIENT-JAFFNA-REVISED-PDF.pdf</t>
        </is>
      </c>
    </row>
    <row r="13">
      <c r="A13" s="11" t="inlineStr">
        <is>
          <t>WB-0012</t>
        </is>
      </c>
      <c r="B13" s="12" t="inlineStr">
        <is>
          <t>2021</t>
        </is>
      </c>
      <c r="C13" s="11" t="n"/>
      <c r="D13" s="13" t="inlineStr">
        <is>
          <t>Rock Paintings and Engraving Sites in Sri Lanka - Lankapradeepa</t>
        </is>
      </c>
      <c r="E13" s="13" t="n"/>
      <c r="F13" s="13" t="inlineStr">
        <is>
          <t>lankapradeepa.com</t>
        </is>
      </c>
      <c r="G13" s="11" t="inlineStr">
        <is>
          <t>Web page</t>
        </is>
      </c>
      <c r="H13" s="11" t="inlineStr">
        <is>
          <t>English</t>
        </is>
      </c>
      <c r="I13" s="13" t="inlineStr">
        <is>
          <t>Rock art / பாறை ஓவியம்</t>
        </is>
      </c>
      <c r="J13" s="13" t="inlineStr">
        <is>
          <t>rock painting</t>
        </is>
      </c>
      <c r="K13" s="11" t="inlineStr">
        <is>
          <t>Yes</t>
        </is>
      </c>
      <c r="L13" s="13" t="inlineStr">
        <is>
          <t>Web search: Sri Lanka rock art cave painting. Auto-collected 2026-10-15 (ddg); review.</t>
        </is>
      </c>
      <c r="M13" s="14" t="inlineStr">
        <is>
          <t>https://www.lankapradeepa.com/2021/06/rock-paintings-and-engraving-sites-in.html</t>
        </is>
      </c>
    </row>
    <row r="14">
      <c r="A14" s="7" t="inlineStr">
        <is>
          <t>WB-0013</t>
        </is>
      </c>
      <c r="B14" s="8" t="inlineStr">
        <is>
          <t>2021</t>
        </is>
      </c>
      <c r="C14" s="7" t="n"/>
      <c r="D14" s="9" t="inlineStr">
        <is>
          <t>Sankiliyatital Archaeological Site in Jaffna</t>
        </is>
      </c>
      <c r="E14" s="9" t="inlineStr">
        <is>
          <t>Nishan Weerasooriya</t>
        </is>
      </c>
      <c r="F14" s="9" t="inlineStr">
        <is>
          <t>AmazingLanka.com</t>
        </is>
      </c>
      <c r="G14" s="7" t="inlineStr">
        <is>
          <t>Web article</t>
        </is>
      </c>
      <c r="H14" s="7" t="inlineStr">
        <is>
          <t>English</t>
        </is>
      </c>
      <c r="I14" s="9" t="inlineStr">
        <is>
          <t>Archaeology / தொல்லியல்</t>
        </is>
      </c>
      <c r="J14" s="9" t="inlineStr">
        <is>
          <t>தொல்லியல்; Jaffna</t>
        </is>
      </c>
      <c r="K14" s="7" t="inlineStr">
        <is>
          <t>Yes</t>
        </is>
      </c>
      <c r="L14" s="9" t="n"/>
      <c r="M14" s="10" t="inlineStr">
        <is>
          <t>https://amazinglanka.com/wp/sankiliyatital/</t>
        </is>
      </c>
    </row>
    <row r="15">
      <c r="A15" s="11" t="inlineStr">
        <is>
          <t>WB-0014</t>
        </is>
      </c>
      <c r="B15" s="12" t="inlineStr">
        <is>
          <t>2021</t>
        </is>
      </c>
      <c r="C15" s="11" t="inlineStr">
        <is>
          <t>2021-11-13</t>
        </is>
      </c>
      <c r="D15" s="13" t="inlineStr">
        <is>
          <t>தேவனாம்பிரியா</t>
        </is>
      </c>
      <c r="E15" s="13" t="inlineStr">
        <is>
          <t>Wikipedia contributors</t>
        </is>
      </c>
      <c r="F15" s="13" t="inlineStr">
        <is>
          <t>Wikipedia (ta)</t>
        </is>
      </c>
      <c r="G15" s="11" t="inlineStr">
        <is>
          <t>Encyclopedia article</t>
        </is>
      </c>
      <c r="H15" s="11" t="inlineStr">
        <is>
          <t>Tamil</t>
        </is>
      </c>
      <c r="I15" s="13" t="n"/>
      <c r="J15" s="13" t="n"/>
      <c r="K15" s="11" t="inlineStr">
        <is>
          <t>Yes</t>
        </is>
      </c>
      <c r="L15" s="13" t="inlineStr">
        <is>
          <t>Date = page creation. Auto-collected 2026-10-14 (wikipedia); review.</t>
        </is>
      </c>
      <c r="M15" s="14" t="inlineStr">
        <is>
          <t>https://ta.wikipedia.org/wiki/%E0%AE%A4%E0%AF%87%E0%AE%B5%E0%AE%A9%E0%AE%BE%E0%AE%AE%E0%AF%8D%E0%AE%AA%E0%AE%BF%E0%AE%B0%E0%AE%BF%E0%AE%AF%E0%AE%BE</t>
        </is>
      </c>
    </row>
    <row r="16">
      <c r="A16" s="7" t="inlineStr">
        <is>
          <t>WB-0015</t>
        </is>
      </c>
      <c r="B16" s="8" t="inlineStr">
        <is>
          <t>2021</t>
        </is>
      </c>
      <c r="C16" s="7" t="inlineStr">
        <is>
          <t>2021-12-01</t>
        </is>
      </c>
      <c r="D16" s="9" t="inlineStr">
        <is>
          <t>கோமரங்கடவலை கல்வெட்டு</t>
        </is>
      </c>
      <c r="E16" s="9" t="inlineStr">
        <is>
          <t>Wikipedia contributors</t>
        </is>
      </c>
      <c r="F16" s="9" t="inlineStr">
        <is>
          <t>Wikipedia (ta)</t>
        </is>
      </c>
      <c r="G16" s="7" t="inlineStr">
        <is>
          <t>Encyclopedia article</t>
        </is>
      </c>
      <c r="H16" s="7" t="inlineStr">
        <is>
          <t>Tamil</t>
        </is>
      </c>
      <c r="I16" s="9" t="inlineStr">
        <is>
          <t>Inscriptions / கல்வெட்டு</t>
        </is>
      </c>
      <c r="J16" s="9" t="inlineStr">
        <is>
          <t>கல்வெட்டு</t>
        </is>
      </c>
      <c r="K16" s="7" t="inlineStr">
        <is>
          <t>Yes</t>
        </is>
      </c>
      <c r="L16" s="9" t="inlineStr">
        <is>
          <t>Date = page creation. Auto-collected 2026-10-14 (wikipedia); review.</t>
        </is>
      </c>
      <c r="M16" s="10" t="inlineStr">
        <is>
          <t>https://ta.wikipedia.org/wiki/%E0%AE%95%E0%AF%8B%E0%AE%AE%E0%AE%B0%E0%AE%99%E0%AF%8D%E0%AE%95%E0%AE%9F%E0%AE%B5%E0%AE%B2%E0%AF%88_%E0%AE%95%E0%AE%B2%E0%AF%8D%E0%AE%B5%E0%AF%86%E0%AE%9F%E0%AF%8D%E0%AE%9F%E0%AF%81</t>
        </is>
      </c>
    </row>
    <row r="17">
      <c r="A17" s="11" t="inlineStr">
        <is>
          <t>WB-0016</t>
        </is>
      </c>
      <c r="B17" s="12" t="inlineStr">
        <is>
          <t>2020</t>
        </is>
      </c>
      <c r="C17" s="11" t="n"/>
      <c r="D17" s="13" t="inlineStr">
        <is>
          <t>ஈழத்துத் தொல்லியல் ஆய்வுக்களங்கள் - நிமிர்வு</t>
        </is>
      </c>
      <c r="E17" s="13" t="n"/>
      <c r="F17" s="13" t="inlineStr">
        <is>
          <t>nimirvu.org</t>
        </is>
      </c>
      <c r="G17" s="11" t="inlineStr">
        <is>
          <t>Web page</t>
        </is>
      </c>
      <c r="H17" s="11" t="inlineStr">
        <is>
          <t>Tamil</t>
        </is>
      </c>
      <c r="I17" s="13" t="inlineStr">
        <is>
          <t>Archaeology / தொல்லியல்</t>
        </is>
      </c>
      <c r="J17" s="13" t="inlineStr">
        <is>
          <t>தொல்லியல்</t>
        </is>
      </c>
      <c r="K17" s="11" t="inlineStr">
        <is>
          <t>Yes</t>
        </is>
      </c>
      <c r="L17" s="13" t="inlineStr">
        <is>
          <t>Web search: ஈழம் தொல்லியல் பிராமி. Auto-collected 2026-10-22 (ddg); review.</t>
        </is>
      </c>
      <c r="M17" s="14" t="inlineStr">
        <is>
          <t>https://www.nimirvu.org/2020/01/blog-post_14.html</t>
        </is>
      </c>
    </row>
    <row r="18">
      <c r="A18" s="7" t="inlineStr">
        <is>
          <t>WB-0017</t>
        </is>
      </c>
      <c r="B18" s="8" t="inlineStr">
        <is>
          <t>2020</t>
        </is>
      </c>
      <c r="C18" s="7" t="inlineStr">
        <is>
          <t>2020-04</t>
        </is>
      </c>
      <c r="D18" s="9" t="inlineStr">
        <is>
          <t>Tamil Inscriptions in Sri Lanka (list)</t>
        </is>
      </c>
      <c r="E18" s="9" t="inlineStr">
        <is>
          <t>Lanka Pradeepa</t>
        </is>
      </c>
      <c r="F18" s="9" t="inlineStr">
        <is>
          <t>Lanka Pradeepa (lankapradeepa.com)</t>
        </is>
      </c>
      <c r="G18" s="7" t="inlineStr">
        <is>
          <t>Web article</t>
        </is>
      </c>
      <c r="H18" s="7" t="inlineStr">
        <is>
          <t>English</t>
        </is>
      </c>
      <c r="I18" s="9" t="inlineStr">
        <is>
          <t>Inscriptions / கல்வெட்டு</t>
        </is>
      </c>
      <c r="J18" s="9" t="inlineStr">
        <is>
          <t>கல்வெட்டு; list; bibliography</t>
        </is>
      </c>
      <c r="K18" s="7" t="inlineStr">
        <is>
          <t>Yes</t>
        </is>
      </c>
      <c r="L18" s="9" t="inlineStr">
        <is>
          <t>Updated May 2023; 27 references</t>
        </is>
      </c>
      <c r="M18" s="10" t="inlineStr">
        <is>
          <t>https://www.lankapradeepa.com/2020/04/tamil-inscriptions-in-sri-lanka_16.html</t>
        </is>
      </c>
    </row>
    <row r="19">
      <c r="A19" s="11" t="inlineStr">
        <is>
          <t>WB-0018</t>
        </is>
      </c>
      <c r="B19" s="12" t="inlineStr">
        <is>
          <t>2020</t>
        </is>
      </c>
      <c r="C19" s="11" t="inlineStr">
        <is>
          <t>2020-12-11</t>
        </is>
      </c>
      <c r="D19" s="13" t="inlineStr">
        <is>
          <t>Pottery of Sri Lanka</t>
        </is>
      </c>
      <c r="E19" s="13" t="inlineStr">
        <is>
          <t>Wikipedia contributors</t>
        </is>
      </c>
      <c r="F19" s="13" t="inlineStr">
        <is>
          <t>Wikipedia (en)</t>
        </is>
      </c>
      <c r="G19" s="11" t="inlineStr">
        <is>
          <t>Encyclopedia article</t>
        </is>
      </c>
      <c r="H19" s="11" t="inlineStr">
        <is>
          <t>English</t>
        </is>
      </c>
      <c r="I19" s="13" t="n"/>
      <c r="J19" s="13" t="n"/>
      <c r="K19" s="11" t="inlineStr">
        <is>
          <t>Yes</t>
        </is>
      </c>
      <c r="L19" s="13" t="inlineStr">
        <is>
          <t>Date = page creation. Auto-collected 2026-10-14 (wikipedia); review.</t>
        </is>
      </c>
      <c r="M19" s="14" t="inlineStr">
        <is>
          <t>https://en.wikipedia.org/wiki/Pottery_of_Sri_Lanka</t>
        </is>
      </c>
    </row>
    <row r="20">
      <c r="A20" s="7" t="inlineStr">
        <is>
          <t>WB-0019</t>
        </is>
      </c>
      <c r="B20" s="8" t="inlineStr">
        <is>
          <t>2019</t>
        </is>
      </c>
      <c r="C20" s="7" t="n"/>
      <c r="D20" s="9" t="inlineStr">
        <is>
          <t>Fort Fredrick (Trincomalee) - Gateway to Sri Lanka</t>
        </is>
      </c>
      <c r="E20" s="9" t="n"/>
      <c r="F20" s="9" t="inlineStr">
        <is>
          <t>lankapradeepa.com</t>
        </is>
      </c>
      <c r="G20" s="7" t="inlineStr">
        <is>
          <t>Web page</t>
        </is>
      </c>
      <c r="H20" s="7" t="inlineStr">
        <is>
          <t>English</t>
        </is>
      </c>
      <c r="I20" s="9" t="n"/>
      <c r="J20" s="9" t="n"/>
      <c r="K20" s="7" t="inlineStr">
        <is>
          <t>Yes</t>
        </is>
      </c>
      <c r="L20" s="9" t="inlineStr">
        <is>
          <t>Web search: Trincomalee Tamil inscription. Auto-collected 2026-10-15 (ddg); review.</t>
        </is>
      </c>
      <c r="M20" s="10" t="inlineStr">
        <is>
          <t>https://www.lankapradeepa.com/2019/04/fort-fredrick-trincomalee.html</t>
        </is>
      </c>
    </row>
    <row r="21">
      <c r="A21" s="11" t="inlineStr">
        <is>
          <t>WB-0020</t>
        </is>
      </c>
      <c r="B21" s="12" t="inlineStr">
        <is>
          <t>2019</t>
        </is>
      </c>
      <c r="C21" s="11" t="inlineStr">
        <is>
          <t>2019-01-10</t>
        </is>
      </c>
      <c r="D21" s="13" t="inlineStr">
        <is>
          <t>Tamil inscriptions</t>
        </is>
      </c>
      <c r="E21" s="13" t="inlineStr">
        <is>
          <t>Wikipedia contributors</t>
        </is>
      </c>
      <c r="F21" s="13" t="inlineStr">
        <is>
          <t>Wikipedia (en)</t>
        </is>
      </c>
      <c r="G21" s="11" t="inlineStr">
        <is>
          <t>Encyclopedia article</t>
        </is>
      </c>
      <c r="H21" s="11" t="inlineStr">
        <is>
          <t>English</t>
        </is>
      </c>
      <c r="I21" s="13" t="inlineStr">
        <is>
          <t>Inscriptions / கல்வெட்டு</t>
        </is>
      </c>
      <c r="J21" s="13" t="inlineStr">
        <is>
          <t>inscription; inscriptions</t>
        </is>
      </c>
      <c r="K21" s="11" t="inlineStr">
        <is>
          <t>Yes</t>
        </is>
      </c>
      <c r="L21" s="13" t="inlineStr">
        <is>
          <t>Date = page creation. Auto-collected 2026-10-14 (wikipedia); review.</t>
        </is>
      </c>
      <c r="M21" s="14" t="inlineStr">
        <is>
          <t>https://en.wikipedia.org/wiki/Tamil_inscriptions</t>
        </is>
      </c>
    </row>
    <row r="22">
      <c r="A22" s="7" t="inlineStr">
        <is>
          <t>WB-0021</t>
        </is>
      </c>
      <c r="B22" s="8" t="inlineStr">
        <is>
          <t>2019</t>
        </is>
      </c>
      <c r="C22" s="7" t="inlineStr">
        <is>
          <t>2019-09-08</t>
        </is>
      </c>
      <c r="D22" s="9" t="inlineStr">
        <is>
          <t>வெடுக்குநாறிமலை ஆதி லிங்கேஸ்வரர் ஆலயம்</t>
        </is>
      </c>
      <c r="E22" s="9" t="inlineStr">
        <is>
          <t>Wikipedia contributors</t>
        </is>
      </c>
      <c r="F22" s="9" t="inlineStr">
        <is>
          <t>Wikipedia (ta)</t>
        </is>
      </c>
      <c r="G22" s="7" t="inlineStr">
        <is>
          <t>Encyclopedia article</t>
        </is>
      </c>
      <c r="H22" s="7" t="inlineStr">
        <is>
          <t>Tamil</t>
        </is>
      </c>
      <c r="I22" s="9" t="n"/>
      <c r="J22" s="9" t="n"/>
      <c r="K22" s="7" t="inlineStr">
        <is>
          <t>Yes</t>
        </is>
      </c>
      <c r="L22" s="9" t="inlineStr">
        <is>
          <t>Date = page creation. Auto-collected 2026-10-14 (wikipedia); review.</t>
        </is>
      </c>
      <c r="M22" s="10" t="inlineStr">
        <is>
          <t>https://ta.wikipedia.org/wiki/%E0%AE%B5%E0%AF%86%E0%AE%9F%E0%AF%81%E0%AE%95%E0%AF%8D%E0%AE%95%E0%AF%81%E0%AE%A8%E0%AE%BE%E0%AE%B1%E0%AE%BF%E0%AE%AE%E0%AE%B2%E0%AF%88_%E0%AE%86%E0%AE%A4%E0%AE%BF_%E0%AE%B2%E0%AE%BF%E0%AE%99%E0%AF%8D%E0%AE%95%E0%AF%87%E0%AE%B8%E0%AF%8D%E0%AE%B5%E0%AE%B0%E0%AE%B0%E0%AF%8D_%E0%AE%86%E0%AE%B2%E0%AE%AF%E0%AE%AE%E0%AF%8D</t>
        </is>
      </c>
    </row>
    <row r="23">
      <c r="A23" s="11" t="inlineStr">
        <is>
          <t>WB-0022</t>
        </is>
      </c>
      <c r="B23" s="12" t="inlineStr">
        <is>
          <t>2017</t>
        </is>
      </c>
      <c r="C23" s="11" t="inlineStr">
        <is>
          <t>2017-01-15</t>
        </is>
      </c>
      <c r="D23" s="13" t="inlineStr">
        <is>
          <t>Mantri Manai</t>
        </is>
      </c>
      <c r="E23" s="13" t="inlineStr">
        <is>
          <t>Wikipedia contributors</t>
        </is>
      </c>
      <c r="F23" s="13" t="inlineStr">
        <is>
          <t>Wikipedia (en)</t>
        </is>
      </c>
      <c r="G23" s="11" t="inlineStr">
        <is>
          <t>Encyclopedia article</t>
        </is>
      </c>
      <c r="H23" s="11" t="inlineStr">
        <is>
          <t>English</t>
        </is>
      </c>
      <c r="I23" s="13" t="n"/>
      <c r="J23" s="13" t="n"/>
      <c r="K23" s="11" t="inlineStr">
        <is>
          <t>Yes</t>
        </is>
      </c>
      <c r="L23" s="13" t="inlineStr">
        <is>
          <t>Date = page creation. Auto-collected 2026-10-14 (wikipedia); review.</t>
        </is>
      </c>
      <c r="M23" s="14" t="inlineStr">
        <is>
          <t>https://en.wikipedia.org/wiki/Mantri_Manai</t>
        </is>
      </c>
    </row>
    <row r="24">
      <c r="A24" s="7" t="inlineStr">
        <is>
          <t>WB-0023</t>
        </is>
      </c>
      <c r="B24" s="8" t="inlineStr">
        <is>
          <t>2016</t>
        </is>
      </c>
      <c r="C24" s="7" t="inlineStr">
        <is>
          <t>2016-01-15</t>
        </is>
      </c>
      <c r="D24" s="9" t="inlineStr">
        <is>
          <t>நாடு காட்டுப் பரவணிக் கல்வெட்டு</t>
        </is>
      </c>
      <c r="E24" s="9" t="inlineStr">
        <is>
          <t>Wikipedia contributors</t>
        </is>
      </c>
      <c r="F24" s="9" t="inlineStr">
        <is>
          <t>Wikipedia (ta)</t>
        </is>
      </c>
      <c r="G24" s="7" t="inlineStr">
        <is>
          <t>Encyclopedia article</t>
        </is>
      </c>
      <c r="H24" s="7" t="inlineStr">
        <is>
          <t>Tamil</t>
        </is>
      </c>
      <c r="I24" s="9" t="inlineStr">
        <is>
          <t>Inscriptions / கல்வெட்டு</t>
        </is>
      </c>
      <c r="J24" s="9" t="inlineStr">
        <is>
          <t>கல்வெட்டு</t>
        </is>
      </c>
      <c r="K24" s="7" t="inlineStr">
        <is>
          <t>Yes</t>
        </is>
      </c>
      <c r="L24" s="9" t="inlineStr">
        <is>
          <t>Date = page creation. Auto-collected 2026-10-14 (wikipedia); review.</t>
        </is>
      </c>
      <c r="M24" s="10" t="inlineStr">
        <is>
          <t>https://ta.wikipedia.org/wiki/%E0%AE%A8%E0%AE%BE%E0%AE%9F%E0%AF%81_%E0%AE%95%E0%AE%BE%E0%AE%9F%E0%AF%8D%E0%AE%9F%E0%AF%81%E0%AE%AA%E0%AF%8D_%E0%AE%AA%E0%AE%B0%E0%AE%B5%E0%AE%A3%E0%AE%BF%E0%AE%95%E0%AF%8D_%E0%AE%95%E0%AE%B2%E0%AF%8D%E0%AE%B5%E0%AF%86%E0%AE%9F%E0%AF%8D%E0%AE%9F%E0%AF%81</t>
        </is>
      </c>
    </row>
    <row r="25">
      <c r="A25" s="11" t="inlineStr">
        <is>
          <t>WB-0024</t>
        </is>
      </c>
      <c r="B25" s="12" t="inlineStr">
        <is>
          <t>2016</t>
        </is>
      </c>
      <c r="C25" s="11" t="inlineStr">
        <is>
          <t>2016-02-21</t>
        </is>
      </c>
      <c r="D25" s="13" t="inlineStr">
        <is>
          <t>Velgam Vehera</t>
        </is>
      </c>
      <c r="E25" s="13" t="inlineStr">
        <is>
          <t>Wikipedia contributors</t>
        </is>
      </c>
      <c r="F25" s="13" t="inlineStr">
        <is>
          <t>Wikipedia (en)</t>
        </is>
      </c>
      <c r="G25" s="11" t="inlineStr">
        <is>
          <t>Encyclopedia article</t>
        </is>
      </c>
      <c r="H25" s="11" t="inlineStr">
        <is>
          <t>English</t>
        </is>
      </c>
      <c r="I25" s="13" t="n"/>
      <c r="J25" s="13" t="n"/>
      <c r="K25" s="11" t="inlineStr">
        <is>
          <t>Yes</t>
        </is>
      </c>
      <c r="L25" s="13" t="inlineStr">
        <is>
          <t>Date = page creation. Auto-collected 2026-10-14 (wikipedia); review.</t>
        </is>
      </c>
      <c r="M25" s="14" t="inlineStr">
        <is>
          <t>https://en.wikipedia.org/wiki/Velgam_Vehera</t>
        </is>
      </c>
    </row>
    <row r="26">
      <c r="A26" s="7" t="inlineStr">
        <is>
          <t>WB-0025</t>
        </is>
      </c>
      <c r="B26" s="8" t="inlineStr">
        <is>
          <t>2016</t>
        </is>
      </c>
      <c r="C26" s="7" t="inlineStr">
        <is>
          <t>2016-04-03</t>
        </is>
      </c>
      <c r="D26" s="9" t="inlineStr">
        <is>
          <t>Kulakkottan</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https://en.wikipedia.org/wiki/Kulakkottan</t>
        </is>
      </c>
    </row>
    <row r="27">
      <c r="A27" s="11" t="inlineStr">
        <is>
          <t>WB-0026</t>
        </is>
      </c>
      <c r="B27" s="12" t="inlineStr">
        <is>
          <t>2016</t>
        </is>
      </c>
      <c r="C27" s="11" t="inlineStr">
        <is>
          <t>2016-04-21</t>
        </is>
      </c>
      <c r="D27" s="13" t="inlineStr">
        <is>
          <t>யாழ்ப்பாண மாவட்டத்தில் தொல்லியல் ரீதியாக பாதுகாக்கப்பட்ட நினைவுச் சின்னங்களின் பட்டியல்</t>
        </is>
      </c>
      <c r="E27" s="13" t="inlineStr">
        <is>
          <t>Wikipedia contributors</t>
        </is>
      </c>
      <c r="F27" s="13" t="inlineStr">
        <is>
          <t>Wikipedia (ta)</t>
        </is>
      </c>
      <c r="G27" s="11" t="inlineStr">
        <is>
          <t>Encyclopedia article</t>
        </is>
      </c>
      <c r="H27" s="11" t="inlineStr">
        <is>
          <t>Tamil</t>
        </is>
      </c>
      <c r="I27" s="13" t="inlineStr">
        <is>
          <t>Archaeology / தொல்லியல்</t>
        </is>
      </c>
      <c r="J27" s="13" t="inlineStr">
        <is>
          <t>தொல்லியல்</t>
        </is>
      </c>
      <c r="K27" s="11" t="inlineStr">
        <is>
          <t>Yes</t>
        </is>
      </c>
      <c r="L27" s="13" t="inlineStr">
        <is>
          <t>Date = page creation. Auto-collected 2026-10-14 (wikipedia); review.</t>
        </is>
      </c>
      <c r="M27"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8">
      <c r="A28" s="7" t="inlineStr">
        <is>
          <t>WB-0027</t>
        </is>
      </c>
      <c r="B28" s="8" t="inlineStr">
        <is>
          <t>2016</t>
        </is>
      </c>
      <c r="C28" s="7" t="inlineStr">
        <is>
          <t>2016-12-31</t>
        </is>
      </c>
      <c r="D28" s="9" t="inlineStr">
        <is>
          <t>கந்தரோடை தொல்லியல் களம்</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https://ta.wikipedia.org/wiki/%E0%AE%95%E0%AE%A8%E0%AF%8D%E0%AE%A4%E0%AE%B0%E0%AF%8B%E0%AE%9F%E0%AF%88_%E0%AE%A4%E0%AF%8A%E0%AE%B2%E0%AF%8D%E0%AE%B2%E0%AE%BF%E0%AE%AF%E0%AE%B2%E0%AF%8D_%E0%AE%95%E0%AE%B3%E0%AE%AE%E0%AF%8D</t>
        </is>
      </c>
    </row>
    <row r="29">
      <c r="A29" s="11" t="inlineStr">
        <is>
          <t>WB-0028</t>
        </is>
      </c>
      <c r="B29" s="12" t="inlineStr">
        <is>
          <t>2015</t>
        </is>
      </c>
      <c r="C29" s="11" t="inlineStr">
        <is>
          <t>2015-02-22</t>
        </is>
      </c>
      <c r="D29" s="13" t="inlineStr">
        <is>
          <t>ஆ. வேலுப்பிள்ளை</t>
        </is>
      </c>
      <c r="E29" s="13" t="inlineStr">
        <is>
          <t>Wikipedia contributors</t>
        </is>
      </c>
      <c r="F29" s="13" t="inlineStr">
        <is>
          <t>Wikipedia (ta)</t>
        </is>
      </c>
      <c r="G29" s="11" t="inlineStr">
        <is>
          <t>Encyclopedia article</t>
        </is>
      </c>
      <c r="H29" s="11" t="inlineStr">
        <is>
          <t>Tamil</t>
        </is>
      </c>
      <c r="I29" s="13" t="n"/>
      <c r="J29" s="13" t="n"/>
      <c r="K29" s="11" t="inlineStr">
        <is>
          <t>Yes</t>
        </is>
      </c>
      <c r="L29" s="13" t="inlineStr">
        <is>
          <t>Date = page creation. Auto-collected 2026-10-14 (wikipedia); review.</t>
        </is>
      </c>
      <c r="M29" s="14" t="inlineStr">
        <is>
          <t>https://ta.wikipedia.org/wiki/%E0%AE%86._%E0%AE%B5%E0%AF%87%E0%AE%B2%E0%AF%81%E0%AE%AA%E0%AF%8D%E0%AE%AA%E0%AE%BF%E0%AE%B3%E0%AF%8D%E0%AE%B3%E0%AF%88</t>
        </is>
      </c>
    </row>
    <row r="30">
      <c r="A30" s="7" t="inlineStr">
        <is>
          <t>WB-0029</t>
        </is>
      </c>
      <c r="B30" s="8" t="inlineStr">
        <is>
          <t>2015</t>
        </is>
      </c>
      <c r="C30" s="7" t="inlineStr">
        <is>
          <t>2015-07-02</t>
        </is>
      </c>
      <c r="D30" s="9" t="inlineStr">
        <is>
          <t>Anuradhapura Museum</t>
        </is>
      </c>
      <c r="E30" s="9" t="inlineStr">
        <is>
          <t>Wikipedia contributors</t>
        </is>
      </c>
      <c r="F30" s="9" t="inlineStr">
        <is>
          <t>Wikipedia (en)</t>
        </is>
      </c>
      <c r="G30" s="7" t="inlineStr">
        <is>
          <t>Encyclopedia article</t>
        </is>
      </c>
      <c r="H30" s="7" t="inlineStr">
        <is>
          <t>English</t>
        </is>
      </c>
      <c r="I30" s="9" t="n"/>
      <c r="J30" s="9" t="n"/>
      <c r="K30" s="7" t="inlineStr">
        <is>
          <t>Yes</t>
        </is>
      </c>
      <c r="L30" s="9" t="inlineStr">
        <is>
          <t>Date = page creation. Auto-collected 2026-10-21 (wikipedia); review.</t>
        </is>
      </c>
      <c r="M30" s="10" t="inlineStr">
        <is>
          <t>https://en.wikipedia.org/wiki/Anuradhapura_Museum</t>
        </is>
      </c>
    </row>
    <row r="31">
      <c r="A31" s="11" t="inlineStr">
        <is>
          <t>WB-0030</t>
        </is>
      </c>
      <c r="B31" s="12" t="inlineStr">
        <is>
          <t>2015</t>
        </is>
      </c>
      <c r="C31" s="11" t="inlineStr">
        <is>
          <t>2015-07-17</t>
        </is>
      </c>
      <c r="D31" s="13" t="inlineStr">
        <is>
          <t>வெஸ்ஸகிரிய</t>
        </is>
      </c>
      <c r="E31" s="13" t="inlineStr">
        <is>
          <t>Wikipedia contributors</t>
        </is>
      </c>
      <c r="F31" s="13" t="inlineStr">
        <is>
          <t>Wikipedia (ta)</t>
        </is>
      </c>
      <c r="G31" s="11" t="inlineStr">
        <is>
          <t>Encyclopedia article</t>
        </is>
      </c>
      <c r="H31" s="11" t="inlineStr">
        <is>
          <t>Tamil</t>
        </is>
      </c>
      <c r="I31" s="13" t="n"/>
      <c r="J31" s="13" t="n"/>
      <c r="K31" s="11" t="inlineStr">
        <is>
          <t>Yes</t>
        </is>
      </c>
      <c r="L31" s="13" t="inlineStr">
        <is>
          <t>Date = page creation. Auto-collected 2026-10-14 (wikipedia); review.</t>
        </is>
      </c>
      <c r="M31" s="14" t="inlineStr">
        <is>
          <t>https://ta.wikipedia.org/wiki/%E0%AE%B5%E0%AF%86%E0%AE%B8%E0%AF%8D%E0%AE%B8%E0%AE%95%E0%AE%BF%E0%AE%B0%E0%AE%BF%E0%AE%AF</t>
        </is>
      </c>
    </row>
    <row r="32">
      <c r="A32" s="7" t="inlineStr">
        <is>
          <t>WB-0031</t>
        </is>
      </c>
      <c r="B32" s="8" t="inlineStr">
        <is>
          <t>2015</t>
        </is>
      </c>
      <c r="C32" s="7" t="inlineStr">
        <is>
          <t>2015-07-19</t>
        </is>
      </c>
      <c r="D32" s="9" t="inlineStr">
        <is>
          <t>அனுராதபுரம் அருங்காட்சியகம்</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https://ta.wikipedia.org/wiki/%E0%AE%85%E0%AE%A9%E0%AF%81%E0%AE%B0%E0%AE%BE%E0%AE%A4%E0%AE%AA%E0%AF%81%E0%AE%B0%E0%AE%AE%E0%AF%8D_%E0%AE%85%E0%AE%B0%E0%AF%81%E0%AE%99%E0%AF%8D%E0%AE%95%E0%AE%BE%E0%AE%9F%E0%AF%8D%E0%AE%9A%E0%AE%BF%E0%AE%AF%E0%AE%95%E0%AE%AE%E0%AF%8D</t>
        </is>
      </c>
    </row>
    <row r="33">
      <c r="A33" s="11" t="inlineStr">
        <is>
          <t>WB-0032</t>
        </is>
      </c>
      <c r="B33" s="12" t="inlineStr">
        <is>
          <t>2015</t>
        </is>
      </c>
      <c r="C33" s="11" t="inlineStr">
        <is>
          <t>2015-07-19</t>
        </is>
      </c>
      <c r="D33" s="13" t="inlineStr">
        <is>
          <t>சேனரத் பரணவிதான</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https://ta.wikipedia.org/wiki/%E0%AE%9A%E0%AF%87%E0%AE%A9%E0%AE%B0%E0%AE%A4%E0%AF%8D_%E0%AE%AA%E0%AE%B0%E0%AE%A3%E0%AE%B5%E0%AE%BF%E0%AE%A4%E0%AE%BE%E0%AE%A9</t>
        </is>
      </c>
    </row>
    <row r="34">
      <c r="A34" s="7" t="inlineStr">
        <is>
          <t>WB-0033</t>
        </is>
      </c>
      <c r="B34" s="8" t="inlineStr">
        <is>
          <t>2015</t>
        </is>
      </c>
      <c r="C34" s="7" t="inlineStr">
        <is>
          <t>2015-07-19</t>
        </is>
      </c>
      <c r="D34" s="9" t="inlineStr">
        <is>
          <t>தொல்பொருள் காட்சிச்சாலை, வவுனியா</t>
        </is>
      </c>
      <c r="E34" s="9" t="inlineStr">
        <is>
          <t>Wikipedia contributors</t>
        </is>
      </c>
      <c r="F34" s="9" t="inlineStr">
        <is>
          <t>Wikipedia (ta)</t>
        </is>
      </c>
      <c r="G34" s="7" t="inlineStr">
        <is>
          <t>Encyclopedia article</t>
        </is>
      </c>
      <c r="H34" s="7" t="inlineStr">
        <is>
          <t>Tamil</t>
        </is>
      </c>
      <c r="I34" s="9" t="inlineStr">
        <is>
          <t>Archaeology / தொல்லியல்</t>
        </is>
      </c>
      <c r="J34" s="9" t="inlineStr">
        <is>
          <t>தொல்பொருள்</t>
        </is>
      </c>
      <c r="K34" s="7" t="inlineStr">
        <is>
          <t>Yes</t>
        </is>
      </c>
      <c r="L34" s="9" t="inlineStr">
        <is>
          <t>Date = page creation. Auto-collected 2026-10-14 (wikipedia); review.</t>
        </is>
      </c>
      <c r="M34" s="10" t="inlineStr">
        <is>
          <t>https://ta.wikipedia.org/wiki/%E0%AE%A4%E0%AF%8A%E0%AE%B2%E0%AF%8D%E0%AE%AA%E0%AF%8A%E0%AE%B0%E0%AF%81%E0%AE%B3%E0%AF%8D_%E0%AE%95%E0%AE%BE%E0%AE%9F%E0%AF%8D%E0%AE%9A%E0%AE%BF%E0%AE%9A%E0%AF%8D%E0%AE%9A%E0%AE%BE%E0%AE%B2%E0%AF%88%2C_%E0%AE%B5%E0%AE%B5%E0%AF%81%E0%AE%A9%E0%AE%BF%E0%AE%AF%E0%AE%BE</t>
        </is>
      </c>
    </row>
    <row r="35">
      <c r="A35" s="11" t="inlineStr">
        <is>
          <t>WB-0034</t>
        </is>
      </c>
      <c r="B35" s="12" t="inlineStr">
        <is>
          <t>2015</t>
        </is>
      </c>
      <c r="C35" s="11" t="inlineStr">
        <is>
          <t>2015-07-23</t>
        </is>
      </c>
      <c r="D35" s="13" t="inlineStr">
        <is>
          <t>சிரான் உபேந்திர தெரணியகல</t>
        </is>
      </c>
      <c r="E35" s="13" t="inlineStr">
        <is>
          <t>Wikipedia contributors</t>
        </is>
      </c>
      <c r="F35" s="13" t="inlineStr">
        <is>
          <t>Wikipedia (ta)</t>
        </is>
      </c>
      <c r="G35" s="11" t="inlineStr">
        <is>
          <t>Encyclopedia article</t>
        </is>
      </c>
      <c r="H35" s="11" t="inlineStr">
        <is>
          <t>Tamil</t>
        </is>
      </c>
      <c r="I35" s="13" t="n"/>
      <c r="J35" s="13" t="n"/>
      <c r="K35" s="11" t="inlineStr">
        <is>
          <t>Yes</t>
        </is>
      </c>
      <c r="L35" s="13" t="inlineStr">
        <is>
          <t>Date = page creation. Auto-collected 2026-10-14 (wikipedia); review.</t>
        </is>
      </c>
      <c r="M35" s="14" t="inlineStr">
        <is>
          <t>https://ta.wikipedia.org/wiki/%E0%AE%9A%E0%AE%BF%E0%AE%B0%E0%AE%BE%E0%AE%A9%E0%AF%8D_%E0%AE%89%E0%AE%AA%E0%AF%87%E0%AE%A8%E0%AF%8D%E0%AE%A4%E0%AE%BF%E0%AE%B0_%E0%AE%A4%E0%AF%86%E0%AE%B0%E0%AE%A3%E0%AE%BF%E0%AE%AF%E0%AE%95%E0%AE%B2</t>
        </is>
      </c>
    </row>
    <row r="36">
      <c r="A36" s="7" t="inlineStr">
        <is>
          <t>WB-0035</t>
        </is>
      </c>
      <c r="B36" s="8" t="inlineStr">
        <is>
          <t>2015</t>
        </is>
      </c>
      <c r="C36" s="7" t="inlineStr">
        <is>
          <t>2015-07-24</t>
        </is>
      </c>
      <c r="D36" s="9" t="inlineStr">
        <is>
          <t>தொல்பொருளியல் திணைக்களம், இலங்கை</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A4%E0%AF%8A%E0%AE%B2%E0%AF%8D%E0%AE%AA%E0%AF%8A%E0%AE%B0%E0%AF%81%E0%AE%B3%E0%AE%BF%E0%AE%AF%E0%AE%B2%E0%AF%8D_%E0%AE%A4%E0%AE%BF%E0%AE%A3%E0%AF%88%E0%AE%95%E0%AF%8D%E0%AE%95%E0%AE%B3%E0%AE%AE%E0%AF%8D%2C_%E0%AE%87%E0%AE%B2%E0%AE%99%E0%AF%8D%E0%AE%95%E0%AF%88</t>
        </is>
      </c>
    </row>
    <row r="37">
      <c r="A37" s="11" t="inlineStr">
        <is>
          <t>WB-0036</t>
        </is>
      </c>
      <c r="B37" s="12" t="inlineStr">
        <is>
          <t>2015</t>
        </is>
      </c>
      <c r="C37" s="11" t="inlineStr">
        <is>
          <t>2015-10-07</t>
        </is>
      </c>
      <c r="D37" s="13" t="inlineStr">
        <is>
          <t>அபயகிரித் தமிழ்க் கல்வெட்டு</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t>
        </is>
      </c>
      <c r="K37" s="11" t="inlineStr">
        <is>
          <t>Yes</t>
        </is>
      </c>
      <c r="L37" s="13" t="inlineStr">
        <is>
          <t>Date = page creation. Auto-collected 2026-10-14 (wikipedia); review.</t>
        </is>
      </c>
      <c r="M37" s="14" t="inlineStr">
        <is>
          <t>https://ta.wikipedia.org/wiki/%E0%AE%85%E0%AE%AA%E0%AE%AF%E0%AE%95%E0%AE%BF%E0%AE%B0%E0%AE%BF%E0%AE%A4%E0%AF%8D_%E0%AE%A4%E0%AE%AE%E0%AE%BF%E0%AE%B4%E0%AF%8D%E0%AE%95%E0%AF%8D_%E0%AE%95%E0%AE%B2%E0%AF%8D%E0%AE%B5%E0%AF%86%E0%AE%9F%E0%AF%8D%E0%AE%9F%E0%AF%81</t>
        </is>
      </c>
    </row>
    <row r="38">
      <c r="A38" s="7" t="inlineStr">
        <is>
          <t>WB-0037</t>
        </is>
      </c>
      <c r="B38" s="8" t="inlineStr">
        <is>
          <t>2015</t>
        </is>
      </c>
      <c r="C38" s="7" t="inlineStr">
        <is>
          <t>2015-10-07</t>
        </is>
      </c>
      <c r="D38" s="9" t="inlineStr">
        <is>
          <t>இலங்கைத் தமிழ்க் கல்வெட்டுக்களின் பட்டியல்</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9">
      <c r="A39" s="11" t="inlineStr">
        <is>
          <t>WB-0038</t>
        </is>
      </c>
      <c r="B39" s="12" t="inlineStr">
        <is>
          <t>2015</t>
        </is>
      </c>
      <c r="C39" s="11" t="inlineStr">
        <is>
          <t>2015-10-09</t>
        </is>
      </c>
      <c r="D39" s="13" t="inlineStr">
        <is>
          <t>அனுராதபுரம் குமாரகணத்துப் பேரூரார் கல்வெட்டுக்கள்</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 கல்வெட்டுக்கள்</t>
        </is>
      </c>
      <c r="K39" s="11" t="inlineStr">
        <is>
          <t>Yes</t>
        </is>
      </c>
      <c r="L39" s="13" t="inlineStr">
        <is>
          <t>Date = page creation. Auto-collected 2026-10-14 (wikipedia); review.</t>
        </is>
      </c>
      <c r="M39"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0">
      <c r="A40" s="7" t="inlineStr">
        <is>
          <t>WB-0039</t>
        </is>
      </c>
      <c r="B40" s="8" t="inlineStr">
        <is>
          <t>2015</t>
        </is>
      </c>
      <c r="C40" s="7" t="inlineStr">
        <is>
          <t>2015-10-10</t>
        </is>
      </c>
      <c r="D40" s="9" t="inlineStr">
        <is>
          <t>தாழிகுமாரன் கல்வெட்டு (மாதோட்டம்)</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A4%E0%AE%BE%E0%AE%B4%E0%AE%BF%E0%AE%95%E0%AF%81%E0%AE%AE%E0%AE%BE%E0%AE%B0%E0%AE%A9%E0%AF%8D_%E0%AE%95%E0%AE%B2%E0%AF%8D%E0%AE%B5%E0%AF%86%E0%AE%9F%E0%AF%8D%E0%AE%9F%E0%AF%81_%28%E0%AE%AE%E0%AE%BE%E0%AE%A4%E0%AF%8B%E0%AE%9F%E0%AF%8D%E0%AE%9F%E0%AE%AE%E0%AF%8D%29</t>
        </is>
      </c>
    </row>
    <row r="41">
      <c r="A41" s="11" t="inlineStr">
        <is>
          <t>WB-0040</t>
        </is>
      </c>
      <c r="B41" s="12" t="inlineStr">
        <is>
          <t>2015</t>
        </is>
      </c>
      <c r="C41" s="11" t="inlineStr">
        <is>
          <t>2015-10-10</t>
        </is>
      </c>
      <c r="D41" s="13" t="inlineStr">
        <is>
          <t>பளமோட்டைக்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https://ta.wikipedia.org/wiki/%E0%AE%AA%E0%AE%B3%E0%AE%AE%E0%AF%8B%E0%AE%9F%E0%AF%8D%E0%AE%9F%E0%AF%88%E0%AE%95%E0%AF%8D_%E0%AE%95%E0%AE%B2%E0%AF%8D%E0%AE%B5%E0%AF%86%E0%AE%9F%E0%AF%8D%E0%AE%9F%E0%AF%81</t>
        </is>
      </c>
    </row>
    <row r="42">
      <c r="A42" s="7" t="inlineStr">
        <is>
          <t>WB-0041</t>
        </is>
      </c>
      <c r="B42" s="8" t="inlineStr">
        <is>
          <t>2015</t>
        </is>
      </c>
      <c r="C42" s="7" t="inlineStr">
        <is>
          <t>2015-10-11</t>
        </is>
      </c>
      <c r="D42" s="9" t="inlineStr">
        <is>
          <t>மானாங்கேணிக்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https://ta.wikipedia.org/wiki/%E0%AE%AE%E0%AE%BE%E0%AE%A9%E0%AE%BE%E0%AE%99%E0%AF%8D%E0%AE%95%E0%AF%87%E0%AE%A3%E0%AE%BF%E0%AE%95%E0%AF%8D_%E0%AE%95%E0%AE%B2%E0%AF%8D%E0%AE%B5%E0%AF%86%E0%AE%9F%E0%AF%8D%E0%AE%9F%E0%AF%81</t>
        </is>
      </c>
    </row>
    <row r="43">
      <c r="A43" s="11" t="inlineStr">
        <is>
          <t>WB-0042</t>
        </is>
      </c>
      <c r="B43" s="12" t="inlineStr">
        <is>
          <t>2015</t>
        </is>
      </c>
      <c r="C43" s="11" t="inlineStr">
        <is>
          <t>2015-10-13</t>
        </is>
      </c>
      <c r="D43" s="13" t="inlineStr">
        <is>
          <t>நிலாவெளிக்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https://ta.wikipedia.org/wiki/%E0%AE%A8%E0%AE%BF%E0%AE%B2%E0%AE%BE%E0%AE%B5%E0%AF%86%E0%AE%B3%E0%AE%BF%E0%AE%95%E0%AF%8D_%E0%AE%95%E0%AE%B2%E0%AF%8D%E0%AE%B5%E0%AF%86%E0%AE%9F%E0%AF%8D%E0%AE%9F%E0%AF%81</t>
        </is>
      </c>
    </row>
    <row r="44">
      <c r="A44" s="7" t="inlineStr">
        <is>
          <t>WB-0043</t>
        </is>
      </c>
      <c r="B44" s="8" t="inlineStr">
        <is>
          <t>2015</t>
        </is>
      </c>
      <c r="C44" s="7" t="inlineStr">
        <is>
          <t>2015-10-14</t>
        </is>
      </c>
      <c r="D44" s="9" t="inlineStr">
        <is>
          <t>அதரகுளிய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https://ta.wikipedia.org/wiki/%E0%AE%85%E0%AE%A4%E0%AE%B0%E0%AE%95%E0%AF%81%E0%AE%B3%E0%AE%BF%E0%AE%AF_%E0%AE%95%E0%AE%B2%E0%AF%8D%E0%AE%B5%E0%AF%86%E0%AE%9F%E0%AF%8D%E0%AE%9F%E0%AF%81</t>
        </is>
      </c>
    </row>
    <row r="45">
      <c r="A45" s="11" t="inlineStr">
        <is>
          <t>WB-0044</t>
        </is>
      </c>
      <c r="B45" s="12" t="inlineStr">
        <is>
          <t>2015</t>
        </is>
      </c>
      <c r="C45" s="11" t="inlineStr">
        <is>
          <t>2015-10-14</t>
        </is>
      </c>
      <c r="D45" s="13" t="inlineStr">
        <is>
          <t>ஆதகட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https://ta.wikipedia.org/wiki/%E0%AE%86%E0%AE%A4%E0%AE%95%E0%AE%9F_%E0%AE%95%E0%AE%B2%E0%AF%8D%E0%AE%B5%E0%AF%86%E0%AE%9F%E0%AF%8D%E0%AE%9F%E0%AF%81</t>
        </is>
      </c>
    </row>
    <row r="46">
      <c r="A46" s="7" t="inlineStr">
        <is>
          <t>WB-0045</t>
        </is>
      </c>
      <c r="B46" s="8" t="inlineStr">
        <is>
          <t>2015</t>
        </is>
      </c>
      <c r="C46" s="7" t="inlineStr">
        <is>
          <t>2015-10-15</t>
        </is>
      </c>
      <c r="D46" s="9" t="inlineStr">
        <is>
          <t>சிறுகுளத்தூர் உடையான்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9A%E0%AE%BF%E0%AE%B1%E0%AF%81%E0%AE%95%E0%AF%81%E0%AE%B3%E0%AE%A4%E0%AF%8D%E0%AE%A4%E0%AF%82%E0%AE%B0%E0%AF%8D_%E0%AE%89%E0%AE%9F%E0%AF%88%E0%AE%AF%E0%AE%BE%E0%AE%A9%E0%AF%8D_%E0%AE%95%E0%AE%B2%E0%AF%8D%E0%AE%B5%E0%AF%86%E0%AE%9F%E0%AF%8D%E0%AE%9F%E0%AF%81</t>
        </is>
      </c>
    </row>
    <row r="47">
      <c r="A47" s="11" t="inlineStr">
        <is>
          <t>WB-0046</t>
        </is>
      </c>
      <c r="B47" s="12" t="inlineStr">
        <is>
          <t>2015</t>
        </is>
      </c>
      <c r="C47" s="11" t="inlineStr">
        <is>
          <t>2015-10-15</t>
        </is>
      </c>
      <c r="D47" s="13" t="inlineStr">
        <is>
          <t>பொலநறுவை வேளைக்காரர்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AA%E0%AF%8A%E0%AE%B2%E0%AE%A8%E0%AE%B1%E0%AF%81%E0%AE%B5%E0%AF%88_%E0%AE%B5%E0%AF%87%E0%AE%B3%E0%AF%88%E0%AE%95%E0%AF%8D%E0%AE%95%E0%AE%BE%E0%AE%B0%E0%AE%B0%E0%AF%8D_%E0%AE%95%E0%AE%B2%E0%AF%8D%E0%AE%B5%E0%AF%86%E0%AE%9F%E0%AF%8D%E0%AE%9F%E0%AF%81</t>
        </is>
      </c>
    </row>
    <row r="48">
      <c r="A48" s="7" t="inlineStr">
        <is>
          <t>WB-0047</t>
        </is>
      </c>
      <c r="B48" s="8" t="inlineStr">
        <is>
          <t>2015</t>
        </is>
      </c>
      <c r="C48" s="7" t="inlineStr">
        <is>
          <t>2015-10-15</t>
        </is>
      </c>
      <c r="D48" s="9" t="inlineStr">
        <is>
          <t>மயிலன் குளம்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E%E0%AE%AF%E0%AE%BF%E0%AE%B2%E0%AE%A9%E0%AF%8D_%E0%AE%95%E0%AF%81%E0%AE%B3%E0%AE%AE%E0%AF%8D_%E0%AE%B5%E0%AF%87%E0%AE%B3%E0%AF%88%E0%AE%95%E0%AF%8D%E0%AE%95%E0%AE%BE%E0%AE%B0%E0%AE%B0%E0%AF%8D_%E0%AE%95%E0%AE%B2%E0%AF%8D%E0%AE%B5%E0%AF%86%E0%AE%9F%E0%AF%8D%E0%AE%9F%E0%AF%81</t>
        </is>
      </c>
    </row>
    <row r="49">
      <c r="A49" s="11" t="inlineStr">
        <is>
          <t>WB-0048</t>
        </is>
      </c>
      <c r="B49" s="12" t="inlineStr">
        <is>
          <t>2015</t>
        </is>
      </c>
      <c r="C49" s="11" t="inlineStr">
        <is>
          <t>2015-11-29</t>
        </is>
      </c>
      <c r="D49" s="13" t="inlineStr">
        <is>
          <t>Department of Archaeology (Sri Lanka)</t>
        </is>
      </c>
      <c r="E49" s="13" t="inlineStr">
        <is>
          <t>Wikipedia contributors</t>
        </is>
      </c>
      <c r="F49" s="13" t="inlineStr">
        <is>
          <t>Wikipedia (en)</t>
        </is>
      </c>
      <c r="G49" s="11" t="inlineStr">
        <is>
          <t>Encyclopedia article</t>
        </is>
      </c>
      <c r="H49" s="11" t="inlineStr">
        <is>
          <t>English</t>
        </is>
      </c>
      <c r="I49" s="13" t="inlineStr">
        <is>
          <t>Archaeology / தொல்லியல்</t>
        </is>
      </c>
      <c r="J49" s="13" t="inlineStr">
        <is>
          <t>archaeology</t>
        </is>
      </c>
      <c r="K49" s="11" t="inlineStr">
        <is>
          <t>Yes</t>
        </is>
      </c>
      <c r="L49" s="13" t="inlineStr">
        <is>
          <t>Date = page creation. Auto-collected 2026-10-14 (wikipedia); review.</t>
        </is>
      </c>
      <c r="M49" s="14" t="inlineStr">
        <is>
          <t>https://en.wikipedia.org/wiki/Department_of_Archaeology_%28Sri_Lanka%29</t>
        </is>
      </c>
    </row>
    <row r="50">
      <c r="A50" s="7" t="inlineStr">
        <is>
          <t>WB-0049</t>
        </is>
      </c>
      <c r="B50" s="8" t="inlineStr">
        <is>
          <t>2014</t>
        </is>
      </c>
      <c r="C50" s="7" t="inlineStr">
        <is>
          <t>2014-01-12</t>
        </is>
      </c>
      <c r="D50" s="9" t="inlineStr">
        <is>
          <t>Megalithic graffiti symbols</t>
        </is>
      </c>
      <c r="E50" s="9" t="inlineStr">
        <is>
          <t>Wikipedia contributors</t>
        </is>
      </c>
      <c r="F50" s="9" t="inlineStr">
        <is>
          <t>Wikipedia (en)</t>
        </is>
      </c>
      <c r="G50" s="7" t="inlineStr">
        <is>
          <t>Encyclopedia article</t>
        </is>
      </c>
      <c r="H50" s="7" t="inlineStr">
        <is>
          <t>English</t>
        </is>
      </c>
      <c r="I50" s="9" t="inlineStr">
        <is>
          <t>Brahmi / பிராமி; Archaeology / தொல்லியல்</t>
        </is>
      </c>
      <c r="J50" s="9" t="inlineStr">
        <is>
          <t>megalithic</t>
        </is>
      </c>
      <c r="K50" s="7" t="inlineStr">
        <is>
          <t>Yes</t>
        </is>
      </c>
      <c r="L50" s="9" t="inlineStr">
        <is>
          <t>Date = page creation. Auto-collected 2026-10-14 (wikipedia); review.</t>
        </is>
      </c>
      <c r="M50" s="10" t="inlineStr">
        <is>
          <t>https://en.wikipedia.org/wiki/Megalithic_graffiti_symbols</t>
        </is>
      </c>
    </row>
    <row r="51">
      <c r="A51" s="11" t="inlineStr">
        <is>
          <t>WB-0050</t>
        </is>
      </c>
      <c r="B51" s="12" t="inlineStr">
        <is>
          <t>2014</t>
        </is>
      </c>
      <c r="C51" s="11" t="inlineStr">
        <is>
          <t>2014-03-01</t>
        </is>
      </c>
      <c r="D51" s="13" t="inlineStr">
        <is>
          <t>யாழ்ப்பாண இராச்சியம் (சிற்றம்பலம்)</t>
        </is>
      </c>
      <c r="E51" s="13" t="inlineStr">
        <is>
          <t>Wikipedia contributors</t>
        </is>
      </c>
      <c r="F51" s="13" t="inlineStr">
        <is>
          <t>Wikipedia (ta)</t>
        </is>
      </c>
      <c r="G51" s="11" t="inlineStr">
        <is>
          <t>Encyclopedia article</t>
        </is>
      </c>
      <c r="H51" s="11" t="inlineStr">
        <is>
          <t>Tamil</t>
        </is>
      </c>
      <c r="I51" s="13" t="n"/>
      <c r="J51" s="13" t="n"/>
      <c r="K51" s="11" t="inlineStr">
        <is>
          <t>Yes</t>
        </is>
      </c>
      <c r="L51" s="13" t="inlineStr">
        <is>
          <t>Date = page creation. Auto-collected 2026-10-14 (wikipedia); review.</t>
        </is>
      </c>
      <c r="M51" s="14" t="inlineStr">
        <is>
          <t>https://ta.wikipedia.org/wiki/%E0%AE%AF%E0%AE%BE%E0%AE%B4%E0%AF%8D%E0%AE%AA%E0%AF%8D%E0%AE%AA%E0%AE%BE%E0%AE%A3_%E0%AE%87%E0%AE%B0%E0%AE%BE%E0%AE%9A%E0%AF%8D%E0%AE%9A%E0%AE%BF%E0%AE%AF%E0%AE%AE%E0%AF%8D_%28%E0%AE%9A%E0%AE%BF%E0%AE%B1%E0%AF%8D%E0%AE%B1%E0%AE%AE%E0%AF%8D%E0%AE%AA%E0%AE%B2%E0%AE%AE%E0%AF%8D%29</t>
        </is>
      </c>
    </row>
    <row r="52">
      <c r="A52" s="7" t="inlineStr">
        <is>
          <t>WB-0051</t>
        </is>
      </c>
      <c r="B52" s="8" t="inlineStr">
        <is>
          <t>2014</t>
        </is>
      </c>
      <c r="C52" s="7" t="inlineStr">
        <is>
          <t>2014-08-27</t>
        </is>
      </c>
      <c r="D52" s="9" t="inlineStr">
        <is>
          <t>காலி மும்மொழிக் கல்வெட்டு</t>
        </is>
      </c>
      <c r="E52" s="9" t="inlineStr">
        <is>
          <t>Wikipedia contributors</t>
        </is>
      </c>
      <c r="F52" s="9" t="inlineStr">
        <is>
          <t>Wikipedia (ta)</t>
        </is>
      </c>
      <c r="G52" s="7" t="inlineStr">
        <is>
          <t>Encyclopedia article</t>
        </is>
      </c>
      <c r="H52" s="7" t="inlineStr">
        <is>
          <t>Tamil</t>
        </is>
      </c>
      <c r="I52" s="9" t="inlineStr">
        <is>
          <t>Inscriptions / கல்வெட்டு</t>
        </is>
      </c>
      <c r="J52" s="9" t="inlineStr">
        <is>
          <t>கல்வெட்டு</t>
        </is>
      </c>
      <c r="K52" s="7" t="inlineStr">
        <is>
          <t>Yes</t>
        </is>
      </c>
      <c r="L52" s="9" t="inlineStr">
        <is>
          <t>Date = page creation. Auto-collected 2026-10-14 (wikipedia); review.</t>
        </is>
      </c>
      <c r="M52" s="10" t="inlineStr">
        <is>
          <t>https://ta.wikipedia.org/wiki/%E0%AE%95%E0%AE%BE%E0%AE%B2%E0%AE%BF_%E0%AE%AE%E0%AF%81%E0%AE%AE%E0%AF%8D%E0%AE%AE%E0%AF%8A%E0%AE%B4%E0%AE%BF%E0%AE%95%E0%AF%8D_%E0%AE%95%E0%AE%B2%E0%AF%8D%E0%AE%B5%E0%AF%86%E0%AE%9F%E0%AF%8D%E0%AE%9F%E0%AF%81</t>
        </is>
      </c>
    </row>
    <row r="53">
      <c r="A53" s="11" t="inlineStr">
        <is>
          <t>WB-0052</t>
        </is>
      </c>
      <c r="B53" s="12" t="inlineStr">
        <is>
          <t>2014</t>
        </is>
      </c>
      <c r="C53" s="11" t="inlineStr">
        <is>
          <t>2014-10-08</t>
        </is>
      </c>
      <c r="D53" s="13" t="inlineStr">
        <is>
          <t>யாழ்ப்பாணத்துச் சாசனங்கள்</t>
        </is>
      </c>
      <c r="E53" s="13" t="inlineStr">
        <is>
          <t>Wikipedia contributors</t>
        </is>
      </c>
      <c r="F53" s="13" t="inlineStr">
        <is>
          <t>Wikipedia (ta)</t>
        </is>
      </c>
      <c r="G53" s="11" t="inlineStr">
        <is>
          <t>Encyclopedia article</t>
        </is>
      </c>
      <c r="H53" s="11" t="inlineStr">
        <is>
          <t>Tamil</t>
        </is>
      </c>
      <c r="I53" s="13" t="inlineStr">
        <is>
          <t>Inscriptions / கல்வெட்டு</t>
        </is>
      </c>
      <c r="J53" s="13" t="n"/>
      <c r="K53" s="11" t="inlineStr">
        <is>
          <t>Yes</t>
        </is>
      </c>
      <c r="L53" s="13" t="inlineStr">
        <is>
          <t>Date = page creation. Auto-collected 2026-10-14 (wikipedia); review.</t>
        </is>
      </c>
      <c r="M53" s="14" t="inlineStr">
        <is>
          <t>https://ta.wikipedia.org/wiki/%E0%AE%AF%E0%AE%BE%E0%AE%B4%E0%AF%8D%E0%AE%AA%E0%AF%8D%E0%AE%AA%E0%AE%BE%E0%AE%A3%E0%AE%A4%E0%AF%8D%E0%AE%A4%E0%AF%81%E0%AE%9A%E0%AF%8D_%E0%AE%9A%E0%AE%BE%E0%AE%9A%E0%AE%A9%E0%AE%99%E0%AF%8D%E0%AE%95%E0%AE%B3%E0%AF%8D</t>
        </is>
      </c>
    </row>
    <row r="54">
      <c r="A54" s="7" t="inlineStr">
        <is>
          <t>WB-0053</t>
        </is>
      </c>
      <c r="B54" s="8" t="inlineStr">
        <is>
          <t>2014</t>
        </is>
      </c>
      <c r="C54" s="7" t="inlineStr">
        <is>
          <t>2014-10-10</t>
        </is>
      </c>
      <c r="D54" s="9" t="inlineStr">
        <is>
          <t>இலங்கையில் சங்ககால நாணயங்கள்</t>
        </is>
      </c>
      <c r="E54" s="9" t="inlineStr">
        <is>
          <t>Wikipedia contributors</t>
        </is>
      </c>
      <c r="F54" s="9" t="inlineStr">
        <is>
          <t>Wikipedia (ta)</t>
        </is>
      </c>
      <c r="G54" s="7" t="inlineStr">
        <is>
          <t>Encyclopedia article</t>
        </is>
      </c>
      <c r="H54" s="7" t="inlineStr">
        <is>
          <t>Tamil</t>
        </is>
      </c>
      <c r="I54" s="9" t="inlineStr">
        <is>
          <t>Coins / நாணயம்</t>
        </is>
      </c>
      <c r="J54" s="9" t="n"/>
      <c r="K54" s="7" t="inlineStr">
        <is>
          <t>Yes</t>
        </is>
      </c>
      <c r="L54" s="9" t="inlineStr">
        <is>
          <t>Date = page creation. Auto-collected 2026-10-14 (wikipedia); review.</t>
        </is>
      </c>
      <c r="M54" s="10" t="inlineStr">
        <is>
          <t>https://ta.wikipedia.org/wiki/%E0%AE%87%E0%AE%B2%E0%AE%99%E0%AF%8D%E0%AE%95%E0%AF%88%E0%AE%AF%E0%AE%BF%E0%AE%B2%E0%AF%8D_%E0%AE%9A%E0%AE%99%E0%AF%8D%E0%AE%95%E0%AE%95%E0%AE%BE%E0%AE%B2_%E0%AE%A8%E0%AE%BE%E0%AE%A3%E0%AE%AF%E0%AE%99%E0%AF%8D%E0%AE%95%E0%AE%B3%E0%AF%8D</t>
        </is>
      </c>
    </row>
    <row r="55">
      <c r="A55" s="11" t="inlineStr">
        <is>
          <t>WB-0054</t>
        </is>
      </c>
      <c r="B55" s="12" t="inlineStr">
        <is>
          <t>2014</t>
        </is>
      </c>
      <c r="C55" s="11" t="inlineStr">
        <is>
          <t>2014-10-10</t>
        </is>
      </c>
      <c r="D55" s="13" t="inlineStr">
        <is>
          <t>நயினாதீவுக் கல்வெட்டு</t>
        </is>
      </c>
      <c r="E55" s="13" t="inlineStr">
        <is>
          <t>Wikipedia contributors</t>
        </is>
      </c>
      <c r="F55" s="13" t="inlineStr">
        <is>
          <t>Wikipedia (ta)</t>
        </is>
      </c>
      <c r="G55" s="11" t="inlineStr">
        <is>
          <t>Encyclopedia article</t>
        </is>
      </c>
      <c r="H55" s="11" t="inlineStr">
        <is>
          <t>Tamil</t>
        </is>
      </c>
      <c r="I55" s="13" t="inlineStr">
        <is>
          <t>Inscriptions / கல்வெட்டு</t>
        </is>
      </c>
      <c r="J55" s="13" t="inlineStr">
        <is>
          <t>கல்வெட்டு</t>
        </is>
      </c>
      <c r="K55" s="11" t="inlineStr">
        <is>
          <t>Yes</t>
        </is>
      </c>
      <c r="L55" s="13" t="inlineStr">
        <is>
          <t>Date = page creation. Auto-collected 2026-10-14 (wikipedia); review.</t>
        </is>
      </c>
      <c r="M55" s="14" t="inlineStr">
        <is>
          <t>https://ta.wikipedia.org/wiki/%E0%AE%A8%E0%AE%AF%E0%AE%BF%E0%AE%A9%E0%AE%BE%E0%AE%A4%E0%AF%80%E0%AE%B5%E0%AF%81%E0%AE%95%E0%AF%8D_%E0%AE%95%E0%AE%B2%E0%AF%8D%E0%AE%B5%E0%AF%86%E0%AE%9F%E0%AF%8D%E0%AE%9F%E0%AF%81</t>
        </is>
      </c>
    </row>
    <row r="56">
      <c r="A56" s="7" t="inlineStr">
        <is>
          <t>WB-0055</t>
        </is>
      </c>
      <c r="B56" s="8" t="inlineStr">
        <is>
          <t>2014</t>
        </is>
      </c>
      <c r="C56" s="7" t="inlineStr">
        <is>
          <t>2014-10-11</t>
        </is>
      </c>
      <c r="D56" s="9" t="inlineStr">
        <is>
          <t>யாழ்ப்பாணம் பிரதான வீதிக்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F%E0%AE%BE%E0%AE%B4%E0%AF%8D%E0%AE%AA%E0%AF%8D%E0%AE%AA%E0%AE%BE%E0%AE%A3%E0%AE%AE%E0%AF%8D_%E0%AE%AA%E0%AE%BF%E0%AE%B0%E0%AE%A4%E0%AE%BE%E0%AE%A9_%E0%AE%B5%E0%AF%80%E0%AE%A4%E0%AE%BF%E0%AE%95%E0%AF%8D_%E0%AE%95%E0%AE%B2%E0%AF%8D%E0%AE%B5%E0%AF%86%E0%AE%9F%E0%AF%8D%E0%AE%9F%E0%AF%81</t>
        </is>
      </c>
    </row>
    <row r="57">
      <c r="A57" s="11" t="inlineStr">
        <is>
          <t>WB-0056</t>
        </is>
      </c>
      <c r="B57" s="12" t="inlineStr">
        <is>
          <t>2014</t>
        </is>
      </c>
      <c r="C57" s="11" t="inlineStr">
        <is>
          <t>2014-10-25</t>
        </is>
      </c>
      <c r="D57" s="13" t="inlineStr">
        <is>
          <t>கருணாகரப் பிள்ளையார் கோயிற்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95%E0%AE%B0%E0%AF%81%E0%AE%A3%E0%AE%BE%E0%AE%95%E0%AE%B0%E0%AE%AA%E0%AF%8D_%E0%AE%AA%E0%AE%BF%E0%AE%B3%E0%AF%8D%E0%AE%B3%E0%AF%88%E0%AE%AF%E0%AE%BE%E0%AE%B0%E0%AF%8D_%E0%AE%95%E0%AF%8B%E0%AE%AF%E0%AE%BF%E0%AE%B1%E0%AF%8D_%E0%AE%95%E0%AE%B2%E0%AF%8D%E0%AE%B5%E0%AF%86%E0%AE%9F%E0%AF%8D%E0%AE%9F%E0%AF%81</t>
        </is>
      </c>
    </row>
    <row r="58">
      <c r="A58" s="7" t="inlineStr">
        <is>
          <t>WB-0057</t>
        </is>
      </c>
      <c r="B58" s="8" t="inlineStr">
        <is>
          <t>2014</t>
        </is>
      </c>
      <c r="C58" s="7" t="inlineStr">
        <is>
          <t>2014-12-10</t>
        </is>
      </c>
      <c r="D58" s="9" t="inlineStr">
        <is>
          <t>இரத்தினபுரி தேசிய நூதனசாலை</t>
        </is>
      </c>
      <c r="E58" s="9" t="inlineStr">
        <is>
          <t>Wikipedia contributors</t>
        </is>
      </c>
      <c r="F58" s="9" t="inlineStr">
        <is>
          <t>Wikipedia (ta)</t>
        </is>
      </c>
      <c r="G58" s="7" t="inlineStr">
        <is>
          <t>Encyclopedia article</t>
        </is>
      </c>
      <c r="H58" s="7" t="inlineStr">
        <is>
          <t>Tamil</t>
        </is>
      </c>
      <c r="I58" s="9" t="n"/>
      <c r="J58" s="9" t="n"/>
      <c r="K58" s="7" t="inlineStr">
        <is>
          <t>Yes</t>
        </is>
      </c>
      <c r="L58" s="9" t="inlineStr">
        <is>
          <t>Date = page creation. Auto-collected 2026-10-14 (wikipedia); review.</t>
        </is>
      </c>
      <c r="M58" s="10" t="inlineStr">
        <is>
          <t>https://ta.wikipedia.org/wiki/%E0%AE%87%E0%AE%B0%E0%AE%A4%E0%AF%8D%E0%AE%A4%E0%AE%BF%E0%AE%A9%E0%AE%AA%E0%AF%81%E0%AE%B0%E0%AE%BF_%E0%AE%A4%E0%AF%87%E0%AE%9A%E0%AE%BF%E0%AE%AF_%E0%AE%A8%E0%AF%82%E0%AE%A4%E0%AE%A9%E0%AE%9A%E0%AE%BE%E0%AE%B2%E0%AF%88</t>
        </is>
      </c>
    </row>
    <row r="59">
      <c r="A59" s="11" t="inlineStr">
        <is>
          <t>WB-0058</t>
        </is>
      </c>
      <c r="B59" s="12" t="inlineStr">
        <is>
          <t>2013</t>
        </is>
      </c>
      <c r="C59" s="11" t="inlineStr">
        <is>
          <t>2013-02-02</t>
        </is>
      </c>
      <c r="D59" s="13" t="inlineStr">
        <is>
          <t>சீனர் - தமிழர் தொடர்புகள்</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https://ta.wikipedia.org/wiki/%E0%AE%9A%E0%AF%80%E0%AE%A9%E0%AE%B0%E0%AF%8D_-_%E0%AE%A4%E0%AE%AE%E0%AE%BF%E0%AE%B4%E0%AE%B0%E0%AF%8D_%E0%AE%A4%E0%AF%8A%E0%AE%9F%E0%AE%B0%E0%AF%8D%E0%AE%AA%E0%AF%81%E0%AE%95%E0%AE%B3%E0%AF%8D</t>
        </is>
      </c>
    </row>
    <row r="60">
      <c r="A60" s="7" t="inlineStr">
        <is>
          <t>WB-0059</t>
        </is>
      </c>
      <c r="B60" s="8" t="inlineStr">
        <is>
          <t>2013</t>
        </is>
      </c>
      <c r="C60" s="7" t="inlineStr">
        <is>
          <t>2013-05-10</t>
        </is>
      </c>
      <c r="D60" s="9" t="inlineStr">
        <is>
          <t>வேளிர் (ஈழம்)</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https://ta.wikipedia.org/wiki/%E0%AE%B5%E0%AF%87%E0%AE%B3%E0%AE%BF%E0%AE%B0%E0%AF%8D_%28%E0%AE%88%E0%AE%B4%E0%AE%AE%E0%AF%8D%29</t>
        </is>
      </c>
    </row>
    <row r="61">
      <c r="A61" s="11" t="inlineStr">
        <is>
          <t>WB-0060</t>
        </is>
      </c>
      <c r="B61" s="12" t="inlineStr">
        <is>
          <t>2013</t>
        </is>
      </c>
      <c r="C61" s="11" t="inlineStr">
        <is>
          <t>2013-08-21</t>
        </is>
      </c>
      <c r="D61" s="13" t="inlineStr">
        <is>
          <t>Archaeological Museum, Jaffna</t>
        </is>
      </c>
      <c r="E61" s="13" t="inlineStr">
        <is>
          <t>Wikipedia contributors</t>
        </is>
      </c>
      <c r="F61" s="13" t="inlineStr">
        <is>
          <t>Wikipedia (en)</t>
        </is>
      </c>
      <c r="G61" s="11" t="inlineStr">
        <is>
          <t>Encyclopedia article</t>
        </is>
      </c>
      <c r="H61" s="11" t="inlineStr">
        <is>
          <t>English</t>
        </is>
      </c>
      <c r="I61" s="13" t="inlineStr">
        <is>
          <t>Archaeology / தொல்லியல்</t>
        </is>
      </c>
      <c r="J61" s="13" t="inlineStr">
        <is>
          <t>archaeological</t>
        </is>
      </c>
      <c r="K61" s="11" t="inlineStr">
        <is>
          <t>Yes</t>
        </is>
      </c>
      <c r="L61" s="13" t="inlineStr">
        <is>
          <t>Date = page creation. Auto-collected 2026-10-14 (wikipedia); review.</t>
        </is>
      </c>
      <c r="M61" s="14" t="inlineStr">
        <is>
          <t>https://en.wikipedia.org/wiki/Archaeological_Museum%2C_Jaffna</t>
        </is>
      </c>
    </row>
    <row r="62">
      <c r="A62" s="7" t="inlineStr">
        <is>
          <t>WB-0061</t>
        </is>
      </c>
      <c r="B62" s="8" t="inlineStr">
        <is>
          <t>2012</t>
        </is>
      </c>
      <c r="C62" s="7" t="inlineStr">
        <is>
          <t>2012-01-17</t>
        </is>
      </c>
      <c r="D62" s="9" t="inlineStr">
        <is>
          <t>History of the Jaffna kingdom</t>
        </is>
      </c>
      <c r="E62" s="9" t="inlineStr">
        <is>
          <t>Wikipedia contributors</t>
        </is>
      </c>
      <c r="F62" s="9" t="inlineStr">
        <is>
          <t>Wikipedia (en)</t>
        </is>
      </c>
      <c r="G62" s="7" t="inlineStr">
        <is>
          <t>Encyclopedia article</t>
        </is>
      </c>
      <c r="H62" s="7" t="inlineStr">
        <is>
          <t>English</t>
        </is>
      </c>
      <c r="I62" s="9" t="n"/>
      <c r="J62" s="9" t="n"/>
      <c r="K62" s="7" t="inlineStr">
        <is>
          <t>Yes</t>
        </is>
      </c>
      <c r="L62" s="9" t="inlineStr">
        <is>
          <t>Date = page creation. Auto-collected 2026-10-14 (wikipedia); review.</t>
        </is>
      </c>
      <c r="M62" s="10" t="inlineStr">
        <is>
          <t>https://en.wikipedia.org/wiki/History_of_the_Jaffna_kingdom</t>
        </is>
      </c>
    </row>
    <row r="63">
      <c r="A63" s="11" t="inlineStr">
        <is>
          <t>WB-0062</t>
        </is>
      </c>
      <c r="B63" s="12" t="inlineStr">
        <is>
          <t>2012</t>
        </is>
      </c>
      <c r="C63" s="11" t="inlineStr">
        <is>
          <t>2012-06-27</t>
        </is>
      </c>
      <c r="D63" s="13" t="inlineStr">
        <is>
          <t>Prehistoric skeleton found in Sri Lanka</t>
        </is>
      </c>
      <c r="E63" s="13" t="n"/>
      <c r="F63" s="13" t="inlineStr">
        <is>
          <t>SEAArch (Southeast Asian Archaeology)</t>
        </is>
      </c>
      <c r="G63" s="11" t="inlineStr">
        <is>
          <t>Web article</t>
        </is>
      </c>
      <c r="H63" s="11" t="inlineStr">
        <is>
          <t>English</t>
        </is>
      </c>
      <c r="I63" s="13" t="inlineStr">
        <is>
          <t>Archaeology / தொல்லியல்</t>
        </is>
      </c>
      <c r="J63" s="13" t="inlineStr">
        <is>
          <t>prehistory; archaeology</t>
        </is>
      </c>
      <c r="K63" s="11" t="inlineStr">
        <is>
          <t>Yes</t>
        </is>
      </c>
      <c r="L63" s="13" t="n"/>
      <c r="M63" s="14" t="inlineStr">
        <is>
          <t>https://southeastasianarchaeology.com/2012/06/27/prehistoric-skeleton-found-in-sri-lanka</t>
        </is>
      </c>
    </row>
    <row r="64">
      <c r="A64" s="7" t="inlineStr">
        <is>
          <t>WB-0063</t>
        </is>
      </c>
      <c r="B64" s="8" t="inlineStr">
        <is>
          <t>2012</t>
        </is>
      </c>
      <c r="C64" s="7" t="inlineStr">
        <is>
          <t>2012-07-22</t>
        </is>
      </c>
      <c r="D64" s="9" t="inlineStr">
        <is>
          <t>Anaikoddai seal</t>
        </is>
      </c>
      <c r="E64" s="9" t="inlineStr">
        <is>
          <t>Wikipedia contributors</t>
        </is>
      </c>
      <c r="F64" s="9" t="inlineStr">
        <is>
          <t>Wikipedia (en)</t>
        </is>
      </c>
      <c r="G64" s="7" t="inlineStr">
        <is>
          <t>Encyclopedia article</t>
        </is>
      </c>
      <c r="H64" s="7" t="inlineStr">
        <is>
          <t>English</t>
        </is>
      </c>
      <c r="I64" s="9" t="inlineStr">
        <is>
          <t>Inscriptions / கல்வெட்டு</t>
        </is>
      </c>
      <c r="J64" s="9" t="n"/>
      <c r="K64" s="7" t="inlineStr">
        <is>
          <t>Yes</t>
        </is>
      </c>
      <c r="L64" s="9" t="inlineStr">
        <is>
          <t>Date = page creation. Auto-collected 2026-10-14 (wikipedia); review.</t>
        </is>
      </c>
      <c r="M64" s="10" t="inlineStr">
        <is>
          <t>https://en.wikipedia.org/wiki/Anaikoddai_seal</t>
        </is>
      </c>
    </row>
    <row r="65">
      <c r="A65" s="11" t="inlineStr">
        <is>
          <t>WB-0064</t>
        </is>
      </c>
      <c r="B65" s="12" t="inlineStr">
        <is>
          <t>2011</t>
        </is>
      </c>
      <c r="C65" s="11" t="inlineStr">
        <is>
          <t>2011-02-03</t>
        </is>
      </c>
      <c r="D65" s="13" t="inlineStr">
        <is>
          <t>இலங்கைத் தமிழர் வரலாறு - தமிழ் நூல் பட்டியல்</t>
        </is>
      </c>
      <c r="E65" s="13" t="inlineStr">
        <is>
          <t>Wikipedia contributors</t>
        </is>
      </c>
      <c r="F65" s="13" t="inlineStr">
        <is>
          <t>Wikipedia (ta)</t>
        </is>
      </c>
      <c r="G65" s="11" t="inlineStr">
        <is>
          <t>Encyclopedia article</t>
        </is>
      </c>
      <c r="H65" s="11" t="inlineStr">
        <is>
          <t>Tamil</t>
        </is>
      </c>
      <c r="I65" s="13" t="n"/>
      <c r="J65" s="13" t="n"/>
      <c r="K65" s="11" t="inlineStr">
        <is>
          <t>Yes</t>
        </is>
      </c>
      <c r="L65" s="13" t="inlineStr">
        <is>
          <t>Date = page creation. Auto-collected 2026-10-14 (wikipedia); review.</t>
        </is>
      </c>
      <c r="M65"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6">
      <c r="A66" s="7" t="inlineStr">
        <is>
          <t>WB-0065</t>
        </is>
      </c>
      <c r="B66" s="8" t="inlineStr">
        <is>
          <t>2011</t>
        </is>
      </c>
      <c r="C66" s="7" t="inlineStr">
        <is>
          <t>2011-09-01</t>
        </is>
      </c>
      <c r="D66" s="9" t="inlineStr">
        <is>
          <t>மட்டக்களப்பு மான்மியம்</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https://ta.wikipedia.org/wiki/%E0%AE%AE%E0%AE%9F%E0%AF%8D%E0%AE%9F%E0%AE%95%E0%AF%8D%E0%AE%95%E0%AE%B3%E0%AE%AA%E0%AF%8D%E0%AE%AA%E0%AF%81_%E0%AE%AE%E0%AE%BE%E0%AE%A9%E0%AF%8D%E0%AE%AE%E0%AE%BF%E0%AE%AF%E0%AE%AE%E0%AF%8D</t>
        </is>
      </c>
    </row>
    <row r="67">
      <c r="A67" s="11" t="inlineStr">
        <is>
          <t>WB-0066</t>
        </is>
      </c>
      <c r="B67" s="12" t="inlineStr">
        <is>
          <t>2010</t>
        </is>
      </c>
      <c r="C67" s="11" t="inlineStr">
        <is>
          <t>2010-08-06</t>
        </is>
      </c>
      <c r="D67" s="13" t="inlineStr">
        <is>
          <t>நாயன்மார்கட்டுக் கல்வெட்டு</t>
        </is>
      </c>
      <c r="E67" s="13" t="inlineStr">
        <is>
          <t>Wikipedia contributors</t>
        </is>
      </c>
      <c r="F67" s="13" t="inlineStr">
        <is>
          <t>Wikipedia (ta)</t>
        </is>
      </c>
      <c r="G67" s="11" t="inlineStr">
        <is>
          <t>Encyclopedia article</t>
        </is>
      </c>
      <c r="H67" s="11" t="inlineStr">
        <is>
          <t>Tamil</t>
        </is>
      </c>
      <c r="I67" s="13" t="inlineStr">
        <is>
          <t>Inscriptions / கல்வெட்டு</t>
        </is>
      </c>
      <c r="J67" s="13" t="inlineStr">
        <is>
          <t>கல்வெட்டு</t>
        </is>
      </c>
      <c r="K67" s="11" t="inlineStr">
        <is>
          <t>Yes</t>
        </is>
      </c>
      <c r="L67" s="13" t="inlineStr">
        <is>
          <t>Date = page creation. Auto-collected 2026-10-14 (wikipedia); review.</t>
        </is>
      </c>
      <c r="M67" s="14" t="inlineStr">
        <is>
          <t>https://ta.wikipedia.org/wiki/%E0%AE%A8%E0%AE%BE%E0%AE%AF%E0%AE%A9%E0%AF%8D%E0%AE%AE%E0%AE%BE%E0%AE%B0%E0%AF%8D%E0%AE%95%E0%AE%9F%E0%AF%8D%E0%AE%9F%E0%AF%81%E0%AE%95%E0%AF%8D_%E0%AE%95%E0%AE%B2%E0%AF%8D%E0%AE%B5%E0%AF%86%E0%AE%9F%E0%AF%8D%E0%AE%9F%E0%AF%81</t>
        </is>
      </c>
    </row>
    <row r="68">
      <c r="A68" s="7" t="inlineStr">
        <is>
          <t>WB-0067</t>
        </is>
      </c>
      <c r="B68" s="8" t="inlineStr">
        <is>
          <t>2010</t>
        </is>
      </c>
      <c r="C68" s="7" t="inlineStr">
        <is>
          <t>2010-11-01</t>
        </is>
      </c>
      <c r="D68" s="9" t="inlineStr">
        <is>
          <t>Tissamaharama inscription No. 53</t>
        </is>
      </c>
      <c r="E68" s="9" t="inlineStr">
        <is>
          <t>Wikipedia contributors</t>
        </is>
      </c>
      <c r="F68" s="9" t="inlineStr">
        <is>
          <t>Wikipedia (en)</t>
        </is>
      </c>
      <c r="G68" s="7" t="inlineStr">
        <is>
          <t>Encyclopedia article</t>
        </is>
      </c>
      <c r="H68" s="7" t="inlineStr">
        <is>
          <t>English</t>
        </is>
      </c>
      <c r="I68" s="9" t="inlineStr">
        <is>
          <t>Inscriptions / கல்வெட்டு</t>
        </is>
      </c>
      <c r="J68" s="9" t="inlineStr">
        <is>
          <t>inscription</t>
        </is>
      </c>
      <c r="K68" s="7" t="inlineStr">
        <is>
          <t>Yes</t>
        </is>
      </c>
      <c r="L68" s="9" t="inlineStr">
        <is>
          <t>Date = page creation. Auto-collected 2026-10-14 (wikipedia); review.</t>
        </is>
      </c>
      <c r="M68" s="10" t="inlineStr">
        <is>
          <t>https://en.wikipedia.org/wiki/Tissamaharama_inscription_No._53</t>
        </is>
      </c>
    </row>
    <row r="69">
      <c r="A69" s="11" t="inlineStr">
        <is>
          <t>WB-0068</t>
        </is>
      </c>
      <c r="B69" s="12" t="inlineStr">
        <is>
          <t>2008</t>
        </is>
      </c>
      <c r="C69" s="11" t="inlineStr">
        <is>
          <t>2008-08-09</t>
        </is>
      </c>
      <c r="D69" s="13" t="inlineStr">
        <is>
          <t>Galle Trilingual Inscription</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2026-10-15 (wikipedia); review.</t>
        </is>
      </c>
      <c r="M69" s="14" t="inlineStr">
        <is>
          <t>https://en.wikipedia.org/wiki/Galle_Trilingual_Inscription</t>
        </is>
      </c>
    </row>
    <row r="70">
      <c r="A70" s="7" t="inlineStr">
        <is>
          <t>WB-0069</t>
        </is>
      </c>
      <c r="B70" s="8" t="inlineStr">
        <is>
          <t>2008</t>
        </is>
      </c>
      <c r="C70" s="7" t="inlineStr">
        <is>
          <t>2008-08-09</t>
        </is>
      </c>
      <c r="D70" s="9" t="inlineStr">
        <is>
          <t>Prehistory of Sri Lanka</t>
        </is>
      </c>
      <c r="E70" s="9" t="inlineStr">
        <is>
          <t>Wikipedia contributors</t>
        </is>
      </c>
      <c r="F70" s="9" t="inlineStr">
        <is>
          <t>Wikipedia (en)</t>
        </is>
      </c>
      <c r="G70" s="7" t="inlineStr">
        <is>
          <t>Encyclopedia article</t>
        </is>
      </c>
      <c r="H70" s="7" t="inlineStr">
        <is>
          <t>English</t>
        </is>
      </c>
      <c r="I70" s="9" t="n"/>
      <c r="J70" s="9" t="n"/>
      <c r="K70" s="7" t="inlineStr">
        <is>
          <t>Yes</t>
        </is>
      </c>
      <c r="L70" s="9" t="inlineStr">
        <is>
          <t>Date = page creation. Auto-collected 2026-10-14 (wikipedia); review.</t>
        </is>
      </c>
      <c r="M70" s="10" t="inlineStr">
        <is>
          <t>https://en.wikipedia.org/wiki/Prehistory_of_Sri_Lanka</t>
        </is>
      </c>
    </row>
    <row r="71">
      <c r="A71" s="11" t="inlineStr">
        <is>
          <t>WB-0070</t>
        </is>
      </c>
      <c r="B71" s="12" t="inlineStr">
        <is>
          <t>2008</t>
        </is>
      </c>
      <c r="C71" s="11" t="inlineStr">
        <is>
          <t>2008-10-12</t>
        </is>
      </c>
      <c r="D71" s="13" t="inlineStr">
        <is>
          <t>கா. இந்திரபாலா</t>
        </is>
      </c>
      <c r="E71" s="13" t="inlineStr">
        <is>
          <t>Wikipedia contributors</t>
        </is>
      </c>
      <c r="F71" s="13" t="inlineStr">
        <is>
          <t>Wikipedia (ta)</t>
        </is>
      </c>
      <c r="G71" s="11" t="inlineStr">
        <is>
          <t>Encyclopedia article</t>
        </is>
      </c>
      <c r="H71" s="11" t="inlineStr">
        <is>
          <t>Tamil</t>
        </is>
      </c>
      <c r="I71" s="13" t="n"/>
      <c r="J71" s="13" t="n"/>
      <c r="K71" s="11" t="inlineStr">
        <is>
          <t>Yes</t>
        </is>
      </c>
      <c r="L71" s="13" t="inlineStr">
        <is>
          <t>Date = page creation. Auto-collected 2026-10-14 (wikipedia); review.</t>
        </is>
      </c>
      <c r="M71" s="14" t="inlineStr">
        <is>
          <t>https://ta.wikipedia.org/wiki/%E0%AE%95%E0%AE%BE._%E0%AE%87%E0%AE%A8%E0%AF%8D%E0%AE%A4%E0%AE%BF%E0%AE%B0%E0%AE%AA%E0%AE%BE%E0%AE%B2%E0%AE%BE</t>
        </is>
      </c>
    </row>
    <row r="72">
      <c r="A72" s="7" t="inlineStr">
        <is>
          <t>WB-0071</t>
        </is>
      </c>
      <c r="B72" s="8" t="inlineStr">
        <is>
          <t>2008</t>
        </is>
      </c>
      <c r="C72" s="7" t="inlineStr">
        <is>
          <t>2008-12-27</t>
        </is>
      </c>
      <c r="D72" s="9" t="inlineStr">
        <is>
          <t>Kandarodai</t>
        </is>
      </c>
      <c r="E72" s="9" t="inlineStr">
        <is>
          <t>Wikipedia contributors</t>
        </is>
      </c>
      <c r="F72" s="9" t="inlineStr">
        <is>
          <t>Wikipedia (en)</t>
        </is>
      </c>
      <c r="G72" s="7" t="inlineStr">
        <is>
          <t>Encyclopedia article</t>
        </is>
      </c>
      <c r="H72" s="7" t="inlineStr">
        <is>
          <t>English</t>
        </is>
      </c>
      <c r="I72" s="9" t="n"/>
      <c r="J72" s="9" t="n"/>
      <c r="K72" s="7" t="inlineStr">
        <is>
          <t>Yes</t>
        </is>
      </c>
      <c r="L72" s="9" t="inlineStr">
        <is>
          <t>Date = page creation. Auto-collected 2026-10-14 (wikipedia); review.</t>
        </is>
      </c>
      <c r="M72" s="10" t="inlineStr">
        <is>
          <t>https://en.wikipedia.org/wiki/Kandarodai</t>
        </is>
      </c>
    </row>
    <row r="73">
      <c r="A73" s="11" t="inlineStr">
        <is>
          <t>WB-0072</t>
        </is>
      </c>
      <c r="B73" s="12" t="inlineStr">
        <is>
          <t>2007</t>
        </is>
      </c>
      <c r="C73" s="11" t="inlineStr">
        <is>
          <t>2007-02-02</t>
        </is>
      </c>
      <c r="D73" s="13" t="inlineStr">
        <is>
          <t>Sri Lankan Tamil literature</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2026-10-15 (wikipedia); review.</t>
        </is>
      </c>
      <c r="M73" s="14" t="inlineStr">
        <is>
          <t>https://en.wikipedia.org/wiki/Sri_Lankan_Tamil_literature</t>
        </is>
      </c>
    </row>
    <row r="74">
      <c r="A74" s="7" t="inlineStr">
        <is>
          <t>WB-0073</t>
        </is>
      </c>
      <c r="B74" s="8" t="inlineStr">
        <is>
          <t>2007</t>
        </is>
      </c>
      <c r="C74" s="7" t="inlineStr">
        <is>
          <t>2007-12-04</t>
        </is>
      </c>
      <c r="D74" s="9" t="inlineStr">
        <is>
          <t>Kotagama inscription</t>
        </is>
      </c>
      <c r="E74" s="9" t="inlineStr">
        <is>
          <t>Wikipedia contributors</t>
        </is>
      </c>
      <c r="F74" s="9" t="inlineStr">
        <is>
          <t>Wikipedia (en)</t>
        </is>
      </c>
      <c r="G74" s="7" t="inlineStr">
        <is>
          <t>Encyclopedia article</t>
        </is>
      </c>
      <c r="H74" s="7" t="inlineStr">
        <is>
          <t>English</t>
        </is>
      </c>
      <c r="I74" s="9" t="inlineStr">
        <is>
          <t>Inscriptions / கல்வெட்டு</t>
        </is>
      </c>
      <c r="J74" s="9" t="inlineStr">
        <is>
          <t>inscription</t>
        </is>
      </c>
      <c r="K74" s="7" t="inlineStr">
        <is>
          <t>Yes</t>
        </is>
      </c>
      <c r="L74" s="9" t="inlineStr">
        <is>
          <t>Date = page creation. Auto-collected 2026-10-16 (wikipedia); review.</t>
        </is>
      </c>
      <c r="M74" s="10" t="inlineStr">
        <is>
          <t>https://en.wikipedia.org/wiki/Kotagama_inscription</t>
        </is>
      </c>
    </row>
    <row r="75">
      <c r="A75" s="11" t="inlineStr">
        <is>
          <t>WB-0074</t>
        </is>
      </c>
      <c r="B75" s="12" t="inlineStr">
        <is>
          <t>2007</t>
        </is>
      </c>
      <c r="C75" s="11" t="inlineStr">
        <is>
          <t>2007-12-07</t>
        </is>
      </c>
      <c r="D75" s="13" t="inlineStr">
        <is>
          <t>தமிழி</t>
        </is>
      </c>
      <c r="E75" s="13" t="inlineStr">
        <is>
          <t>Wikipedia contributors</t>
        </is>
      </c>
      <c r="F75" s="13" t="inlineStr">
        <is>
          <t>Wikipedia (ta)</t>
        </is>
      </c>
      <c r="G75" s="11" t="inlineStr">
        <is>
          <t>Encyclopedia article</t>
        </is>
      </c>
      <c r="H75" s="11" t="inlineStr">
        <is>
          <t>Tamil</t>
        </is>
      </c>
      <c r="I75" s="13" t="n"/>
      <c r="J75" s="13" t="n"/>
      <c r="K75" s="11" t="inlineStr">
        <is>
          <t>Yes</t>
        </is>
      </c>
      <c r="L75" s="13" t="inlineStr">
        <is>
          <t>Date = page creation. Auto-collected 2026-10-14 (wikipedia); review.</t>
        </is>
      </c>
      <c r="M75" s="14" t="inlineStr">
        <is>
          <t>https://ta.wikipedia.org/wiki/%E0%AE%A4%E0%AE%AE%E0%AE%BF%E0%AE%B4%E0%AE%BF</t>
        </is>
      </c>
    </row>
    <row r="76">
      <c r="A76" s="7" t="inlineStr">
        <is>
          <t>WB-0075</t>
        </is>
      </c>
      <c r="B76" s="8" t="inlineStr">
        <is>
          <t>2007</t>
        </is>
      </c>
      <c r="C76" s="7" t="inlineStr">
        <is>
          <t>2007-12-26</t>
        </is>
      </c>
      <c r="D76" s="9" t="inlineStr">
        <is>
          <t>Naga people (Lanka)</t>
        </is>
      </c>
      <c r="E76" s="9" t="inlineStr">
        <is>
          <t>Wikipedia contributors</t>
        </is>
      </c>
      <c r="F76" s="9" t="inlineStr">
        <is>
          <t>Wikipedia (en)</t>
        </is>
      </c>
      <c r="G76" s="7" t="inlineStr">
        <is>
          <t>Encyclopedia article</t>
        </is>
      </c>
      <c r="H76" s="7" t="inlineStr">
        <is>
          <t>English</t>
        </is>
      </c>
      <c r="I76" s="9" t="n"/>
      <c r="J76" s="9" t="n"/>
      <c r="K76" s="7" t="inlineStr">
        <is>
          <t>Yes</t>
        </is>
      </c>
      <c r="L76" s="9" t="inlineStr">
        <is>
          <t>Date = page creation. Auto-collected 2026-10-14 (wikipedia); review.</t>
        </is>
      </c>
      <c r="M76" s="10" t="inlineStr">
        <is>
          <t>https://en.wikipedia.org/wiki/Naga_people_%28Lanka%29</t>
        </is>
      </c>
    </row>
    <row r="77">
      <c r="A77" s="11" t="inlineStr">
        <is>
          <t>WB-0076</t>
        </is>
      </c>
      <c r="B77" s="12" t="inlineStr">
        <is>
          <t>2006</t>
        </is>
      </c>
      <c r="C77" s="11" t="inlineStr">
        <is>
          <t>2006-02-15</t>
        </is>
      </c>
      <c r="D77" s="13" t="inlineStr">
        <is>
          <t>Jaffna kingdom</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2026-10-15 (wikipedia); review.</t>
        </is>
      </c>
      <c r="M77" s="14" t="inlineStr">
        <is>
          <t>https://en.wikipedia.org/wiki/Jaffna_kingdom</t>
        </is>
      </c>
    </row>
    <row r="78">
      <c r="A78" s="7" t="inlineStr">
        <is>
          <t>WB-0077</t>
        </is>
      </c>
      <c r="B78" s="8" t="inlineStr">
        <is>
          <t>2006</t>
        </is>
      </c>
      <c r="C78" s="7" t="inlineStr">
        <is>
          <t>2006-02-16</t>
        </is>
      </c>
      <c r="D78" s="9" t="inlineStr">
        <is>
          <t>Sri Lankan Tamils</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https://en.wikipedia.org/wiki/Sri_Lankan_Tamils</t>
        </is>
      </c>
    </row>
    <row r="79">
      <c r="A79" s="11" t="inlineStr">
        <is>
          <t>WB-0078</t>
        </is>
      </c>
      <c r="B79" s="12" t="inlineStr">
        <is>
          <t>2006</t>
        </is>
      </c>
      <c r="C79" s="11" t="inlineStr">
        <is>
          <t>2006-04-29</t>
        </is>
      </c>
      <c r="D79" s="13" t="inlineStr">
        <is>
          <t>பொ. பூலோகசிங்கம்</t>
        </is>
      </c>
      <c r="E79" s="13" t="inlineStr">
        <is>
          <t>Wikipedia contributors</t>
        </is>
      </c>
      <c r="F79" s="13" t="inlineStr">
        <is>
          <t>Wikipedia (ta)</t>
        </is>
      </c>
      <c r="G79" s="11" t="inlineStr">
        <is>
          <t>Encyclopedia article</t>
        </is>
      </c>
      <c r="H79" s="11" t="inlineStr">
        <is>
          <t>Tamil</t>
        </is>
      </c>
      <c r="I79" s="13" t="n"/>
      <c r="J79" s="13" t="n"/>
      <c r="K79" s="11" t="inlineStr">
        <is>
          <t>Yes</t>
        </is>
      </c>
      <c r="L79" s="13" t="inlineStr">
        <is>
          <t>Date = page creation. Auto-collected 2026-10-14 (wikipedia); review.</t>
        </is>
      </c>
      <c r="M79" s="14" t="inlineStr">
        <is>
          <t>https://ta.wikipedia.org/wiki/%E0%AE%AA%E0%AF%8A._%E0%AE%AA%E0%AF%82%E0%AE%B2%E0%AF%8B%E0%AE%95%E0%AE%9A%E0%AE%BF%E0%AE%99%E0%AF%8D%E0%AE%95%E0%AE%AE%E0%AF%8D</t>
        </is>
      </c>
    </row>
    <row r="80">
      <c r="A80" s="7" t="inlineStr">
        <is>
          <t>WB-0079</t>
        </is>
      </c>
      <c r="B80" s="8" t="inlineStr">
        <is>
          <t>2006</t>
        </is>
      </c>
      <c r="C80" s="7" t="inlineStr">
        <is>
          <t>2006-08-30</t>
        </is>
      </c>
      <c r="D80" s="9" t="inlineStr">
        <is>
          <t>Velanai</t>
        </is>
      </c>
      <c r="E80" s="9" t="inlineStr">
        <is>
          <t>Wikipedia contributors</t>
        </is>
      </c>
      <c r="F80" s="9" t="inlineStr">
        <is>
          <t>Wikipedia (en)</t>
        </is>
      </c>
      <c r="G80" s="7" t="inlineStr">
        <is>
          <t>Encyclopedia article</t>
        </is>
      </c>
      <c r="H80" s="7" t="inlineStr">
        <is>
          <t>English</t>
        </is>
      </c>
      <c r="I80" s="9" t="n"/>
      <c r="J80" s="9" t="n"/>
      <c r="K80" s="7" t="inlineStr">
        <is>
          <t>Yes</t>
        </is>
      </c>
      <c r="L80" s="9" t="inlineStr">
        <is>
          <t>Date = page creation. Auto-collected 2026-10-14 (wikipedia); review.</t>
        </is>
      </c>
      <c r="M80" s="10" t="inlineStr">
        <is>
          <t>https://en.wikipedia.org/wiki/Velanai</t>
        </is>
      </c>
    </row>
    <row r="81">
      <c r="A81" s="11" t="inlineStr">
        <is>
          <t>WB-0080</t>
        </is>
      </c>
      <c r="B81" s="12" t="inlineStr">
        <is>
          <t>2006</t>
        </is>
      </c>
      <c r="C81" s="11" t="inlineStr">
        <is>
          <t>2006-10-24</t>
        </is>
      </c>
      <c r="D81" s="13" t="inlineStr">
        <is>
          <t>நாடுகள் அடிப்படையில் தொல்லியல் களங்களின் பட்டியல்</t>
        </is>
      </c>
      <c r="E81" s="13" t="inlineStr">
        <is>
          <t>Wikipedia contributors</t>
        </is>
      </c>
      <c r="F81" s="13" t="inlineStr">
        <is>
          <t>Wikipedia (ta)</t>
        </is>
      </c>
      <c r="G81" s="11" t="inlineStr">
        <is>
          <t>Encyclopedia article</t>
        </is>
      </c>
      <c r="H81" s="11" t="inlineStr">
        <is>
          <t>Tamil</t>
        </is>
      </c>
      <c r="I81" s="13" t="inlineStr">
        <is>
          <t>Archaeology / தொல்லியல்</t>
        </is>
      </c>
      <c r="J81" s="13" t="inlineStr">
        <is>
          <t>தொல்லியல்</t>
        </is>
      </c>
      <c r="K81" s="11" t="inlineStr">
        <is>
          <t>Yes</t>
        </is>
      </c>
      <c r="L81" s="13" t="inlineStr">
        <is>
          <t>Date = page creation. Auto-collected 2026-10-14 (wikipedia); review.</t>
        </is>
      </c>
      <c r="M81"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2">
      <c r="A82" s="7" t="inlineStr">
        <is>
          <t>WB-0081</t>
        </is>
      </c>
      <c r="B82" s="8" t="inlineStr">
        <is>
          <t>2006</t>
        </is>
      </c>
      <c r="C82" s="7" t="inlineStr">
        <is>
          <t>2006-11-07</t>
        </is>
      </c>
      <c r="D82" s="9" t="inlineStr">
        <is>
          <t>Tamil-Brahmi</t>
        </is>
      </c>
      <c r="E82" s="9" t="inlineStr">
        <is>
          <t>Wikipedia contributors</t>
        </is>
      </c>
      <c r="F82" s="9" t="inlineStr">
        <is>
          <t>Wikipedia (en)</t>
        </is>
      </c>
      <c r="G82" s="7" t="inlineStr">
        <is>
          <t>Encyclopedia article</t>
        </is>
      </c>
      <c r="H82" s="7" t="inlineStr">
        <is>
          <t>English</t>
        </is>
      </c>
      <c r="I82" s="9" t="inlineStr">
        <is>
          <t>Brahmi / பிராமி</t>
        </is>
      </c>
      <c r="J82" s="9" t="inlineStr">
        <is>
          <t>brahmi</t>
        </is>
      </c>
      <c r="K82" s="7" t="inlineStr">
        <is>
          <t>Yes</t>
        </is>
      </c>
      <c r="L82" s="9" t="inlineStr">
        <is>
          <t>Date = page creation. Auto-collected 2026-10-14 (wikipedia); review.</t>
        </is>
      </c>
      <c r="M82" s="10" t="inlineStr">
        <is>
          <t>https://en.wikipedia.org/wiki/Tamil-Brahmi</t>
        </is>
      </c>
    </row>
    <row r="83">
      <c r="A83" s="11" t="inlineStr">
        <is>
          <t>WB-0082</t>
        </is>
      </c>
      <c r="B83" s="12" t="inlineStr">
        <is>
          <t>2005</t>
        </is>
      </c>
      <c r="C83" s="11" t="inlineStr">
        <is>
          <t>2005-01-07</t>
        </is>
      </c>
      <c r="D83" s="13" t="inlineStr">
        <is>
          <t>Batticaloa</t>
        </is>
      </c>
      <c r="E83" s="13" t="inlineStr">
        <is>
          <t>Wikipedia contributors</t>
        </is>
      </c>
      <c r="F83" s="13" t="inlineStr">
        <is>
          <t>Wikipedia (en)</t>
        </is>
      </c>
      <c r="G83" s="11" t="inlineStr">
        <is>
          <t>Encyclopedia article</t>
        </is>
      </c>
      <c r="H83" s="11" t="inlineStr">
        <is>
          <t>English</t>
        </is>
      </c>
      <c r="I83" s="13" t="n"/>
      <c r="J83" s="13" t="n"/>
      <c r="K83" s="11" t="inlineStr">
        <is>
          <t>Yes</t>
        </is>
      </c>
      <c r="L83" s="13" t="inlineStr">
        <is>
          <t>Date = page creation. Auto-collected 2026-10-16 (wikipedia); review.</t>
        </is>
      </c>
      <c r="M83" s="14" t="inlineStr">
        <is>
          <t>https://en.wikipedia.org/wiki/Batticaloa</t>
        </is>
      </c>
    </row>
    <row r="84">
      <c r="A84" s="7" t="inlineStr">
        <is>
          <t>WB-0083</t>
        </is>
      </c>
      <c r="B84" s="8" t="inlineStr">
        <is>
          <t>2005</t>
        </is>
      </c>
      <c r="C84" s="7" t="inlineStr">
        <is>
          <t>2005-09-24</t>
        </is>
      </c>
      <c r="D84" s="9" t="inlineStr">
        <is>
          <t>Hinduism in Sri Lanka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2026-10-21 (wikipedia); review.</t>
        </is>
      </c>
      <c r="M84" s="10" t="inlineStr">
        <is>
          <t>https://en.wikipedia.org/wiki/Hinduism_in_Sri_Lanka</t>
        </is>
      </c>
    </row>
    <row r="85">
      <c r="A85" s="11" t="inlineStr">
        <is>
          <t>WB-0084</t>
        </is>
      </c>
      <c r="B85" s="12" t="n"/>
      <c r="C85" s="11" t="n"/>
      <c r="D85" s="13" t="inlineStr">
        <is>
          <t>'Kantarodai Civilization of Ancient Jaffna' - Sangam</t>
        </is>
      </c>
      <c r="E85" s="13" t="n"/>
      <c r="F85" s="13" t="inlineStr">
        <is>
          <t>sangam.org</t>
        </is>
      </c>
      <c r="G85" s="11" t="inlineStr">
        <is>
          <t>Web page</t>
        </is>
      </c>
      <c r="H85" s="11" t="inlineStr">
        <is>
          <t>English</t>
        </is>
      </c>
      <c r="I85" s="13" t="n"/>
      <c r="J85" s="13" t="n"/>
      <c r="K85" s="11" t="inlineStr">
        <is>
          <t>Unknown</t>
        </is>
      </c>
      <c r="L85" s="13" t="inlineStr">
        <is>
          <t>Web search: Kantarodai archaeology. Auto-collected 2026-10-16 (ddg); review.</t>
        </is>
      </c>
      <c r="M85" s="14" t="inlineStr">
        <is>
          <t>https://sangam.org/kantarodai-civilization-ancient-jaffna/</t>
        </is>
      </c>
    </row>
    <row r="86">
      <c r="A86" s="7" t="inlineStr">
        <is>
          <t>WB-0085</t>
        </is>
      </c>
      <c r="B86" s="8" t="n"/>
      <c r="C86" s="7" t="n"/>
      <c r="D86" s="9" t="inlineStr">
        <is>
          <t>(PDF) Contested Histories, Multi-Religious Space and ... - ResearchGate</t>
        </is>
      </c>
      <c r="E86" s="9" t="n"/>
      <c r="F86" s="9" t="inlineStr">
        <is>
          <t>researchgate.net</t>
        </is>
      </c>
      <c r="G86" s="7" t="inlineStr">
        <is>
          <t>Web page</t>
        </is>
      </c>
      <c r="H86" s="7" t="inlineStr">
        <is>
          <t>English</t>
        </is>
      </c>
      <c r="I86" s="9" t="n"/>
      <c r="J86" s="9" t="n"/>
      <c r="K86" s="7" t="inlineStr">
        <is>
          <t>Unknown</t>
        </is>
      </c>
      <c r="L86" s="9" t="inlineStr">
        <is>
          <t>Web search: Kantarodai archaeology. Auto-collected 2026-10-15 (ddg); review.</t>
        </is>
      </c>
      <c r="M86" s="10" t="inlineStr">
        <is>
          <t>https://www.researchgate.net/publication/335939791_Contested_Histories_Multi-Religious_Space_and_Conflict_A_Case_Study_of_Kantarodai_in_Northern_Sri_Lanka</t>
        </is>
      </c>
    </row>
    <row r="87">
      <c r="A87" s="11" t="inlineStr">
        <is>
          <t>WB-0086</t>
        </is>
      </c>
      <c r="B87" s="12" t="n"/>
      <c r="C87" s="11" t="n"/>
      <c r="D87" s="13" t="inlineStr">
        <is>
          <t>(PDF) Contested Histories, Multi-Religious Space and Conflict: A Case ...</t>
        </is>
      </c>
      <c r="E87" s="13" t="n"/>
      <c r="F87" s="13" t="inlineStr">
        <is>
          <t>academia.edu</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https://www.academia.edu/83422032/Contested_Histories_Multi_Religious_Space_and_Conflict_A_Case_Study_of_Kantarodai_in_Northern_Sri_Lanka</t>
        </is>
      </c>
    </row>
    <row r="88">
      <c r="A88" s="7" t="inlineStr">
        <is>
          <t>WB-0087</t>
        </is>
      </c>
      <c r="B88" s="8" t="n"/>
      <c r="C88" s="7" t="n"/>
      <c r="D88" s="9" t="inlineStr">
        <is>
          <t>(PDF) Lifeways of Early Kantharodai, Sri Lanka - ResearchGate</t>
        </is>
      </c>
      <c r="E88" s="9" t="n"/>
      <c r="F88" s="9" t="inlineStr">
        <is>
          <t>researchgate.net</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https://www.researchgate.net/publication/365603730_Lifeways_of_Early_Kantharodai_Sri_Lanka</t>
        </is>
      </c>
    </row>
    <row r="89">
      <c r="A89" s="11" t="inlineStr">
        <is>
          <t>WB-0088</t>
        </is>
      </c>
      <c r="B89" s="12" t="n"/>
      <c r="C89" s="11" t="n"/>
      <c r="D89" s="13" t="inlineStr">
        <is>
          <t>(PDF) Lifeways of Early Kantharodai, Sri Lanka | Academia</t>
        </is>
      </c>
      <c r="E89" s="13" t="n"/>
      <c r="F89" s="13" t="inlineStr">
        <is>
          <t>academia.edu</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https://www.academia.edu/123922554/Lifeways_of_Early_Kantharodai_Sri_Lanka</t>
        </is>
      </c>
    </row>
    <row r="90">
      <c r="A90" s="7" t="inlineStr">
        <is>
          <t>WB-0089</t>
        </is>
      </c>
      <c r="B90" s="8" t="n"/>
      <c r="C90" s="7" t="n"/>
      <c r="D90" s="9" t="inlineStr">
        <is>
          <t>Ancient Buddhist Shrines in Batticaloa and Ampara Districts</t>
        </is>
      </c>
      <c r="E90" s="9" t="n"/>
      <c r="F90" s="9" t="inlineStr">
        <is>
          <t>AmazingLanka.com</t>
        </is>
      </c>
      <c r="G90" s="7" t="inlineStr">
        <is>
          <t>Web article</t>
        </is>
      </c>
      <c r="H90" s="7" t="inlineStr">
        <is>
          <t>English</t>
        </is>
      </c>
      <c r="I90" s="9" t="inlineStr">
        <is>
          <t>Archaeology / தொல்லியல்</t>
        </is>
      </c>
      <c r="J90" s="9" t="inlineStr">
        <is>
          <t>archaeology; East</t>
        </is>
      </c>
      <c r="K90" s="7" t="inlineStr">
        <is>
          <t>Unknown</t>
        </is>
      </c>
      <c r="L90" s="9" t="n"/>
      <c r="M90" s="10" t="inlineStr">
        <is>
          <t>https://amazinglanka.com/wp/buddhist-shrines-in-batticaloa-and-ampara/</t>
        </is>
      </c>
    </row>
    <row r="91">
      <c r="A91" s="11" t="inlineStr">
        <is>
          <t>WB-0090</t>
        </is>
      </c>
      <c r="B91" s="12" t="n"/>
      <c r="C91" s="11" t="n"/>
      <c r="D91" s="13" t="inlineStr">
        <is>
          <t>Ancient Coins - Archaeology</t>
        </is>
      </c>
      <c r="E91" s="13" t="n"/>
      <c r="F91" s="13" t="inlineStr">
        <is>
          <t>archaeology.gov.lk</t>
        </is>
      </c>
      <c r="G91" s="11" t="inlineStr">
        <is>
          <t>Web page</t>
        </is>
      </c>
      <c r="H91" s="11" t="inlineStr">
        <is>
          <t>English</t>
        </is>
      </c>
      <c r="I91" s="13" t="inlineStr">
        <is>
          <t>Archaeology / தொல்லியல்; Coins / நாணயம்</t>
        </is>
      </c>
      <c r="J91" s="13" t="inlineStr">
        <is>
          <t>archaeology; ancient coins</t>
        </is>
      </c>
      <c r="K91" s="11" t="inlineStr">
        <is>
          <t>Unknown</t>
        </is>
      </c>
      <c r="L91" s="13" t="inlineStr">
        <is>
          <t>Web search: Tamil coins Sri Lanka archaeology. Auto-collected 2026-10-15 (ddg); review.</t>
        </is>
      </c>
      <c r="M91" s="14" t="inlineStr">
        <is>
          <t>https://archaeology.gov.lk/index.php/ancient-coins</t>
        </is>
      </c>
    </row>
    <row r="92">
      <c r="A92" s="7" t="inlineStr">
        <is>
          <t>WB-0091</t>
        </is>
      </c>
      <c r="B92" s="8" t="n"/>
      <c r="C92" s="7" t="n"/>
      <c r="D92" s="9" t="inlineStr">
        <is>
          <t>Ancient Coins and Trade Evidence | Lanka Websites</t>
        </is>
      </c>
      <c r="E92" s="9" t="n"/>
      <c r="F92" s="9" t="inlineStr">
        <is>
          <t>lankawebsites.com</t>
        </is>
      </c>
      <c r="G92" s="7" t="inlineStr">
        <is>
          <t>Web page</t>
        </is>
      </c>
      <c r="H92" s="7" t="inlineStr">
        <is>
          <t>English</t>
        </is>
      </c>
      <c r="I92" s="9" t="inlineStr">
        <is>
          <t>Coins / நாணயம்</t>
        </is>
      </c>
      <c r="J92" s="9" t="inlineStr">
        <is>
          <t>ancient coins</t>
        </is>
      </c>
      <c r="K92" s="7" t="inlineStr">
        <is>
          <t>Unknown</t>
        </is>
      </c>
      <c r="L92" s="9" t="inlineStr">
        <is>
          <t>Web search: Tamil coins Sri Lanka archaeology. Auto-collected 2026-10-15 (ddg); review.</t>
        </is>
      </c>
      <c r="M92" s="10" t="inlineStr">
        <is>
          <t>https://lankawebsites.com/blog/ancient-civilization-archaeology/ancient-coins-and-trade-evidence</t>
        </is>
      </c>
    </row>
    <row r="93">
      <c r="A93" s="11" t="inlineStr">
        <is>
          <t>WB-0092</t>
        </is>
      </c>
      <c r="B93" s="12" t="n"/>
      <c r="C93" s="11" t="n"/>
      <c r="D93" s="13" t="inlineStr">
        <is>
          <t>Ancient Kadurugoda Viharaya — Grokipedia</t>
        </is>
      </c>
      <c r="E93" s="13" t="n"/>
      <c r="F93" s="13" t="inlineStr">
        <is>
          <t>grokipedia.com</t>
        </is>
      </c>
      <c r="G93" s="11" t="inlineStr">
        <is>
          <t>Web page</t>
        </is>
      </c>
      <c r="H93" s="11" t="inlineStr">
        <is>
          <t>English</t>
        </is>
      </c>
      <c r="I93" s="13" t="n"/>
      <c r="J93" s="13" t="n"/>
      <c r="K93" s="11" t="inlineStr">
        <is>
          <t>Unknown</t>
        </is>
      </c>
      <c r="L93" s="13" t="inlineStr">
        <is>
          <t>Web search: Kantarodai archaeology. Auto-collected 2026-10-19 (ddg); review.</t>
        </is>
      </c>
      <c r="M93" s="14" t="inlineStr">
        <is>
          <t>https://grokipedia.com/page/ancient_kadurugoda_viharaya</t>
        </is>
      </c>
    </row>
    <row r="94">
      <c r="A94" s="7" t="inlineStr">
        <is>
          <t>WB-0093</t>
        </is>
      </c>
      <c r="B94" s="8" t="n"/>
      <c r="C94" s="7" t="n"/>
      <c r="D94" s="9" t="inlineStr">
        <is>
          <t>Ancient Pandyan coins unearthed in Mannar | Tamil Guardian</t>
        </is>
      </c>
      <c r="E94" s="9" t="n"/>
      <c r="F94" s="9" t="inlineStr">
        <is>
          <t>tamilguardian.com</t>
        </is>
      </c>
      <c r="G94" s="7" t="inlineStr">
        <is>
          <t>Web page</t>
        </is>
      </c>
      <c r="H94" s="7" t="inlineStr">
        <is>
          <t>English</t>
        </is>
      </c>
      <c r="I94" s="9" t="inlineStr">
        <is>
          <t>Coins / நாணயம்</t>
        </is>
      </c>
      <c r="J94" s="9" t="n"/>
      <c r="K94" s="7" t="inlineStr">
        <is>
          <t>Unknown</t>
        </is>
      </c>
      <c r="L94" s="9" t="inlineStr">
        <is>
          <t>Web search: Tamil coins Sri Lanka archaeology. Auto-collected 2026-10-15 (ddg); review.</t>
        </is>
      </c>
      <c r="M94" s="10" t="inlineStr">
        <is>
          <t>https://www.tamilguardian.com/content/ancient-pandyan-coins-unearthed-mannar</t>
        </is>
      </c>
    </row>
    <row r="95">
      <c r="A95" s="11" t="inlineStr">
        <is>
          <t>WB-0094</t>
        </is>
      </c>
      <c r="B95" s="12" t="n"/>
      <c r="C95" s="11" t="n"/>
      <c r="D95" s="13" t="inlineStr">
        <is>
          <t>Archaeological Museum of Jaffna - Tales of Ceylon</t>
        </is>
      </c>
      <c r="E95" s="13" t="n"/>
      <c r="F95" s="13" t="inlineStr">
        <is>
          <t>talesofceylon.com</t>
        </is>
      </c>
      <c r="G95" s="11" t="inlineStr">
        <is>
          <t>Web page</t>
        </is>
      </c>
      <c r="H95" s="11" t="inlineStr">
        <is>
          <t>English</t>
        </is>
      </c>
      <c r="I95" s="13" t="inlineStr">
        <is>
          <t>Archaeology / தொல்லியல்</t>
        </is>
      </c>
      <c r="J95" s="13" t="inlineStr">
        <is>
          <t>archaeological</t>
        </is>
      </c>
      <c r="K95" s="11" t="inlineStr">
        <is>
          <t>Unknown</t>
        </is>
      </c>
      <c r="L95" s="13" t="inlineStr">
        <is>
          <t>Web search: Jaffna archaeology. Auto-collected 2026-10-22 (ddg); review.</t>
        </is>
      </c>
      <c r="M95" s="14" t="inlineStr">
        <is>
          <t>https://www.talesofceylon.com/destinations/jaffna/attractions-in-jaffna/archaeological-museum-of-jaffna/</t>
        </is>
      </c>
    </row>
    <row r="96">
      <c r="A96" s="7" t="inlineStr">
        <is>
          <t>WB-0095</t>
        </is>
      </c>
      <c r="B96" s="8" t="n"/>
      <c r="C96" s="7" t="n"/>
      <c r="D96" s="9" t="inlineStr">
        <is>
          <t>Archaeological Museum, Jaffna - Wikipedia</t>
        </is>
      </c>
      <c r="E96" s="9" t="n"/>
      <c r="F96" s="9" t="inlineStr">
        <is>
          <t>en.wikipedia.org</t>
        </is>
      </c>
      <c r="G96" s="7" t="inlineStr">
        <is>
          <t>Web page</t>
        </is>
      </c>
      <c r="H96" s="7" t="inlineStr">
        <is>
          <t>English</t>
        </is>
      </c>
      <c r="I96" s="9" t="inlineStr">
        <is>
          <t>Archaeology / தொல்லியல்</t>
        </is>
      </c>
      <c r="J96" s="9" t="inlineStr">
        <is>
          <t>archaeological</t>
        </is>
      </c>
      <c r="K96" s="7" t="inlineStr">
        <is>
          <t>Unknown</t>
        </is>
      </c>
      <c r="L96" s="9" t="inlineStr">
        <is>
          <t>Web search: Jaffna archaeology. Auto-collected 2026-10-15 (ddg); review.</t>
        </is>
      </c>
      <c r="M96" s="10" t="inlineStr">
        <is>
          <t>https://en.wikipedia.org/wiki/Archaeological_Museum,_Jaffna</t>
        </is>
      </c>
    </row>
    <row r="97">
      <c r="A97" s="11" t="inlineStr">
        <is>
          <t>WB-0096</t>
        </is>
      </c>
      <c r="B97" s="12" t="n"/>
      <c r="C97" s="11" t="n"/>
      <c r="D97" s="13" t="inlineStr">
        <is>
          <t>Brahmi alphabet Inscriptions of Sri Lanka</t>
        </is>
      </c>
      <c r="E97" s="13" t="n"/>
      <c r="F97" s="13" t="inlineStr">
        <is>
          <t>inscriptions.lk</t>
        </is>
      </c>
      <c r="G97" s="11" t="inlineStr">
        <is>
          <t>Web page</t>
        </is>
      </c>
      <c r="H97" s="11" t="inlineStr">
        <is>
          <t>English</t>
        </is>
      </c>
      <c r="I97" s="13" t="inlineStr">
        <is>
          <t>Inscriptions / கல்வெட்டு; Brahmi / பிராமி</t>
        </is>
      </c>
      <c r="J97" s="13" t="inlineStr">
        <is>
          <t>inscription; inscriptions; brahmi</t>
        </is>
      </c>
      <c r="K97" s="11" t="inlineStr">
        <is>
          <t>Unknown</t>
        </is>
      </c>
      <c r="L97" s="13" t="inlineStr">
        <is>
          <t>Web search: Sri Lanka Tamil Brahmi. Auto-collected 2026-10-15 (ddg); review.</t>
        </is>
      </c>
      <c r="M97" s="14" t="inlineStr">
        <is>
          <t>https://www.inscriptions.lk/brahmi-alphabet/?lang=en</t>
        </is>
      </c>
    </row>
    <row r="98">
      <c r="A98" s="7" t="inlineStr">
        <is>
          <t>WB-0097</t>
        </is>
      </c>
      <c r="B98" s="8" t="n"/>
      <c r="C98" s="7" t="n"/>
      <c r="D98" s="9" t="inlineStr">
        <is>
          <t>Brahmi script</t>
        </is>
      </c>
      <c r="E98" s="9" t="inlineStr">
        <is>
          <t>Wikipedia contributors</t>
        </is>
      </c>
      <c r="F98" s="9" t="inlineStr">
        <is>
          <t>Wikipedia (en)</t>
        </is>
      </c>
      <c r="G98" s="7" t="inlineStr">
        <is>
          <t>Encyclopedia article</t>
        </is>
      </c>
      <c r="H98" s="7" t="inlineStr">
        <is>
          <t>English</t>
        </is>
      </c>
      <c r="I98" s="9" t="inlineStr">
        <is>
          <t>Brahmi / பிராமி</t>
        </is>
      </c>
      <c r="J98" s="9" t="inlineStr">
        <is>
          <t>brahmi</t>
        </is>
      </c>
      <c r="K98" s="7" t="inlineStr">
        <is>
          <t>Unknown</t>
        </is>
      </c>
      <c r="L98" s="9" t="inlineStr">
        <is>
          <t>Date = page creation. Auto-collected 2026-10-15 (wikipedia); review.</t>
        </is>
      </c>
      <c r="M98" s="10" t="inlineStr">
        <is>
          <t>https://en.wikipedia.org/wiki/Brahmi_script</t>
        </is>
      </c>
    </row>
    <row r="99">
      <c r="A99" s="11" t="inlineStr">
        <is>
          <t>WB-0098</t>
        </is>
      </c>
      <c r="B99" s="12" t="n"/>
      <c r="C99" s="11" t="n"/>
      <c r="D99" s="13" t="inlineStr">
        <is>
          <t>Buddhism amongst Tamils in Sri Lanka</t>
        </is>
      </c>
      <c r="E99" s="13" t="inlineStr">
        <is>
          <t>Wikipedia contributors</t>
        </is>
      </c>
      <c r="F99" s="13" t="inlineStr">
        <is>
          <t>Wikipedia (en)</t>
        </is>
      </c>
      <c r="G99" s="11" t="inlineStr">
        <is>
          <t>Encyclopedia article</t>
        </is>
      </c>
      <c r="H99" s="11" t="inlineStr">
        <is>
          <t>English</t>
        </is>
      </c>
      <c r="I99" s="13" t="n"/>
      <c r="J99" s="13" t="n"/>
      <c r="K99" s="11" t="inlineStr">
        <is>
          <t>Unknown</t>
        </is>
      </c>
      <c r="L99" s="13" t="inlineStr">
        <is>
          <t>Date = page creation. Auto-collected 2026-10-14 (wikipedia); review.</t>
        </is>
      </c>
      <c r="M99" s="14" t="inlineStr">
        <is>
          <t>https://en.wikipedia.org/wiki/Buddhism_amongst_Tamils_in_Sri_Lanka</t>
        </is>
      </c>
    </row>
    <row r="100">
      <c r="A100" s="7" t="inlineStr">
        <is>
          <t>WB-0099</t>
        </is>
      </c>
      <c r="B100" s="8" t="n"/>
      <c r="C100" s="7" t="n"/>
      <c r="D100" s="9" t="inlineStr">
        <is>
          <t>Buddhist Remains in the Jaffna Peninsula</t>
        </is>
      </c>
      <c r="E100" s="9" t="n"/>
      <c r="F100" s="9" t="inlineStr">
        <is>
          <t>AmazingLanka.com</t>
        </is>
      </c>
      <c r="G100" s="7" t="inlineStr">
        <is>
          <t>Web article</t>
        </is>
      </c>
      <c r="H100" s="7" t="inlineStr">
        <is>
          <t>English</t>
        </is>
      </c>
      <c r="I100" s="9" t="inlineStr">
        <is>
          <t>Archaeology / தொல்லியல்</t>
        </is>
      </c>
      <c r="J100" s="9" t="inlineStr">
        <is>
          <t>தொல்லியல்; Jaffna</t>
        </is>
      </c>
      <c r="K100" s="7" t="inlineStr">
        <is>
          <t>Unknown</t>
        </is>
      </c>
      <c r="L100" s="9" t="n"/>
      <c r="M100" s="10" t="inlineStr">
        <is>
          <t>https://amazinglanka.com/wp/jaffna/</t>
        </is>
      </c>
    </row>
    <row r="101">
      <c r="A101" s="11" t="inlineStr">
        <is>
          <t>WB-0100</t>
        </is>
      </c>
      <c r="B101" s="12" t="n"/>
      <c r="C101" s="11" t="n"/>
      <c r="D101" s="13" t="inlineStr">
        <is>
          <t>Buddhist Ruins at Tikali in Pungudutivu Island in Jaffna</t>
        </is>
      </c>
      <c r="E101" s="13" t="n"/>
      <c r="F101" s="13" t="inlineStr">
        <is>
          <t>AmazingLanka.com</t>
        </is>
      </c>
      <c r="G101" s="11" t="inlineStr">
        <is>
          <t>Web article</t>
        </is>
      </c>
      <c r="H101" s="11" t="inlineStr">
        <is>
          <t>English</t>
        </is>
      </c>
      <c r="I101" s="13" t="inlineStr">
        <is>
          <t>Archaeology / தொல்லியல்</t>
        </is>
      </c>
      <c r="J101" s="13" t="inlineStr">
        <is>
          <t>தொல்லியல்; Pungudutivu</t>
        </is>
      </c>
      <c r="K101" s="11" t="inlineStr">
        <is>
          <t>Unknown</t>
        </is>
      </c>
      <c r="L101" s="13" t="n"/>
      <c r="M101" s="14" t="inlineStr">
        <is>
          <t>https://amazinglanka.com/wp/tikali/</t>
        </is>
      </c>
    </row>
    <row r="102">
      <c r="A102" s="7" t="inlineStr">
        <is>
          <t>WB-0101</t>
        </is>
      </c>
      <c r="B102" s="8" t="n"/>
      <c r="C102" s="7" t="n"/>
      <c r="D102" s="9" t="inlineStr">
        <is>
          <t>Cankilian Thoppu</t>
        </is>
      </c>
      <c r="E102" s="9" t="inlineStr">
        <is>
          <t>Wikipedia contributors</t>
        </is>
      </c>
      <c r="F102" s="9" t="inlineStr">
        <is>
          <t>Wikipedia (en)</t>
        </is>
      </c>
      <c r="G102" s="7" t="inlineStr">
        <is>
          <t>Encyclopedia article</t>
        </is>
      </c>
      <c r="H102" s="7" t="inlineStr">
        <is>
          <t>English</t>
        </is>
      </c>
      <c r="I102" s="9" t="n"/>
      <c r="J102" s="9" t="n"/>
      <c r="K102" s="7" t="inlineStr">
        <is>
          <t>Unknown</t>
        </is>
      </c>
      <c r="L102" s="9" t="inlineStr">
        <is>
          <t>Date = page creation. Auto-collected 2026-10-14 (wikipedia); review.</t>
        </is>
      </c>
      <c r="M102" s="10" t="inlineStr">
        <is>
          <t>https://en.wikipedia.org/wiki/Cankilian_Thoppu</t>
        </is>
      </c>
    </row>
    <row r="103">
      <c r="A103" s="11" t="inlineStr">
        <is>
          <t>WB-0102</t>
        </is>
      </c>
      <c r="B103" s="12" t="n"/>
      <c r="C103" s="11" t="n"/>
      <c r="D103" s="13" t="inlineStr">
        <is>
          <t>Coins DB| Home - archaeology.gov.lk</t>
        </is>
      </c>
      <c r="E103" s="13" t="n"/>
      <c r="F103" s="13" t="inlineStr">
        <is>
          <t>archaeology.gov.lk</t>
        </is>
      </c>
      <c r="G103" s="11" t="inlineStr">
        <is>
          <t>Web page</t>
        </is>
      </c>
      <c r="H103" s="11" t="inlineStr">
        <is>
          <t>English</t>
        </is>
      </c>
      <c r="I103" s="13" t="inlineStr">
        <is>
          <t>Archaeology / தொல்லியல்; Coins / நாணயம்</t>
        </is>
      </c>
      <c r="J103" s="13" t="inlineStr">
        <is>
          <t>archaeology</t>
        </is>
      </c>
      <c r="K103" s="11" t="inlineStr">
        <is>
          <t>Unknown</t>
        </is>
      </c>
      <c r="L103" s="13" t="inlineStr">
        <is>
          <t>Web search: Tamil coins Sri Lanka archaeology. Auto-collected 2026-10-15 (ddg); review.</t>
        </is>
      </c>
      <c r="M103" s="14" t="inlineStr">
        <is>
          <t>https://archaeology.gov.lk/coins/query/adsearch.php?lang=en</t>
        </is>
      </c>
    </row>
    <row r="104">
      <c r="A104" s="7" t="inlineStr">
        <is>
          <t>WB-0103</t>
        </is>
      </c>
      <c r="B104" s="8" t="n"/>
      <c r="C104" s="7" t="n"/>
      <c r="D104" s="9" t="inlineStr">
        <is>
          <t>DAI - «Exploring Ancient Kantarodai»: season 2026</t>
        </is>
      </c>
      <c r="E104" s="9" t="n"/>
      <c r="F104" s="9" t="inlineStr">
        <is>
          <t>dainst.org</t>
        </is>
      </c>
      <c r="G104" s="7" t="inlineStr">
        <is>
          <t>Web page</t>
        </is>
      </c>
      <c r="H104" s="7" t="inlineStr">
        <is>
          <t>English</t>
        </is>
      </c>
      <c r="I104" s="9" t="n"/>
      <c r="J104" s="9" t="n"/>
      <c r="K104" s="7" t="inlineStr">
        <is>
          <t>Unknown</t>
        </is>
      </c>
      <c r="L104" s="9" t="inlineStr">
        <is>
          <t>Web search: Kantarodai archaeology. Auto-collected 2026-10-15 (ddg); review.</t>
        </is>
      </c>
      <c r="M104" s="10" t="inlineStr">
        <is>
          <t>https://www.dainst.org/en/newsroom/exploring-ancient-kantarodai-season-2026/918</t>
        </is>
      </c>
    </row>
    <row r="105">
      <c r="A105" s="11" t="inlineStr">
        <is>
          <t>WB-0104</t>
        </is>
      </c>
      <c r="B105" s="12" t="n"/>
      <c r="C105" s="11" t="n"/>
      <c r="D105" s="13" t="inlineStr">
        <is>
          <t>Hero Stones in Sri Lanka's Past-by Ama H.Vanniarachchy</t>
        </is>
      </c>
      <c r="E105" s="13" t="n"/>
      <c r="F105" s="13" t="inlineStr">
        <is>
          <t>elanka.com.au</t>
        </is>
      </c>
      <c r="G105" s="11" t="inlineStr">
        <is>
          <t>Web page</t>
        </is>
      </c>
      <c r="H105" s="11" t="inlineStr">
        <is>
          <t>English</t>
        </is>
      </c>
      <c r="I105" s="13" t="inlineStr">
        <is>
          <t>Hero stones / நடுகல்</t>
        </is>
      </c>
      <c r="J105" s="13" t="inlineStr">
        <is>
          <t>hero stone</t>
        </is>
      </c>
      <c r="K105" s="11" t="inlineStr">
        <is>
          <t>Unknown</t>
        </is>
      </c>
      <c r="L105" s="13" t="inlineStr">
        <is>
          <t>Web search: Sri Lanka hero stone. Auto-collected 2026-10-15 (ddg); review.</t>
        </is>
      </c>
      <c r="M105" s="14" t="inlineStr">
        <is>
          <t>https://www.elanka.com.au/hero-stones-in-sri-lankas-past-by-ama-h-vanniarachchy/</t>
        </is>
      </c>
    </row>
    <row r="106">
      <c r="A106" s="7" t="inlineStr">
        <is>
          <t>WB-0105</t>
        </is>
      </c>
      <c r="B106" s="8" t="n"/>
      <c r="C106" s="7" t="n"/>
      <c r="D106" s="9" t="inlineStr">
        <is>
          <t>Hero-stone at Anurādhapura and other essays - SearchWorks catalog</t>
        </is>
      </c>
      <c r="E106" s="9" t="n"/>
      <c r="F106" s="9" t="inlineStr">
        <is>
          <t>searchworks.stanford.edu</t>
        </is>
      </c>
      <c r="G106" s="7" t="inlineStr">
        <is>
          <t>Web page</t>
        </is>
      </c>
      <c r="H106" s="7" t="inlineStr">
        <is>
          <t>English</t>
        </is>
      </c>
      <c r="I106" s="9" t="n"/>
      <c r="J106" s="9" t="inlineStr">
        <is>
          <t>hero-stone</t>
        </is>
      </c>
      <c r="K106" s="7" t="inlineStr">
        <is>
          <t>Unknown</t>
        </is>
      </c>
      <c r="L106" s="9" t="inlineStr">
        <is>
          <t>Web search: Sri Lanka hero stone. Auto-collected 2026-10-15 (ddg); review.</t>
        </is>
      </c>
      <c r="M106" s="10" t="inlineStr">
        <is>
          <t>https://searchworks.stanford.edu/view/14451040</t>
        </is>
      </c>
    </row>
    <row r="107">
      <c r="A107" s="11" t="inlineStr">
        <is>
          <t>WB-0106</t>
        </is>
      </c>
      <c r="B107" s="12" t="n"/>
      <c r="C107" s="11" t="n"/>
      <c r="D107" s="13" t="inlineStr">
        <is>
          <t>Inscriptions of Ceylon - Volume I Hiṭṭāragama-hīnna 1160 Sri Lanka ...</t>
        </is>
      </c>
      <c r="E107" s="13" t="n"/>
      <c r="F107" s="13" t="inlineStr">
        <is>
          <t>inscriptions.lk</t>
        </is>
      </c>
      <c r="G107" s="11" t="inlineStr">
        <is>
          <t>Web page</t>
        </is>
      </c>
      <c r="H107" s="11" t="inlineStr">
        <is>
          <t>English</t>
        </is>
      </c>
      <c r="I107" s="13" t="inlineStr">
        <is>
          <t>Inscriptions / கல்வெட்டு</t>
        </is>
      </c>
      <c r="J107" s="13" t="inlineStr">
        <is>
          <t>inscription; inscriptions</t>
        </is>
      </c>
      <c r="K107" s="11" t="inlineStr">
        <is>
          <t>Unknown</t>
        </is>
      </c>
      <c r="L107" s="13" t="inlineStr">
        <is>
          <t>Web search: Sri Lanka Tamil inscription. Auto-collected 2026-10-15 (ddg); review.</t>
        </is>
      </c>
      <c r="M107" s="14" t="inlineStr">
        <is>
          <t>https://inscriptions.lk/db/VInscriptionsView/1220?language=en-US</t>
        </is>
      </c>
    </row>
    <row r="108">
      <c r="A108" s="7" t="inlineStr">
        <is>
          <t>WB-0107</t>
        </is>
      </c>
      <c r="B108" s="8" t="n"/>
      <c r="C108" s="7" t="n"/>
      <c r="D108" s="9" t="inlineStr">
        <is>
          <t>Inscriptions of Sri Lanka Online Database with Estampage</t>
        </is>
      </c>
      <c r="E108" s="9" t="n"/>
      <c r="F108" s="9" t="inlineStr">
        <is>
          <t>inscriptions.lk</t>
        </is>
      </c>
      <c r="G108" s="7" t="inlineStr">
        <is>
          <t>Web page</t>
        </is>
      </c>
      <c r="H108" s="7" t="inlineStr">
        <is>
          <t>English</t>
        </is>
      </c>
      <c r="I108" s="9" t="inlineStr">
        <is>
          <t>Inscriptions / கல்வெட்டு</t>
        </is>
      </c>
      <c r="J108" s="9" t="inlineStr">
        <is>
          <t>inscription; inscriptions</t>
        </is>
      </c>
      <c r="K108" s="7" t="inlineStr">
        <is>
          <t>Unknown</t>
        </is>
      </c>
      <c r="L108" s="9" t="inlineStr">
        <is>
          <t>Web search: Sri Lanka Tamil inscription. Auto-collected 2026-10-15 (ddg); review.</t>
        </is>
      </c>
      <c r="M108" s="10" t="inlineStr">
        <is>
          <t>https://www.inscriptions.lk/?lang=en</t>
        </is>
      </c>
    </row>
    <row r="109">
      <c r="A109" s="11" t="inlineStr">
        <is>
          <t>WB-0108</t>
        </is>
      </c>
      <c r="B109" s="12" t="n"/>
      <c r="C109" s="11" t="n"/>
      <c r="D109" s="13" t="inlineStr">
        <is>
          <t>Jaffna Archaeological Museum - All You SHOULD Know Before ... - Tripadvisor</t>
        </is>
      </c>
      <c r="E109" s="13" t="n"/>
      <c r="F109" s="13" t="inlineStr">
        <is>
          <t>tripadvisor.com</t>
        </is>
      </c>
      <c r="G109" s="11" t="inlineStr">
        <is>
          <t>Web page</t>
        </is>
      </c>
      <c r="H109" s="11" t="inlineStr">
        <is>
          <t>English</t>
        </is>
      </c>
      <c r="I109" s="13" t="inlineStr">
        <is>
          <t>Archaeology / தொல்லியல்</t>
        </is>
      </c>
      <c r="J109" s="13" t="inlineStr">
        <is>
          <t>archaeological</t>
        </is>
      </c>
      <c r="K109" s="11" t="inlineStr">
        <is>
          <t>Unknown</t>
        </is>
      </c>
      <c r="L109" s="13" t="inlineStr">
        <is>
          <t>Web search: Jaffna archaeology. Auto-collected 2026-10-15 (ddg); review.</t>
        </is>
      </c>
      <c r="M109" s="14" t="inlineStr">
        <is>
          <t>https://www.tripadvisor.com/Attraction_Review-g304135-d8865728-Reviews-Jaffna_Archaeological_Museum-Jaffna_Northern_Province.html</t>
        </is>
      </c>
    </row>
    <row r="110">
      <c r="A110" s="7" t="inlineStr">
        <is>
          <t>WB-0109</t>
        </is>
      </c>
      <c r="B110" s="8" t="n"/>
      <c r="C110" s="7" t="n"/>
      <c r="D110" s="9" t="inlineStr">
        <is>
          <t>Jaffna Archaeological Museum - History &amp; Heritage of Jaffna</t>
        </is>
      </c>
      <c r="E110" s="9" t="n"/>
      <c r="F110" s="9" t="inlineStr">
        <is>
          <t>jaffna.top</t>
        </is>
      </c>
      <c r="G110" s="7" t="inlineStr">
        <is>
          <t>Web page</t>
        </is>
      </c>
      <c r="H110" s="7" t="inlineStr">
        <is>
          <t>English</t>
        </is>
      </c>
      <c r="I110" s="9" t="inlineStr">
        <is>
          <t>Archaeology / தொல்லியல்</t>
        </is>
      </c>
      <c r="J110" s="9" t="inlineStr">
        <is>
          <t>archaeological</t>
        </is>
      </c>
      <c r="K110" s="7" t="inlineStr">
        <is>
          <t>Unknown</t>
        </is>
      </c>
      <c r="L110" s="9" t="inlineStr">
        <is>
          <t>Web search: Jaffna archaeology. Auto-collected 2026-10-15 (ddg); review.</t>
        </is>
      </c>
      <c r="M110" s="10" t="inlineStr">
        <is>
          <t>https://jaffna.top/jaffna-archaeological-museum-nallur/</t>
        </is>
      </c>
    </row>
    <row r="111">
      <c r="A111" s="11" t="inlineStr">
        <is>
          <t>WB-0110</t>
        </is>
      </c>
      <c r="B111" s="12" t="n"/>
      <c r="C111" s="11" t="n"/>
      <c r="D111" s="13" t="inlineStr">
        <is>
          <t>Jaffna Archaeological Museum - Sri Lanka Travel Pages</t>
        </is>
      </c>
      <c r="E111" s="13" t="n"/>
      <c r="F111" s="13" t="inlineStr">
        <is>
          <t>srilankatravelpages.com</t>
        </is>
      </c>
      <c r="G111" s="11" t="inlineStr">
        <is>
          <t>Web page</t>
        </is>
      </c>
      <c r="H111" s="11" t="inlineStr">
        <is>
          <t>English</t>
        </is>
      </c>
      <c r="I111" s="13" t="inlineStr">
        <is>
          <t>Archaeology / தொல்லியல்</t>
        </is>
      </c>
      <c r="J111" s="13" t="inlineStr">
        <is>
          <t>archaeological</t>
        </is>
      </c>
      <c r="K111" s="11" t="inlineStr">
        <is>
          <t>Unknown</t>
        </is>
      </c>
      <c r="L111" s="13" t="inlineStr">
        <is>
          <t>Web search: Jaffna archaeology. Auto-collected 2026-10-16 (ddg); review.</t>
        </is>
      </c>
      <c r="M111" s="14" t="inlineStr">
        <is>
          <t>https://srilankatravelpages.com/listing/jaffna-archaeological-museum/</t>
        </is>
      </c>
    </row>
    <row r="112">
      <c r="A112" s="7" t="inlineStr">
        <is>
          <t>WB-0111</t>
        </is>
      </c>
      <c r="B112" s="8" t="n"/>
      <c r="C112" s="7" t="n"/>
      <c r="D112" s="9" t="inlineStr">
        <is>
          <t>Jaffna Archaeological Museum Travel Guide 2026 - Sri Lanka Tour Help</t>
        </is>
      </c>
      <c r="E112" s="9" t="n"/>
      <c r="F112" s="9" t="inlineStr">
        <is>
          <t>srilankatourhelp.org</t>
        </is>
      </c>
      <c r="G112" s="7" t="inlineStr">
        <is>
          <t>Web page</t>
        </is>
      </c>
      <c r="H112" s="7" t="inlineStr">
        <is>
          <t>English</t>
        </is>
      </c>
      <c r="I112" s="9" t="inlineStr">
        <is>
          <t>Archaeology / தொல்லியல்</t>
        </is>
      </c>
      <c r="J112" s="9" t="inlineStr">
        <is>
          <t>archaeological</t>
        </is>
      </c>
      <c r="K112" s="7" t="inlineStr">
        <is>
          <t>Unknown</t>
        </is>
      </c>
      <c r="L112" s="9" t="inlineStr">
        <is>
          <t>Web search: Jaffna archaeology. Auto-collected 2026-10-15 (ddg); review.</t>
        </is>
      </c>
      <c r="M112" s="10" t="inlineStr">
        <is>
          <t>https://srilankatourhelp.org/articles/explore-rich-heritage-jaffna-archaeological-museum</t>
        </is>
      </c>
    </row>
    <row r="113">
      <c r="A113" s="11" t="inlineStr">
        <is>
          <t>WB-0112</t>
        </is>
      </c>
      <c r="B113" s="12" t="n"/>
      <c r="C113" s="11" t="n"/>
      <c r="D113" s="13" t="inlineStr">
        <is>
          <t>Jaffna Archaeological Museum | About.lk</t>
        </is>
      </c>
      <c r="E113" s="13" t="n"/>
      <c r="F113" s="13" t="inlineStr">
        <is>
          <t>jaffna-archaeological-museum-sri-lanka.about.lk</t>
        </is>
      </c>
      <c r="G113" s="11" t="inlineStr">
        <is>
          <t>Web page</t>
        </is>
      </c>
      <c r="H113" s="11" t="inlineStr">
        <is>
          <t>English</t>
        </is>
      </c>
      <c r="I113" s="13" t="inlineStr">
        <is>
          <t>Archaeology / தொல்லியல்</t>
        </is>
      </c>
      <c r="J113" s="13" t="inlineStr">
        <is>
          <t>archaeological</t>
        </is>
      </c>
      <c r="K113" s="11" t="inlineStr">
        <is>
          <t>Unknown</t>
        </is>
      </c>
      <c r="L113" s="13" t="inlineStr">
        <is>
          <t>Web search: Jaffna archaeology. Auto-collected 2026-10-15 (ddg); review.</t>
        </is>
      </c>
      <c r="M113" s="14" t="inlineStr">
        <is>
          <t>https://jaffna-archaeological-museum-sri-lanka.about.lk/</t>
        </is>
      </c>
    </row>
    <row r="114">
      <c r="A114" s="7" t="inlineStr">
        <is>
          <t>WB-0113</t>
        </is>
      </c>
      <c r="B114" s="8" t="n"/>
      <c r="C114" s="7" t="n"/>
      <c r="D114" s="9" t="inlineStr">
        <is>
          <t>Jaffna Archaeological Museum | AmazingLanka.com</t>
        </is>
      </c>
      <c r="E114" s="9" t="n"/>
      <c r="F114" s="9" t="inlineStr">
        <is>
          <t>amazinglanka.com</t>
        </is>
      </c>
      <c r="G114" s="7" t="inlineStr">
        <is>
          <t>Web page</t>
        </is>
      </c>
      <c r="H114" s="7" t="inlineStr">
        <is>
          <t>English</t>
        </is>
      </c>
      <c r="I114" s="9" t="inlineStr">
        <is>
          <t>Archaeology / தொல்லியல்</t>
        </is>
      </c>
      <c r="J114" s="9" t="inlineStr">
        <is>
          <t>archaeological</t>
        </is>
      </c>
      <c r="K114" s="7" t="inlineStr">
        <is>
          <t>Unknown</t>
        </is>
      </c>
      <c r="L114" s="9" t="inlineStr">
        <is>
          <t>Web search: Jaffna archaeology. Auto-collected 2026-10-15 (ddg); review.</t>
        </is>
      </c>
      <c r="M114" s="10" t="inlineStr">
        <is>
          <t>https://amazinglanka.com/wp/jaffna-museum/</t>
        </is>
      </c>
    </row>
    <row r="115">
      <c r="A115" s="11" t="inlineStr">
        <is>
          <t>WB-0114</t>
        </is>
      </c>
      <c r="B115" s="12" t="n"/>
      <c r="C115" s="11" t="n"/>
      <c r="D115" s="13" t="inlineStr">
        <is>
          <t>Jaffna Archaeology Museum - iDiscover Maps</t>
        </is>
      </c>
      <c r="E115" s="13" t="n"/>
      <c r="F115" s="13" t="inlineStr">
        <is>
          <t>i-discoverasia.com</t>
        </is>
      </c>
      <c r="G115" s="11" t="inlineStr">
        <is>
          <t>Web page</t>
        </is>
      </c>
      <c r="H115" s="11" t="inlineStr">
        <is>
          <t>English</t>
        </is>
      </c>
      <c r="I115" s="13" t="inlineStr">
        <is>
          <t>Archaeology / தொல்லியல்</t>
        </is>
      </c>
      <c r="J115" s="13" t="inlineStr">
        <is>
          <t>archaeology</t>
        </is>
      </c>
      <c r="K115" s="11" t="inlineStr">
        <is>
          <t>Unknown</t>
        </is>
      </c>
      <c r="L115" s="13" t="inlineStr">
        <is>
          <t>Web search: Jaffna archaeology. Auto-collected 2026-10-22 (ddg); review.</t>
        </is>
      </c>
      <c r="M115" s="14" t="inlineStr">
        <is>
          <t>https://i-discoverasia.com/walks/jaffna-university-city-walk-sri-lanka/locations/jaffna-archaeological-museum-sri-lanka/</t>
        </is>
      </c>
    </row>
    <row r="116">
      <c r="A116" s="7" t="inlineStr">
        <is>
          <t>WB-0115</t>
        </is>
      </c>
      <c r="B116" s="8" t="n"/>
      <c r="C116" s="7" t="n"/>
      <c r="D116" s="9" t="inlineStr">
        <is>
          <t>Jaffna Archeology Tour - Journe Experiences</t>
        </is>
      </c>
      <c r="E116" s="9" t="n"/>
      <c r="F116" s="9" t="inlineStr">
        <is>
          <t>journesrilanka.com</t>
        </is>
      </c>
      <c r="G116" s="7" t="inlineStr">
        <is>
          <t>Web page</t>
        </is>
      </c>
      <c r="H116" s="7" t="inlineStr">
        <is>
          <t>English</t>
        </is>
      </c>
      <c r="I116" s="9" t="n"/>
      <c r="J116" s="9" t="n"/>
      <c r="K116" s="7" t="inlineStr">
        <is>
          <t>Unknown</t>
        </is>
      </c>
      <c r="L116" s="9" t="inlineStr">
        <is>
          <t>Web search: Jaffna archaeology. Auto-collected 2026-10-17 (ddg); review.</t>
        </is>
      </c>
      <c r="M116" s="10" t="inlineStr">
        <is>
          <t>https://journesrilanka.com/trips/jaffna-archeology-tour/</t>
        </is>
      </c>
    </row>
    <row r="117">
      <c r="A117" s="11" t="inlineStr">
        <is>
          <t>WB-0116</t>
        </is>
      </c>
      <c r="B117" s="12" t="n"/>
      <c r="C117" s="11" t="n"/>
      <c r="D117" s="13" t="inlineStr">
        <is>
          <t>Kandarodai alias Kadurugoda near Jaffna - LANKA EXCURSIONS HOLIDAYS</t>
        </is>
      </c>
      <c r="E117" s="13" t="n"/>
      <c r="F117" s="13" t="inlineStr">
        <is>
          <t>lanka-excursions-holidays.com</t>
        </is>
      </c>
      <c r="G117" s="11" t="inlineStr">
        <is>
          <t>Web page</t>
        </is>
      </c>
      <c r="H117" s="11" t="inlineStr">
        <is>
          <t>English</t>
        </is>
      </c>
      <c r="I117" s="13" t="n"/>
      <c r="J117" s="13" t="n"/>
      <c r="K117" s="11" t="inlineStr">
        <is>
          <t>Unknown</t>
        </is>
      </c>
      <c r="L117" s="13" t="inlineStr">
        <is>
          <t>Web search: Kantarodai archaeology. Auto-collected 2026-10-19 (ddg); review.</t>
        </is>
      </c>
      <c r="M117" s="14" t="inlineStr">
        <is>
          <t>https://www.lanka-excursions-holidays.com/kandarodai.html</t>
        </is>
      </c>
    </row>
    <row r="118">
      <c r="A118" s="7" t="inlineStr">
        <is>
          <t>WB-0117</t>
        </is>
      </c>
      <c r="B118" s="8" t="n"/>
      <c r="C118" s="7" t="n"/>
      <c r="D118" s="9" t="inlineStr">
        <is>
          <t>Kantharodai in Jaffna - Atlas Obscura</t>
        </is>
      </c>
      <c r="E118" s="9" t="n"/>
      <c r="F118" s="9" t="inlineStr">
        <is>
          <t>atlasobscura.com</t>
        </is>
      </c>
      <c r="G118" s="7" t="inlineStr">
        <is>
          <t>Web page</t>
        </is>
      </c>
      <c r="H118" s="7" t="inlineStr">
        <is>
          <t>English</t>
        </is>
      </c>
      <c r="I118" s="9" t="n"/>
      <c r="J118" s="9" t="n"/>
      <c r="K118" s="7" t="inlineStr">
        <is>
          <t>Unknown</t>
        </is>
      </c>
      <c r="L118" s="9" t="inlineStr">
        <is>
          <t>Web search: Kantarodai archaeology. Auto-collected 2026-10-15 (ddg); review.</t>
        </is>
      </c>
      <c r="M118" s="10" t="inlineStr">
        <is>
          <t>https://www.atlasobscura.com/places/kantharodai</t>
        </is>
      </c>
    </row>
    <row r="119">
      <c r="A119" s="11" t="inlineStr">
        <is>
          <t>WB-0118</t>
        </is>
      </c>
      <c r="B119" s="12" t="n"/>
      <c r="C119" s="11" t="n"/>
      <c r="D119" s="13" t="inlineStr">
        <is>
          <t>Kurullangala Prehistoric Cave Art Site at ... - AmazingLanka.com</t>
        </is>
      </c>
      <c r="E119" s="13" t="n"/>
      <c r="F119" s="13" t="inlineStr">
        <is>
          <t>amazinglanka.com</t>
        </is>
      </c>
      <c r="G119" s="11" t="inlineStr">
        <is>
          <t>Web page</t>
        </is>
      </c>
      <c r="H119" s="11" t="inlineStr">
        <is>
          <t>English</t>
        </is>
      </c>
      <c r="I119" s="13" t="n"/>
      <c r="J119" s="13" t="n"/>
      <c r="K119" s="11" t="inlineStr">
        <is>
          <t>Unknown</t>
        </is>
      </c>
      <c r="L119" s="13" t="inlineStr">
        <is>
          <t>Web search: Sri Lanka rock art cave painting. Auto-collected 2026-10-15 (ddg); review.</t>
        </is>
      </c>
      <c r="M119" s="14" t="inlineStr">
        <is>
          <t>https://amazinglanka.com/wp/kurullangala/</t>
        </is>
      </c>
    </row>
    <row r="120">
      <c r="A120" s="7" t="inlineStr">
        <is>
          <t>WB-0119</t>
        </is>
      </c>
      <c r="B120" s="8" t="n"/>
      <c r="C120" s="7" t="n"/>
      <c r="D120" s="9" t="inlineStr">
        <is>
          <t>Kurullangala Rock Art: A Mystery - Asian Art Newspaper</t>
        </is>
      </c>
      <c r="E120" s="9" t="n"/>
      <c r="F120" s="9" t="inlineStr">
        <is>
          <t>asianartnewspaper.com</t>
        </is>
      </c>
      <c r="G120" s="7" t="inlineStr">
        <is>
          <t>Web page</t>
        </is>
      </c>
      <c r="H120" s="7" t="inlineStr">
        <is>
          <t>English</t>
        </is>
      </c>
      <c r="I120" s="9" t="inlineStr">
        <is>
          <t>Rock art / பாறை ஓவியம்</t>
        </is>
      </c>
      <c r="J120" s="9" t="inlineStr">
        <is>
          <t>rock art</t>
        </is>
      </c>
      <c r="K120" s="7" t="inlineStr">
        <is>
          <t>Unknown</t>
        </is>
      </c>
      <c r="L120" s="9" t="inlineStr">
        <is>
          <t>Web search: Sri Lanka rock art cave painting. Auto-collected 2026-10-15 (ddg); review.</t>
        </is>
      </c>
      <c r="M120" s="10" t="inlineStr">
        <is>
          <t>https://asianartnewspaper.com/the-mysterious-rock-art-of-kurullangala/</t>
        </is>
      </c>
    </row>
    <row r="121">
      <c r="A121" s="11" t="inlineStr">
        <is>
          <t>WB-0120</t>
        </is>
      </c>
      <c r="B121" s="12" t="n"/>
      <c r="C121" s="11" t="n"/>
      <c r="D121" s="13" t="inlineStr">
        <is>
          <t>List of Archaeological Protected Monuments in Jaffna District</t>
        </is>
      </c>
      <c r="E121" s="13" t="inlineStr">
        <is>
          <t>Wikipedia contributors</t>
        </is>
      </c>
      <c r="F121" s="13" t="inlineStr">
        <is>
          <t>Wikipedia (en)</t>
        </is>
      </c>
      <c r="G121" s="11" t="inlineStr">
        <is>
          <t>Encyclopedia article</t>
        </is>
      </c>
      <c r="H121" s="11" t="inlineStr">
        <is>
          <t>English</t>
        </is>
      </c>
      <c r="I121" s="13" t="inlineStr">
        <is>
          <t>Archaeology / தொல்லியல்</t>
        </is>
      </c>
      <c r="J121" s="13" t="inlineStr">
        <is>
          <t>archaeological</t>
        </is>
      </c>
      <c r="K121" s="11" t="inlineStr">
        <is>
          <t>Unknown</t>
        </is>
      </c>
      <c r="L121" s="13" t="inlineStr">
        <is>
          <t>Date = page creation. Auto-collected 2026-10-14 (wikipedia); review.</t>
        </is>
      </c>
      <c r="M121" s="14" t="inlineStr">
        <is>
          <t>https://en.wikipedia.org/wiki/List_of_Archaeological_Protected_Monuments_in_Jaffna_District</t>
        </is>
      </c>
    </row>
    <row r="122">
      <c r="A122" s="7" t="inlineStr">
        <is>
          <t>WB-0121</t>
        </is>
      </c>
      <c r="B122" s="8" t="n"/>
      <c r="C122" s="7" t="n"/>
      <c r="D122" s="9" t="inlineStr">
        <is>
          <t>Manniththalai Sand Bar Ancient Settlement and Archaeological Sites</t>
        </is>
      </c>
      <c r="E122" s="9" t="n"/>
      <c r="F122" s="9" t="inlineStr">
        <is>
          <t>AmazingLanka.com</t>
        </is>
      </c>
      <c r="G122" s="7" t="inlineStr">
        <is>
          <t>Web article</t>
        </is>
      </c>
      <c r="H122" s="7" t="inlineStr">
        <is>
          <t>English</t>
        </is>
      </c>
      <c r="I122" s="9" t="inlineStr">
        <is>
          <t>Archaeology / தொல்லியல்</t>
        </is>
      </c>
      <c r="J122" s="9" t="inlineStr">
        <is>
          <t>தொல்லியல்; settlement</t>
        </is>
      </c>
      <c r="K122" s="7" t="inlineStr">
        <is>
          <t>Unknown</t>
        </is>
      </c>
      <c r="L122" s="9" t="n"/>
      <c r="M122" s="10" t="inlineStr">
        <is>
          <t>https://amazinglanka.com/wp/manniththalai-settlements/</t>
        </is>
      </c>
    </row>
    <row r="123">
      <c r="A123" s="11" t="inlineStr">
        <is>
          <t>WB-0122</t>
        </is>
      </c>
      <c r="B123" s="12" t="n"/>
      <c r="C123" s="11" t="n"/>
      <c r="D123" s="13" t="inlineStr">
        <is>
          <t>Museums - Archaeology</t>
        </is>
      </c>
      <c r="E123" s="13" t="n"/>
      <c r="F123" s="13" t="inlineStr">
        <is>
          <t>archaeology.gov.lk</t>
        </is>
      </c>
      <c r="G123" s="11" t="inlineStr">
        <is>
          <t>Web page</t>
        </is>
      </c>
      <c r="H123" s="11" t="inlineStr">
        <is>
          <t>English</t>
        </is>
      </c>
      <c r="I123" s="13" t="inlineStr">
        <is>
          <t>Archaeology / தொல்லியல்</t>
        </is>
      </c>
      <c r="J123" s="13" t="inlineStr">
        <is>
          <t>archaeology</t>
        </is>
      </c>
      <c r="K123" s="11" t="inlineStr">
        <is>
          <t>Unknown</t>
        </is>
      </c>
      <c r="L123" s="13" t="inlineStr">
        <is>
          <t>Web search: Jaffna archaeology. Auto-collected 2026-10-21 (ddg); review.</t>
        </is>
      </c>
      <c r="M123" s="14" t="inlineStr">
        <is>
          <t>https://archaeology.gov.lk/index.php/about/sections/museums</t>
        </is>
      </c>
    </row>
    <row r="124">
      <c r="A124" s="7" t="inlineStr">
        <is>
          <t>WB-0123</t>
        </is>
      </c>
      <c r="B124" s="8" t="n"/>
      <c r="C124" s="7" t="n"/>
      <c r="D124" s="9" t="inlineStr">
        <is>
          <t>New Archaeological Evidence - Tamil Diplomat</t>
        </is>
      </c>
      <c r="E124" s="9" t="n"/>
      <c r="F124" s="9" t="inlineStr">
        <is>
          <t>tamildiplomat.com</t>
        </is>
      </c>
      <c r="G124" s="7" t="inlineStr">
        <is>
          <t>Web page</t>
        </is>
      </c>
      <c r="H124" s="7" t="inlineStr">
        <is>
          <t>English</t>
        </is>
      </c>
      <c r="I124" s="9" t="inlineStr">
        <is>
          <t>Archaeology / தொல்லியல்</t>
        </is>
      </c>
      <c r="J124" s="9" t="inlineStr">
        <is>
          <t>archaeological</t>
        </is>
      </c>
      <c r="K124" s="7" t="inlineStr">
        <is>
          <t>Unknown</t>
        </is>
      </c>
      <c r="L124" s="9" t="inlineStr">
        <is>
          <t>Web search: Tamil coins Sri Lanka archaeology. Auto-collected 2026-10-15 (ddg); review.</t>
        </is>
      </c>
      <c r="M124" s="10" t="inlineStr">
        <is>
          <t>https://tamildiplomat.com/new-archaeological-evidence/</t>
        </is>
      </c>
    </row>
    <row r="125">
      <c r="A125" s="11" t="inlineStr">
        <is>
          <t>WB-0124</t>
        </is>
      </c>
      <c r="B125" s="12" t="n"/>
      <c r="C125" s="11" t="n"/>
      <c r="D125" s="13" t="inlineStr">
        <is>
          <t>PDF Historical Significance of Recent Discovery of Tamils' Coins of the ...</t>
        </is>
      </c>
      <c r="E125" s="13" t="n"/>
      <c r="F125" s="13" t="inlineStr">
        <is>
          <t>repo.lib.jfn.ac.lk</t>
        </is>
      </c>
      <c r="G125" s="11" t="inlineStr">
        <is>
          <t>Web page</t>
        </is>
      </c>
      <c r="H125" s="11" t="inlineStr">
        <is>
          <t>English</t>
        </is>
      </c>
      <c r="I125" s="13" t="inlineStr">
        <is>
          <t>Coins / நாணயம்</t>
        </is>
      </c>
      <c r="J125" s="13" t="n"/>
      <c r="K125" s="11" t="inlineStr">
        <is>
          <t>Unknown</t>
        </is>
      </c>
      <c r="L125" s="13" t="inlineStr">
        <is>
          <t>Web search: Tamil coins Sri Lanka archaeology. Auto-collected 2026-10-17 (ddg); review.</t>
        </is>
      </c>
      <c r="M125" s="14" t="inlineStr">
        <is>
          <t>http://repo.lib.jfn.ac.lk/xmlui/bitstream/handle/123456789/9724/Historical%20Significance%20of%20Recent%20Discovery%20of%20Tamils%27%20Coins%20of%20the%20Period%20before%202000%20Years%20in%20Sri%20Lanka..pdf?sequence=1</t>
        </is>
      </c>
    </row>
    <row r="126">
      <c r="A126" s="7" t="inlineStr">
        <is>
          <t>WB-0125</t>
        </is>
      </c>
      <c r="B126" s="8" t="n"/>
      <c r="C126" s="7" t="n"/>
      <c r="D126" s="9" t="inlineStr">
        <is>
          <t>PDF Tamil Brahmi Inscription Belonging to 2200 years ago,</t>
        </is>
      </c>
      <c r="E126" s="9" t="n"/>
      <c r="F126" s="9" t="inlineStr">
        <is>
          <t>tamilwritersguild.com</t>
        </is>
      </c>
      <c r="G126" s="7" t="inlineStr">
        <is>
          <t>Web page</t>
        </is>
      </c>
      <c r="H126" s="7" t="inlineStr">
        <is>
          <t>English</t>
        </is>
      </c>
      <c r="I126" s="9" t="inlineStr">
        <is>
          <t>Inscriptions / கல்வெட்டு; Brahmi / பிராமி</t>
        </is>
      </c>
      <c r="J126" s="9" t="inlineStr">
        <is>
          <t>inscription; brahmi</t>
        </is>
      </c>
      <c r="K126" s="7" t="inlineStr">
        <is>
          <t>Unknown</t>
        </is>
      </c>
      <c r="L126" s="9" t="inlineStr">
        <is>
          <t>Web search: Sri Lanka Tamil Brahmi. Auto-collected 2026-10-15 (ddg); review.</t>
        </is>
      </c>
      <c r="M126" s="10" t="inlineStr">
        <is>
          <t>https://tamilwritersguild.com/Tamil%20Brahmi%20Inscription%20Belonging%20to%2022_240119_110151.pdf</t>
        </is>
      </c>
    </row>
    <row r="127">
      <c r="A127" s="11" t="inlineStr">
        <is>
          <t>WB-0126</t>
        </is>
      </c>
      <c r="B127" s="12" t="n"/>
      <c r="C127" s="11" t="n"/>
      <c r="D127" s="13" t="inlineStr">
        <is>
          <t>PDF Tamil Brahmi Inscription Belonging to 2200 years ago, Discovered by ...</t>
        </is>
      </c>
      <c r="E127" s="13" t="n"/>
      <c r="F127" s="13" t="inlineStr">
        <is>
          <t>repo.lib.jfn.ac.lk:8080</t>
        </is>
      </c>
      <c r="G127" s="11" t="inlineStr">
        <is>
          <t>Web page</t>
        </is>
      </c>
      <c r="H127" s="11" t="inlineStr">
        <is>
          <t>English</t>
        </is>
      </c>
      <c r="I127" s="13" t="inlineStr">
        <is>
          <t>Inscriptions / கல்வெட்டு; Brahmi / பிராமி</t>
        </is>
      </c>
      <c r="J127" s="13" t="inlineStr">
        <is>
          <t>inscription; brahmi</t>
        </is>
      </c>
      <c r="K127" s="11" t="inlineStr">
        <is>
          <t>Unknown</t>
        </is>
      </c>
      <c r="L127" s="13" t="inlineStr">
        <is>
          <t>Web search: Sri Lanka Tamil Brahmi. Auto-collected 2026-10-21 (ddg); review.</t>
        </is>
      </c>
      <c r="M127" s="14" t="inlineStr">
        <is>
          <t>http://repo.lib.jfn.ac.lk:8080/ujrr/bitstream/123456789/865/2/JUICE2014-Tamil%20Brahmi%20Inscription%20Belonging%20to%202200%20years%20ago%2C.pdf</t>
        </is>
      </c>
    </row>
    <row r="128">
      <c r="A128" s="7" t="inlineStr">
        <is>
          <t>WB-0127</t>
        </is>
      </c>
      <c r="B128" s="8" t="n"/>
      <c r="C128" s="7" t="n"/>
      <c r="D128" s="9" t="inlineStr">
        <is>
          <t>Pandya coinage - Wikipedia</t>
        </is>
      </c>
      <c r="E128" s="9" t="n"/>
      <c r="F128" s="9" t="inlineStr">
        <is>
          <t>en.wikipedia.org</t>
        </is>
      </c>
      <c r="G128" s="7" t="inlineStr">
        <is>
          <t>Web page</t>
        </is>
      </c>
      <c r="H128" s="7" t="inlineStr">
        <is>
          <t>English</t>
        </is>
      </c>
      <c r="I128" s="9" t="inlineStr">
        <is>
          <t>Coins / நாணயம்</t>
        </is>
      </c>
      <c r="J128" s="9" t="n"/>
      <c r="K128" s="7" t="inlineStr">
        <is>
          <t>Unknown</t>
        </is>
      </c>
      <c r="L128" s="9" t="inlineStr">
        <is>
          <t>Web search: Tamil coins Sri Lanka archaeology. Auto-collected 2026-10-15 (ddg); review.</t>
        </is>
      </c>
      <c r="M128" s="10" t="inlineStr">
        <is>
          <t>https://en.wikipedia.org/wiki/Pandya_coinage</t>
        </is>
      </c>
    </row>
    <row r="129">
      <c r="A129" s="11" t="inlineStr">
        <is>
          <t>WB-0128</t>
        </is>
      </c>
      <c r="B129" s="12" t="n"/>
      <c r="C129" s="11" t="n"/>
      <c r="D129" s="13" t="inlineStr">
        <is>
          <t>Rock Art Gallery of Sri Lanka - Bradshaw Foundation</t>
        </is>
      </c>
      <c r="E129" s="13" t="n"/>
      <c r="F129" s="13" t="inlineStr">
        <is>
          <t>bradshawfoundation.com</t>
        </is>
      </c>
      <c r="G129" s="11" t="inlineStr">
        <is>
          <t>Web page</t>
        </is>
      </c>
      <c r="H129" s="11" t="inlineStr">
        <is>
          <t>English</t>
        </is>
      </c>
      <c r="I129" s="13" t="inlineStr">
        <is>
          <t>Rock art / பாறை ஓவியம்</t>
        </is>
      </c>
      <c r="J129" s="13" t="inlineStr">
        <is>
          <t>rock art</t>
        </is>
      </c>
      <c r="K129" s="11" t="inlineStr">
        <is>
          <t>Unknown</t>
        </is>
      </c>
      <c r="L129" s="13" t="inlineStr">
        <is>
          <t>Web search: Sri Lanka rock art cave painting. Auto-collected 2026-10-15 (ddg); review.</t>
        </is>
      </c>
      <c r="M129" s="14" t="inlineStr">
        <is>
          <t>https://www.bradshawfoundation.com/sri_lanka/gallery/index.php</t>
        </is>
      </c>
    </row>
    <row r="130">
      <c r="A130" s="7" t="inlineStr">
        <is>
          <t>WB-0129</t>
        </is>
      </c>
      <c r="B130" s="8" t="n"/>
      <c r="C130" s="7" t="n"/>
      <c r="D130" s="9" t="inlineStr">
        <is>
          <t>Rock Paintings and Engraving Sites in Sri Lanka - Bradshaw Foundation</t>
        </is>
      </c>
      <c r="E130" s="9" t="n"/>
      <c r="F130" s="9" t="inlineStr">
        <is>
          <t>bradshawfoundation.com</t>
        </is>
      </c>
      <c r="G130" s="7" t="inlineStr">
        <is>
          <t>Web page</t>
        </is>
      </c>
      <c r="H130" s="7" t="inlineStr">
        <is>
          <t>English</t>
        </is>
      </c>
      <c r="I130" s="9" t="inlineStr">
        <is>
          <t>Rock art / பாறை ஓவியம்</t>
        </is>
      </c>
      <c r="J130" s="9" t="inlineStr">
        <is>
          <t>rock painting</t>
        </is>
      </c>
      <c r="K130" s="7" t="inlineStr">
        <is>
          <t>Unknown</t>
        </is>
      </c>
      <c r="L130" s="9" t="inlineStr">
        <is>
          <t>Web search: Sri Lanka rock art cave painting. Auto-collected 2026-10-15 (ddg); review.</t>
        </is>
      </c>
      <c r="M130" s="10" t="inlineStr">
        <is>
          <t>https://www.bradshawfoundation.com/sri_lanka/rock_paintings_engraving_sites/index.php</t>
        </is>
      </c>
    </row>
    <row r="131">
      <c r="A131" s="11" t="inlineStr">
        <is>
          <t>WB-0130</t>
        </is>
      </c>
      <c r="B131" s="12" t="n"/>
      <c r="C131" s="11" t="n"/>
      <c r="D131" s="13" t="inlineStr">
        <is>
          <t>Sinhalese Hero Stone Analysis</t>
        </is>
      </c>
      <c r="E131" s="13" t="n"/>
      <c r="F131" s="13" t="inlineStr">
        <is>
          <t>scribd.com</t>
        </is>
      </c>
      <c r="G131" s="11" t="inlineStr">
        <is>
          <t>Web page</t>
        </is>
      </c>
      <c r="H131" s="11" t="inlineStr">
        <is>
          <t>English</t>
        </is>
      </c>
      <c r="I131" s="13" t="inlineStr">
        <is>
          <t>Hero stones / நடுகல்</t>
        </is>
      </c>
      <c r="J131" s="13" t="inlineStr">
        <is>
          <t>hero stone</t>
        </is>
      </c>
      <c r="K131" s="11" t="inlineStr">
        <is>
          <t>Unknown</t>
        </is>
      </c>
      <c r="L131" s="13" t="inlineStr">
        <is>
          <t>Web search: Sri Lanka hero stone. Auto-collected 2026-10-15 (ddg); review.</t>
        </is>
      </c>
      <c r="M131" s="14" t="inlineStr">
        <is>
          <t>https://www.scribd.com/document/459454071/srilanka-herostone-pdf</t>
        </is>
      </c>
    </row>
    <row r="132">
      <c r="A132" s="7" t="inlineStr">
        <is>
          <t>WB-0131</t>
        </is>
      </c>
      <c r="B132" s="8" t="n"/>
      <c r="C132" s="7" t="n"/>
      <c r="D132" s="9" t="inlineStr">
        <is>
          <t>Sources of ancient Tamil history</t>
        </is>
      </c>
      <c r="E132" s="9" t="inlineStr">
        <is>
          <t>Wikipedia contributors</t>
        </is>
      </c>
      <c r="F132" s="9" t="inlineStr">
        <is>
          <t>Wikipedia (en)</t>
        </is>
      </c>
      <c r="G132" s="7" t="inlineStr">
        <is>
          <t>Encyclopedia article</t>
        </is>
      </c>
      <c r="H132" s="7" t="inlineStr">
        <is>
          <t>English</t>
        </is>
      </c>
      <c r="I132" s="9" t="n"/>
      <c r="J132" s="9" t="n"/>
      <c r="K132" s="7" t="inlineStr">
        <is>
          <t>Unknown</t>
        </is>
      </c>
      <c r="L132" s="9" t="inlineStr">
        <is>
          <t>Date = page creation. Auto-collected 2026-10-14 (wikipedia); review.</t>
        </is>
      </c>
      <c r="M132" s="10" t="inlineStr">
        <is>
          <t>https://en.wikipedia.org/wiki/Sources_of_ancient_Tamil_history</t>
        </is>
      </c>
    </row>
    <row r="133">
      <c r="A133" s="11" t="inlineStr">
        <is>
          <t>WB-0132</t>
        </is>
      </c>
      <c r="B133" s="12" t="n"/>
      <c r="C133" s="11" t="n"/>
      <c r="D133" s="13" t="inlineStr">
        <is>
          <t>Sri Lanka Inscriptions</t>
        </is>
      </c>
      <c r="E133" s="13" t="n"/>
      <c r="F133" s="13" t="inlineStr">
        <is>
          <t>inscriptions.lk</t>
        </is>
      </c>
      <c r="G133" s="11" t="inlineStr">
        <is>
          <t>Web page</t>
        </is>
      </c>
      <c r="H133" s="11" t="inlineStr">
        <is>
          <t>English</t>
        </is>
      </c>
      <c r="I133" s="13" t="inlineStr">
        <is>
          <t>Inscriptions / கல்வெட்டு</t>
        </is>
      </c>
      <c r="J133" s="13" t="inlineStr">
        <is>
          <t>inscription; inscriptions</t>
        </is>
      </c>
      <c r="K133" s="11" t="inlineStr">
        <is>
          <t>Unknown</t>
        </is>
      </c>
      <c r="L133" s="13" t="inlineStr">
        <is>
          <t>Web search: Sri Lanka Tamil inscription. Auto-collected 2026-10-20 (ddg); review.</t>
        </is>
      </c>
      <c r="M133" s="14" t="inlineStr">
        <is>
          <t>https://www.inscriptions.lk/db/VInscriptionsView/116?language=en-US</t>
        </is>
      </c>
    </row>
    <row r="134">
      <c r="A134" s="7" t="inlineStr">
        <is>
          <t>WB-0133</t>
        </is>
      </c>
      <c r="B134" s="8" t="n"/>
      <c r="C134" s="7" t="n"/>
      <c r="D134" s="9" t="inlineStr">
        <is>
          <t>Tamil Brahmi - Aksharamukha</t>
        </is>
      </c>
      <c r="E134" s="9" t="n"/>
      <c r="F134" s="9" t="inlineStr">
        <is>
          <t>aksharamukha.com</t>
        </is>
      </c>
      <c r="G134" s="7" t="inlineStr">
        <is>
          <t>Web page</t>
        </is>
      </c>
      <c r="H134" s="7" t="inlineStr">
        <is>
          <t>English</t>
        </is>
      </c>
      <c r="I134" s="9" t="inlineStr">
        <is>
          <t>Brahmi / பிராமி</t>
        </is>
      </c>
      <c r="J134" s="9" t="inlineStr">
        <is>
          <t>brahmi</t>
        </is>
      </c>
      <c r="K134" s="7" t="inlineStr">
        <is>
          <t>Unknown</t>
        </is>
      </c>
      <c r="L134" s="9" t="inlineStr">
        <is>
          <t>Web search: Sri Lanka Tamil Brahmi. Auto-collected 2026-10-15 (ddg); review.</t>
        </is>
      </c>
      <c r="M134" s="10" t="inlineStr">
        <is>
          <t>https://www.aksharamukha.com/describe/TamilBrahmi</t>
        </is>
      </c>
    </row>
    <row r="135">
      <c r="A135" s="11" t="inlineStr">
        <is>
          <t>WB-0134</t>
        </is>
      </c>
      <c r="B135" s="12" t="n"/>
      <c r="C135" s="11" t="n"/>
      <c r="D135" s="13" t="inlineStr">
        <is>
          <t>Tamil Brahmi Research Papers - Academia.edu</t>
        </is>
      </c>
      <c r="E135" s="13" t="n"/>
      <c r="F135" s="13" t="inlineStr">
        <is>
          <t>academia.edu</t>
        </is>
      </c>
      <c r="G135" s="11" t="inlineStr">
        <is>
          <t>Web page</t>
        </is>
      </c>
      <c r="H135" s="11" t="inlineStr">
        <is>
          <t>English</t>
        </is>
      </c>
      <c r="I135" s="13" t="inlineStr">
        <is>
          <t>Brahmi / பிராமி</t>
        </is>
      </c>
      <c r="J135" s="13" t="inlineStr">
        <is>
          <t>brahmi</t>
        </is>
      </c>
      <c r="K135" s="11" t="inlineStr">
        <is>
          <t>Unknown</t>
        </is>
      </c>
      <c r="L135" s="13" t="inlineStr">
        <is>
          <t>Web search: Sri Lanka Tamil Brahmi. Auto-collected 2026-10-19 (ddg); review.</t>
        </is>
      </c>
      <c r="M135" s="14" t="inlineStr">
        <is>
          <t>https://www.academia.edu/Documents/in/Tamil_Brahmi</t>
        </is>
      </c>
    </row>
    <row r="136">
      <c r="A136" s="7" t="inlineStr">
        <is>
          <t>WB-0135</t>
        </is>
      </c>
      <c r="B136" s="8" t="n"/>
      <c r="C136" s="7" t="n"/>
      <c r="D136" s="9" t="inlineStr">
        <is>
          <t>Tamil Coin Issued by King Ellalan during the Anuradhapura Era</t>
        </is>
      </c>
      <c r="E136" s="9" t="n"/>
      <c r="F136" s="9" t="inlineStr">
        <is>
          <t>sangam.org</t>
        </is>
      </c>
      <c r="G136" s="7" t="inlineStr">
        <is>
          <t>Web page</t>
        </is>
      </c>
      <c r="H136" s="7" t="inlineStr">
        <is>
          <t>English</t>
        </is>
      </c>
      <c r="I136" s="9" t="inlineStr">
        <is>
          <t>Coins / நாணயம்</t>
        </is>
      </c>
      <c r="J136" s="9" t="n"/>
      <c r="K136" s="7" t="inlineStr">
        <is>
          <t>Unknown</t>
        </is>
      </c>
      <c r="L136" s="9" t="inlineStr">
        <is>
          <t>Web search: Tamil coins Sri Lanka archaeology. Auto-collected 2026-10-16 (ddg); review.</t>
        </is>
      </c>
      <c r="M136" s="10" t="inlineStr">
        <is>
          <t>https://sangam.org/tamil-coin-issued-by-king-ellalan-during-the-anuradhapura-era/</t>
        </is>
      </c>
    </row>
    <row r="137">
      <c r="A137" s="11" t="inlineStr">
        <is>
          <t>WB-0136</t>
        </is>
      </c>
      <c r="B137" s="12" t="n"/>
      <c r="C137" s="11" t="n"/>
      <c r="D137" s="13" t="inlineStr">
        <is>
          <t>Tamil Influence on Early Brahmi Inscriptions | PDF | Sri Lanka</t>
        </is>
      </c>
      <c r="E137" s="13" t="n"/>
      <c r="F137" s="13" t="inlineStr">
        <is>
          <t>scribd.com</t>
        </is>
      </c>
      <c r="G137" s="11" t="inlineStr">
        <is>
          <t>Web page</t>
        </is>
      </c>
      <c r="H137" s="11" t="inlineStr">
        <is>
          <t>English</t>
        </is>
      </c>
      <c r="I137" s="13" t="inlineStr">
        <is>
          <t>Inscriptions / கல்வெட்டு; Brahmi / பிராமி</t>
        </is>
      </c>
      <c r="J137" s="13" t="inlineStr">
        <is>
          <t>inscription; inscriptions; brahmi</t>
        </is>
      </c>
      <c r="K137" s="11" t="inlineStr">
        <is>
          <t>Unknown</t>
        </is>
      </c>
      <c r="L137" s="13" t="inlineStr">
        <is>
          <t>Web search: Sri Lanka Tamil Brahmi. Auto-collected 2026-10-15 (ddg); review.</t>
        </is>
      </c>
      <c r="M137" s="14" t="inlineStr">
        <is>
          <t>https://www.scribd.com/document/375399590/Tamil-Influence-in-Ancient-Sri-Lanka-With-Special-Reference-to-Early-Brahmi-Inscriptions-All-Parts-A-Veluppillai-1979-and-1980</t>
        </is>
      </c>
    </row>
    <row r="138">
      <c r="A138" s="7" t="inlineStr">
        <is>
          <t>WB-0137</t>
        </is>
      </c>
      <c r="B138" s="8" t="n"/>
      <c r="C138" s="7" t="n"/>
      <c r="D138" s="9" t="inlineStr">
        <is>
          <t>Tamil inscriptions in Sri Lanka - Bharatpedia</t>
        </is>
      </c>
      <c r="E138" s="9" t="n"/>
      <c r="F138" s="9" t="inlineStr">
        <is>
          <t>en.bharatpedia.org</t>
        </is>
      </c>
      <c r="G138" s="7" t="inlineStr">
        <is>
          <t>Web page</t>
        </is>
      </c>
      <c r="H138" s="7" t="inlineStr">
        <is>
          <t>English</t>
        </is>
      </c>
      <c r="I138" s="9" t="inlineStr">
        <is>
          <t>Inscriptions / கல்வெட்டு</t>
        </is>
      </c>
      <c r="J138" s="9" t="inlineStr">
        <is>
          <t>inscription; inscriptions</t>
        </is>
      </c>
      <c r="K138" s="7" t="inlineStr">
        <is>
          <t>Unknown</t>
        </is>
      </c>
      <c r="L138" s="9" t="inlineStr">
        <is>
          <t>Web search: Sri Lanka Tamil inscription. Auto-collected 2026-10-20 (ddg); review.</t>
        </is>
      </c>
      <c r="M138" s="10" t="inlineStr">
        <is>
          <t>https://en.bharatpedia.org/wiki/Tamil_inscriptions_in_Sri_Lanka</t>
        </is>
      </c>
    </row>
    <row r="139">
      <c r="A139" s="11" t="inlineStr">
        <is>
          <t>WB-0138</t>
        </is>
      </c>
      <c r="B139" s="12" t="n"/>
      <c r="C139" s="11" t="n"/>
      <c r="D139" s="13" t="inlineStr">
        <is>
          <t>Tamil inscriptions in Sri Lanka - Grokipedia</t>
        </is>
      </c>
      <c r="E139" s="13" t="n"/>
      <c r="F139" s="13" t="inlineStr">
        <is>
          <t>grokipedia.com</t>
        </is>
      </c>
      <c r="G139" s="11" t="inlineStr">
        <is>
          <t>Web page</t>
        </is>
      </c>
      <c r="H139" s="11" t="inlineStr">
        <is>
          <t>English</t>
        </is>
      </c>
      <c r="I139" s="13" t="inlineStr">
        <is>
          <t>Inscriptions / கல்வெட்டு</t>
        </is>
      </c>
      <c r="J139" s="13" t="inlineStr">
        <is>
          <t>inscription; inscriptions</t>
        </is>
      </c>
      <c r="K139" s="11" t="inlineStr">
        <is>
          <t>Unknown</t>
        </is>
      </c>
      <c r="L139" s="13" t="inlineStr">
        <is>
          <t>Web search: Sri Lanka Tamil inscription. Auto-collected 2026-10-15 (ddg); review.</t>
        </is>
      </c>
      <c r="M139" s="14" t="inlineStr">
        <is>
          <t>https://grokipedia.com/page/tamil_inscriptions_in_sri_lanka</t>
        </is>
      </c>
    </row>
    <row r="140">
      <c r="A140" s="7" t="inlineStr">
        <is>
          <t>WB-0139</t>
        </is>
      </c>
      <c r="B140" s="8" t="n"/>
      <c r="C140" s="7" t="n"/>
      <c r="D140" s="9" t="inlineStr">
        <is>
          <t>Tamil inscriptions in Sri Lanka - Wikiwand</t>
        </is>
      </c>
      <c r="E140" s="9" t="n"/>
      <c r="F140" s="9" t="inlineStr">
        <is>
          <t>wikiwand.com</t>
        </is>
      </c>
      <c r="G140" s="7" t="inlineStr">
        <is>
          <t>Web page</t>
        </is>
      </c>
      <c r="H140" s="7" t="inlineStr">
        <is>
          <t>English</t>
        </is>
      </c>
      <c r="I140" s="9" t="inlineStr">
        <is>
          <t>Inscriptions / கல்வெட்டு</t>
        </is>
      </c>
      <c r="J140" s="9" t="inlineStr">
        <is>
          <t>inscription; inscriptions</t>
        </is>
      </c>
      <c r="K140" s="7" t="inlineStr">
        <is>
          <t>Unknown</t>
        </is>
      </c>
      <c r="L140" s="9" t="inlineStr">
        <is>
          <t>Web search: Sri Lanka Tamil inscription. Auto-collected 2026-10-15 (ddg); review.</t>
        </is>
      </c>
      <c r="M140" s="10" t="inlineStr">
        <is>
          <t>https://www.wikiwand.com/en/Tamil_inscriptions_in_Sri_Lanka</t>
        </is>
      </c>
    </row>
    <row r="141">
      <c r="A141" s="11" t="inlineStr">
        <is>
          <t>WB-0140</t>
        </is>
      </c>
      <c r="B141" s="12" t="n"/>
      <c r="C141" s="11" t="n"/>
      <c r="D141" s="13" t="inlineStr">
        <is>
          <t>The Inscription at Fort Frederick, Trincomalee</t>
        </is>
      </c>
      <c r="E141" s="13" t="n"/>
      <c r="F141" s="13" t="inlineStr">
        <is>
          <t>jstor.org</t>
        </is>
      </c>
      <c r="G141" s="11" t="inlineStr">
        <is>
          <t>Web page</t>
        </is>
      </c>
      <c r="H141" s="11" t="inlineStr">
        <is>
          <t>English</t>
        </is>
      </c>
      <c r="I141" s="13" t="inlineStr">
        <is>
          <t>Inscriptions / கல்வெட்டு</t>
        </is>
      </c>
      <c r="J141" s="13" t="inlineStr">
        <is>
          <t>inscription</t>
        </is>
      </c>
      <c r="K141" s="11" t="inlineStr">
        <is>
          <t>Unknown</t>
        </is>
      </c>
      <c r="L141" s="13" t="inlineStr">
        <is>
          <t>Web search: Trincomalee Tamil inscription. Auto-collected 2026-10-17 (ddg); review.</t>
        </is>
      </c>
      <c r="M141" s="14" t="inlineStr">
        <is>
          <t>https://www.jstor.org/stable/43483806</t>
        </is>
      </c>
    </row>
    <row r="142">
      <c r="A142" s="7" t="inlineStr">
        <is>
          <t>WB-0141</t>
        </is>
      </c>
      <c r="B142" s="8" t="n"/>
      <c r="C142" s="7" t="n"/>
      <c r="D142" s="9" t="inlineStr">
        <is>
          <t>The Origin of The Tamil Vanni Chieftaincies Of</t>
        </is>
      </c>
      <c r="E142" s="9" t="n"/>
      <c r="F142" s="9" t="inlineStr">
        <is>
          <t>ir.lib.pdn.ac.lk</t>
        </is>
      </c>
      <c r="G142" s="7" t="inlineStr">
        <is>
          <t>Web page</t>
        </is>
      </c>
      <c r="H142" s="7" t="inlineStr">
        <is>
          <t>English</t>
        </is>
      </c>
      <c r="I142" s="9" t="n"/>
      <c r="J142" s="9" t="n"/>
      <c r="K142" s="7" t="inlineStr">
        <is>
          <t>Unknown</t>
        </is>
      </c>
      <c r="L142" s="9" t="inlineStr">
        <is>
          <t>Web search: Vanni archaeology Tamil. Auto-collected 2026-10-15 (ddg); review.</t>
        </is>
      </c>
      <c r="M142" s="10" t="inlineStr">
        <is>
          <t>https://ir.lib.pdn.ac.lk/bitstreams/98390e3c-9f21-449b-b076-6276cf94f4e8/download</t>
        </is>
      </c>
    </row>
    <row r="143">
      <c r="A143" s="11" t="inlineStr">
        <is>
          <t>WB-0142</t>
        </is>
      </c>
      <c r="B143" s="12" t="n"/>
      <c r="C143" s="11" t="n"/>
      <c r="D143" s="13" t="inlineStr">
        <is>
          <t>The antiquity of Jaffna Fort: new evidence from post-disaster ...</t>
        </is>
      </c>
      <c r="E143" s="13" t="n"/>
      <c r="F143" s="13" t="inlineStr">
        <is>
          <t>cambridge.org</t>
        </is>
      </c>
      <c r="G143" s="11" t="inlineStr">
        <is>
          <t>Web page</t>
        </is>
      </c>
      <c r="H143" s="11" t="inlineStr">
        <is>
          <t>English</t>
        </is>
      </c>
      <c r="I143" s="13" t="n"/>
      <c r="J143" s="13" t="n"/>
      <c r="K143" s="11" t="inlineStr">
        <is>
          <t>Unknown</t>
        </is>
      </c>
      <c r="L143" s="13" t="inlineStr">
        <is>
          <t>Web search: Jaffna archaeology. Auto-collected 2026-10-21 (ddg); review.</t>
        </is>
      </c>
      <c r="M143" s="14" t="inlineStr">
        <is>
          <t>https://www.cambridge.org/core/journals/antiquity/article/antiquity-of-jaffna-fort-new-evidence-from-postdisaster-archaeological-investigations-in-northern-sri-lanka/C55CDA3934CC5C18EE40B903734C7215</t>
        </is>
      </c>
    </row>
    <row r="144">
      <c r="A144" s="7" t="inlineStr">
        <is>
          <t>WB-0143</t>
        </is>
      </c>
      <c r="B144" s="8" t="n"/>
      <c r="C144" s="7" t="n"/>
      <c r="D144" s="9" t="inlineStr">
        <is>
          <t>Trilingual Inscription (TribhashaSellipiya) - Memory of the World - UNESCO</t>
        </is>
      </c>
      <c r="E144" s="9" t="n"/>
      <c r="F144" s="9" t="inlineStr">
        <is>
          <t>unesco.org</t>
        </is>
      </c>
      <c r="G144" s="7" t="inlineStr">
        <is>
          <t>Web page</t>
        </is>
      </c>
      <c r="H144" s="7" t="inlineStr">
        <is>
          <t>English</t>
        </is>
      </c>
      <c r="I144" s="9" t="inlineStr">
        <is>
          <t>Inscriptions / கல்வெட்டு</t>
        </is>
      </c>
      <c r="J144" s="9" t="inlineStr">
        <is>
          <t>inscription</t>
        </is>
      </c>
      <c r="K144" s="7" t="inlineStr">
        <is>
          <t>Unknown</t>
        </is>
      </c>
      <c r="L144" s="9" t="inlineStr">
        <is>
          <t>Web search: Sri Lanka Tamil inscription. Auto-collected 2026-10-15 (ddg); review.</t>
        </is>
      </c>
      <c r="M144" s="10" t="inlineStr">
        <is>
          <t>https://www.unesco.org/en/memory-world/trilingual-inscription-tribhashasellipiya</t>
        </is>
      </c>
    </row>
    <row r="145">
      <c r="A145" s="11" t="inlineStr">
        <is>
          <t>WB-0144</t>
        </is>
      </c>
      <c r="B145" s="12" t="n"/>
      <c r="C145" s="11" t="n"/>
      <c r="D145" s="13" t="inlineStr">
        <is>
          <t>UOJ Online catalog › Details for: A tamil slab-inscription from ...</t>
        </is>
      </c>
      <c r="E145" s="13" t="n"/>
      <c r="F145" s="13" t="inlineStr">
        <is>
          <t>libcat.lib.jfn.ac.lk</t>
        </is>
      </c>
      <c r="G145" s="11" t="inlineStr">
        <is>
          <t>Web page</t>
        </is>
      </c>
      <c r="H145" s="11" t="inlineStr">
        <is>
          <t>English</t>
        </is>
      </c>
      <c r="I145" s="13" t="inlineStr">
        <is>
          <t>Inscriptions / கல்வெட்டு</t>
        </is>
      </c>
      <c r="J145" s="13" t="inlineStr">
        <is>
          <t>inscription</t>
        </is>
      </c>
      <c r="K145" s="11" t="inlineStr">
        <is>
          <t>Unknown</t>
        </is>
      </c>
      <c r="L145" s="13" t="inlineStr">
        <is>
          <t>Web search: Trincomalee Tamil inscription. Auto-collected 2026-10-15 (ddg); review.</t>
        </is>
      </c>
      <c r="M145" s="14" t="inlineStr">
        <is>
          <t>http://libcat.lib.jfn.ac.lk/cgi-bin/koha/opac-detail.pl?biblionumber=54703</t>
        </is>
      </c>
    </row>
    <row r="146">
      <c r="A146" s="7" t="inlineStr">
        <is>
          <t>WB-0145</t>
        </is>
      </c>
      <c r="B146" s="8" t="n"/>
      <c r="C146" s="7" t="n"/>
      <c r="D146" s="9" t="inlineStr">
        <is>
          <t>Vallipuram</t>
        </is>
      </c>
      <c r="E146" s="9" t="inlineStr">
        <is>
          <t>Wikipedia contributors</t>
        </is>
      </c>
      <c r="F146" s="9" t="inlineStr">
        <is>
          <t>Wikipedia (en)</t>
        </is>
      </c>
      <c r="G146" s="7" t="inlineStr">
        <is>
          <t>Encyclopedia article</t>
        </is>
      </c>
      <c r="H146" s="7" t="inlineStr">
        <is>
          <t>English</t>
        </is>
      </c>
      <c r="I146" s="9" t="n"/>
      <c r="J146" s="9" t="n"/>
      <c r="K146" s="7" t="inlineStr">
        <is>
          <t>Unknown</t>
        </is>
      </c>
      <c r="L146" s="9" t="inlineStr">
        <is>
          <t>Date = page creation. Auto-collected 2026-10-14 (wikipedia); review.</t>
        </is>
      </c>
      <c r="M146" s="10" t="inlineStr">
        <is>
          <t>https://en.wikipedia.org/wiki/Vallipuram</t>
        </is>
      </c>
    </row>
    <row r="147">
      <c r="A147" s="11" t="inlineStr">
        <is>
          <t>WB-0146</t>
        </is>
      </c>
      <c r="B147" s="12" t="n"/>
      <c r="C147" s="11" t="n"/>
      <c r="D147" s="13" t="inlineStr">
        <is>
          <t>Vanni Bandara Stone Memorial in Oddusuddan: A Legacy of Resistance</t>
        </is>
      </c>
      <c r="E147" s="13" t="n"/>
      <c r="F147" s="13" t="inlineStr">
        <is>
          <t>AmazingLanka.com</t>
        </is>
      </c>
      <c r="G147" s="11" t="inlineStr">
        <is>
          <t>Web article</t>
        </is>
      </c>
      <c r="H147" s="11" t="inlineStr">
        <is>
          <t>English</t>
        </is>
      </c>
      <c r="I147" s="13" t="inlineStr">
        <is>
          <t>Hero stones / நடுகல்</t>
        </is>
      </c>
      <c r="J147" s="13" t="inlineStr">
        <is>
          <t>memorial stone; Vanni</t>
        </is>
      </c>
      <c r="K147" s="11" t="inlineStr">
        <is>
          <t>Unknown</t>
        </is>
      </c>
      <c r="L147" s="13" t="n"/>
      <c r="M147" s="14" t="inlineStr">
        <is>
          <t>https://amazinglanka.com/wp/vanni-bandara-en/</t>
        </is>
      </c>
    </row>
    <row r="148">
      <c r="A148" s="7" t="inlineStr">
        <is>
          <t>WB-0147</t>
        </is>
      </c>
      <c r="B148" s="8" t="n"/>
      <c r="C148" s="7" t="n"/>
      <c r="D148" s="9" t="inlineStr">
        <is>
          <t>Vanni and The Vanniyas - நூலகம் - noolaham.org</t>
        </is>
      </c>
      <c r="E148" s="9" t="n"/>
      <c r="F148" s="9" t="inlineStr">
        <is>
          <t>noolaham.org</t>
        </is>
      </c>
      <c r="G148" s="7" t="inlineStr">
        <is>
          <t>Web page</t>
        </is>
      </c>
      <c r="H148" s="7" t="inlineStr">
        <is>
          <t>Tamil</t>
        </is>
      </c>
      <c r="I148" s="9" t="n"/>
      <c r="J148" s="9" t="n"/>
      <c r="K148" s="7" t="inlineStr">
        <is>
          <t>Unknown</t>
        </is>
      </c>
      <c r="L148" s="9" t="inlineStr">
        <is>
          <t>Web search: Vanni archaeology Tamil. Auto-collected 2026-10-15 (ddg); review.</t>
        </is>
      </c>
      <c r="M148" s="10" t="inlineStr">
        <is>
          <t>https://noolaham.org/wiki/index.php/Vanni_and_The_Vanniyas</t>
        </is>
      </c>
    </row>
    <row r="149">
      <c r="A149" s="11" t="inlineStr">
        <is>
          <t>WB-0148</t>
        </is>
      </c>
      <c r="B149" s="12" t="n"/>
      <c r="C149" s="11" t="n"/>
      <c r="D149" s="13" t="inlineStr">
        <is>
          <t>அனுராதபுரம் நான்கு நாட்டார் கல்வெட்டு</t>
        </is>
      </c>
      <c r="E149" s="13" t="inlineStr">
        <is>
          <t>Wikipedia contributors</t>
        </is>
      </c>
      <c r="F149" s="13" t="inlineStr">
        <is>
          <t>Wikipedia (ta)</t>
        </is>
      </c>
      <c r="G149" s="11" t="inlineStr">
        <is>
          <t>Encyclopedia article</t>
        </is>
      </c>
      <c r="H149" s="11" t="inlineStr">
        <is>
          <t>Tamil</t>
        </is>
      </c>
      <c r="I149" s="13" t="inlineStr">
        <is>
          <t>Inscriptions / கல்வெட்டு</t>
        </is>
      </c>
      <c r="J149" s="13" t="inlineStr">
        <is>
          <t>கல்வெட்டு</t>
        </is>
      </c>
      <c r="K149" s="11" t="inlineStr">
        <is>
          <t>Unknown</t>
        </is>
      </c>
      <c r="L149" s="13" t="inlineStr">
        <is>
          <t>Date = page creation. Auto-collected 2026-10-14 (wikipedia); review.</t>
        </is>
      </c>
      <c r="M149" s="14" t="inlineStr">
        <is>
          <t>https://ta.wikipedia.org/wiki/%E0%AE%85%E0%AE%A9%E0%AF%81%E0%AE%B0%E0%AE%BE%E0%AE%A4%E0%AE%AA%E0%AF%81%E0%AE%B0%E0%AE%AE%E0%AF%8D_%E0%AE%A8%E0%AE%BE%E0%AE%A9%E0%AF%8D%E0%AE%95%E0%AF%81_%E0%AE%A8%E0%AE%BE%E0%AE%9F%E0%AF%8D%E0%AE%9F%E0%AE%BE%E0%AE%B0%E0%AF%8D_%E0%AE%95%E0%AE%B2%E0%AF%8D%E0%AE%B5%E0%AF%86%E0%AE%9F%E0%AF%8D%E0%AE%9F%E0%AF%81</t>
        </is>
      </c>
    </row>
    <row r="150">
      <c r="A150" s="7" t="inlineStr">
        <is>
          <t>WB-0149</t>
        </is>
      </c>
      <c r="B150" s="8" t="n"/>
      <c r="C150" s="7" t="n"/>
      <c r="D150" s="9" t="inlineStr">
        <is>
          <t>இலங்கையில் தமிழ் பிராமி கல்வெட்டுகள் பேராசிரியர் சி.பத்மநாதன் ...</t>
        </is>
      </c>
      <c r="E150" s="9" t="n"/>
      <c r="F150" s="9" t="inlineStr">
        <is>
          <t>ilakku.org</t>
        </is>
      </c>
      <c r="G150" s="7" t="inlineStr">
        <is>
          <t>Web page</t>
        </is>
      </c>
      <c r="H150" s="7" t="inlineStr">
        <is>
          <t>Tamil</t>
        </is>
      </c>
      <c r="I150" s="9" t="inlineStr">
        <is>
          <t>Inscriptions / கல்வெட்டு; Brahmi / பிராமி</t>
        </is>
      </c>
      <c r="J150" s="9" t="inlineStr">
        <is>
          <t>கல்வெட்டு; கல்வெட்டுகள்; பிராமி</t>
        </is>
      </c>
      <c r="K150" s="7" t="inlineStr">
        <is>
          <t>Unknown</t>
        </is>
      </c>
      <c r="L150" s="9" t="inlineStr">
        <is>
          <t>Web search: Sri Lanka Tamil Brahmi. Auto-collected 2026-10-15 (ddg); review.</t>
        </is>
      </c>
      <c r="M150" s="10" t="inlineStr">
        <is>
          <t>https://www.ilakku.org/tamil-brahmi-in-sri-lanka/</t>
        </is>
      </c>
    </row>
    <row r="151">
      <c r="A151" s="11" t="inlineStr">
        <is>
          <t>WB-0150</t>
        </is>
      </c>
      <c r="B151" s="12" t="n"/>
      <c r="C151" s="11" t="n"/>
      <c r="D151" s="13" t="inlineStr">
        <is>
          <t>ஈழத்தின் தொன்ம மொழியும் தொல்லியல் ஆதாரங்களும் - Tamil Heritage</t>
        </is>
      </c>
      <c r="E151" s="13" t="n"/>
      <c r="F151" s="13" t="inlineStr">
        <is>
          <t>telibrary.com</t>
        </is>
      </c>
      <c r="G151" s="11" t="inlineStr">
        <is>
          <t>Web page</t>
        </is>
      </c>
      <c r="H151" s="11" t="inlineStr">
        <is>
          <t>Tamil</t>
        </is>
      </c>
      <c r="I151" s="13" t="inlineStr">
        <is>
          <t>Archaeology / தொல்லியல்</t>
        </is>
      </c>
      <c r="J151" s="13" t="inlineStr">
        <is>
          <t>தொல்லியல்</t>
        </is>
      </c>
      <c r="K151" s="11" t="inlineStr">
        <is>
          <t>Unknown</t>
        </is>
      </c>
      <c r="L151" s="13" t="inlineStr">
        <is>
          <t>Web search: ஈழம் தொல்லியல் பிராமி. Auto-collected 2026-10-15 (ddg); review.</t>
        </is>
      </c>
      <c r="M151" s="14" t="inlineStr">
        <is>
          <t>https://telibrary.com/ancient-language-of-eelam-and-archaeological-evidence/</t>
        </is>
      </c>
    </row>
    <row r="152">
      <c r="A152" s="7" t="inlineStr">
        <is>
          <t>WB-0151</t>
        </is>
      </c>
      <c r="B152" s="8" t="n"/>
      <c r="C152" s="7" t="n"/>
      <c r="D152" s="9" t="inlineStr">
        <is>
          <t>கோப்பாய் சங்கிலியன் கோட்டை</t>
        </is>
      </c>
      <c r="E152" s="9" t="inlineStr">
        <is>
          <t>Wikipedia contributors</t>
        </is>
      </c>
      <c r="F152" s="9" t="inlineStr">
        <is>
          <t>Wikipedia (ta)</t>
        </is>
      </c>
      <c r="G152" s="7" t="inlineStr">
        <is>
          <t>Encyclopedia article</t>
        </is>
      </c>
      <c r="H152" s="7" t="inlineStr">
        <is>
          <t>Tamil</t>
        </is>
      </c>
      <c r="I152" s="9" t="n"/>
      <c r="J152" s="9" t="n"/>
      <c r="K152" s="7" t="inlineStr">
        <is>
          <t>Unknown</t>
        </is>
      </c>
      <c r="L152" s="9" t="inlineStr">
        <is>
          <t>Date = page creation. Auto-collected 2026-10-14 (wikipedia); review.</t>
        </is>
      </c>
      <c r="M152" s="10" t="inlineStr">
        <is>
          <t>https://ta.wikipedia.org/wiki/%E0%AE%95%E0%AF%8B%E0%AE%AA%E0%AF%8D%E0%AE%AA%E0%AE%BE%E0%AE%AF%E0%AF%8D_%E0%AE%9A%E0%AE%99%E0%AF%8D%E0%AE%95%E0%AE%BF%E0%AE%B2%E0%AE%BF%E0%AE%AF%E0%AE%A9%E0%AF%8D_%E0%AE%95%E0%AF%8B%E0%AE%9F%E0%AF%8D%E0%AE%9F%E0%AF%88</t>
        </is>
      </c>
    </row>
    <row r="153">
      <c r="A153" s="11" t="inlineStr">
        <is>
          <t>WB-0152</t>
        </is>
      </c>
      <c r="B153" s="12" t="n"/>
      <c r="C153" s="11" t="n"/>
      <c r="D153" s="13" t="inlineStr">
        <is>
          <t>சங்க இலக்கியங்களில் நடுகல் பற்றிய வகைப்பாடு | Kalanjiyam ...</t>
        </is>
      </c>
      <c r="E153" s="13" t="n"/>
      <c r="F153" s="13" t="inlineStr">
        <is>
          <t>ngmtamil.in</t>
        </is>
      </c>
      <c r="G153" s="11" t="inlineStr">
        <is>
          <t>Web page</t>
        </is>
      </c>
      <c r="H153" s="11" t="inlineStr">
        <is>
          <t>Tamil</t>
        </is>
      </c>
      <c r="I153" s="13" t="inlineStr">
        <is>
          <t>Hero stones / நடுகல்</t>
        </is>
      </c>
      <c r="J153" s="13" t="inlineStr">
        <is>
          <t>நடுகல்</t>
        </is>
      </c>
      <c r="K153" s="11" t="inlineStr">
        <is>
          <t>Unknown</t>
        </is>
      </c>
      <c r="L153" s="13" t="inlineStr">
        <is>
          <t>Web search: இலங்கை நடுகல். Auto-collected 2026-10-15 (ddg); review.</t>
        </is>
      </c>
      <c r="M153" s="14" t="inlineStr">
        <is>
          <t>https://ngmtamil.in/kalanjiyam-tamil/index.php/kalanjiyam/article/view/58</t>
        </is>
      </c>
    </row>
    <row r="154">
      <c r="A154" s="7" t="inlineStr">
        <is>
          <t>WB-0153</t>
        </is>
      </c>
      <c r="B154" s="8" t="n"/>
      <c r="C154" s="7" t="n"/>
      <c r="D154" s="9" t="inlineStr">
        <is>
          <t>தமிழ்க் கல்வெட்டுகள்</t>
        </is>
      </c>
      <c r="E154" s="9" t="inlineStr">
        <is>
          <t>Wikipedia contributors</t>
        </is>
      </c>
      <c r="F154" s="9" t="inlineStr">
        <is>
          <t>Wikipedia (ta)</t>
        </is>
      </c>
      <c r="G154" s="7" t="inlineStr">
        <is>
          <t>Encyclopedia article</t>
        </is>
      </c>
      <c r="H154" s="7" t="inlineStr">
        <is>
          <t>Tamil</t>
        </is>
      </c>
      <c r="I154" s="9" t="inlineStr">
        <is>
          <t>Inscriptions / கல்வெட்டு</t>
        </is>
      </c>
      <c r="J154" s="9" t="inlineStr">
        <is>
          <t>கல்வெட்டு; கல்வெட்டுகள்</t>
        </is>
      </c>
      <c r="K154" s="7" t="inlineStr">
        <is>
          <t>Unknown</t>
        </is>
      </c>
      <c r="L154" s="9" t="inlineStr">
        <is>
          <t>Date = page creation. Auto-collected 2026-10-14 (wikipedia); review.</t>
        </is>
      </c>
      <c r="M154" s="10" t="inlineStr">
        <is>
          <t>https://ta.wikipedia.org/wiki/%E0%AE%A4%E0%AE%AE%E0%AE%BF%E0%AE%B4%E0%AF%8D%E0%AE%95%E0%AF%8D_%E0%AE%95%E0%AE%B2%E0%AF%8D%E0%AE%B5%E0%AF%86%E0%AE%9F%E0%AF%8D%E0%AE%9F%E0%AF%81%E0%AE%95%E0%AE%B3%E0%AF%8D</t>
        </is>
      </c>
    </row>
    <row r="155">
      <c r="A155" s="11" t="inlineStr">
        <is>
          <t>WB-0154</t>
        </is>
      </c>
      <c r="B155" s="12" t="n"/>
      <c r="C155" s="11" t="n"/>
      <c r="D155" s="13" t="inlineStr">
        <is>
          <t>தம்பிலுவில் கல்வெட்டு</t>
        </is>
      </c>
      <c r="E155" s="13" t="inlineStr">
        <is>
          <t>Wikipedia contributors</t>
        </is>
      </c>
      <c r="F155" s="13" t="inlineStr">
        <is>
          <t>Wikipedia (ta)</t>
        </is>
      </c>
      <c r="G155" s="11" t="inlineStr">
        <is>
          <t>Encyclopedia article</t>
        </is>
      </c>
      <c r="H155" s="11" t="inlineStr">
        <is>
          <t>Tamil</t>
        </is>
      </c>
      <c r="I155" s="13" t="inlineStr">
        <is>
          <t>Inscriptions / கல்வெட்டு</t>
        </is>
      </c>
      <c r="J155" s="13" t="inlineStr">
        <is>
          <t>கல்வெட்டு</t>
        </is>
      </c>
      <c r="K155" s="11" t="inlineStr">
        <is>
          <t>Unknown</t>
        </is>
      </c>
      <c r="L155" s="13" t="inlineStr">
        <is>
          <t>Date = page creation. Auto-collected 2026-10-14 (wikipedia); review.</t>
        </is>
      </c>
      <c r="M155" s="14" t="inlineStr">
        <is>
          <t>https://ta.wikipedia.org/wiki/%E0%AE%A4%E0%AE%AE%E0%AF%8D%E0%AE%AA%E0%AE%BF%E0%AE%B2%E0%AF%81%E0%AE%B5%E0%AE%BF%E0%AE%B2%E0%AF%8D_%E0%AE%95%E0%AE%B2%E0%AF%8D%E0%AE%B5%E0%AF%86%E0%AE%9F%E0%AF%8D%E0%AE%9F%E0%AF%81</t>
        </is>
      </c>
    </row>
    <row r="156">
      <c r="A156" s="7" t="inlineStr">
        <is>
          <t>WB-0155</t>
        </is>
      </c>
      <c r="B156" s="8" t="n"/>
      <c r="C156" s="7" t="n"/>
      <c r="D156" s="9" t="inlineStr">
        <is>
          <t>திருகோணமலையில் மிக அரிய தமிழ்க் கல்வெட்டு கண்டுபிடிப்பு!</t>
        </is>
      </c>
      <c r="E156" s="9" t="n"/>
      <c r="F156" s="9" t="inlineStr">
        <is>
          <t>jvpnews.com</t>
        </is>
      </c>
      <c r="G156" s="7" t="inlineStr">
        <is>
          <t>Web page</t>
        </is>
      </c>
      <c r="H156" s="7" t="inlineStr">
        <is>
          <t>Tamil</t>
        </is>
      </c>
      <c r="I156" s="9" t="inlineStr">
        <is>
          <t>Inscriptions / கல்வெட்டு</t>
        </is>
      </c>
      <c r="J156" s="9" t="inlineStr">
        <is>
          <t>கல்வெட்டு</t>
        </is>
      </c>
      <c r="K156" s="7" t="inlineStr">
        <is>
          <t>Unknown</t>
        </is>
      </c>
      <c r="L156" s="9" t="inlineStr">
        <is>
          <t>Web search: Trincomalee Tamil inscription. Auto-collected 2026-10-15 (ddg); review.</t>
        </is>
      </c>
      <c r="M156" s="10" t="inlineStr">
        <is>
          <t>https://jvpnews.com/article/rare-tamil-inscription-found-in-trincomalee-1637737357</t>
        </is>
      </c>
    </row>
    <row r="157">
      <c r="A157" s="11" t="inlineStr">
        <is>
          <t>WB-0156</t>
        </is>
      </c>
      <c r="B157" s="12" t="n"/>
      <c r="C157" s="11" t="n"/>
      <c r="D157" s="13" t="inlineStr">
        <is>
          <t>தென்னிலங்கையில் கிடைத்த பண்டைய தமிழ் நாணயங்களின் வரலாற்றுப் பின்னணி</t>
        </is>
      </c>
      <c r="E157" s="13" t="n"/>
      <c r="F157" s="13" t="inlineStr">
        <is>
          <t>ezhunaonline.com</t>
        </is>
      </c>
      <c r="G157" s="11" t="inlineStr">
        <is>
          <t>Web page</t>
        </is>
      </c>
      <c r="H157" s="11" t="inlineStr">
        <is>
          <t>Tamil</t>
        </is>
      </c>
      <c r="I157" s="13" t="inlineStr">
        <is>
          <t>Coins / நாணயம்</t>
        </is>
      </c>
      <c r="J157" s="13" t="n"/>
      <c r="K157" s="11" t="inlineStr">
        <is>
          <t>Unknown</t>
        </is>
      </c>
      <c r="L157" s="13" t="inlineStr">
        <is>
          <t>Web search: Tamil coins Sri Lanka archaeology. Auto-collected 2026-10-21 (ddg); review.</t>
        </is>
      </c>
      <c r="M157" s="14" t="inlineStr">
        <is>
          <t>https://www.ezhunaonline.com/historical-background-of-ancient-tamil-coins-found-in-south-lanka/</t>
        </is>
      </c>
    </row>
    <row r="158">
      <c r="A158" s="7" t="inlineStr">
        <is>
          <t>WB-0157</t>
        </is>
      </c>
      <c r="B158" s="8" t="n"/>
      <c r="C158" s="7" t="n"/>
      <c r="D158" s="9" t="inlineStr">
        <is>
          <t>பிராமிக் கல்வெட்டுக்களும் தமிழும்</t>
        </is>
      </c>
      <c r="E158" s="9" t="n"/>
      <c r="F158" s="9" t="inlineStr">
        <is>
          <t>repo.lib.jfn.ac.lk</t>
        </is>
      </c>
      <c r="G158" s="7" t="inlineStr">
        <is>
          <t>Web page</t>
        </is>
      </c>
      <c r="H158" s="7" t="inlineStr">
        <is>
          <t>Tamil</t>
        </is>
      </c>
      <c r="I158" s="9" t="inlineStr">
        <is>
          <t>Inscriptions / கல்வெட்டு; Brahmi / பிராமி</t>
        </is>
      </c>
      <c r="J158" s="9" t="inlineStr">
        <is>
          <t>கல்வெட்டு; பிராமி</t>
        </is>
      </c>
      <c r="K158" s="7" t="inlineStr">
        <is>
          <t>Unknown</t>
        </is>
      </c>
      <c r="L158" s="9" t="inlineStr">
        <is>
          <t>Web search: ஈழம் தொல்லியல் பிராமி. Auto-collected 2026-10-15 (ddg); review.</t>
        </is>
      </c>
      <c r="M158" s="10" t="inlineStr">
        <is>
          <t>http://repo.lib.jfn.ac.lk/xmlui/handle/123456789/8444</t>
        </is>
      </c>
    </row>
    <row r="159">
      <c r="A159" s="11" t="inlineStr">
        <is>
          <t>WB-0158</t>
        </is>
      </c>
      <c r="B159" s="12" t="n"/>
      <c r="C159" s="11" t="n"/>
      <c r="D159" s="13" t="inlineStr">
        <is>
          <t>யாழ்ப்பாண இராச்சியம் - Tamil Heritage</t>
        </is>
      </c>
      <c r="E159" s="13" t="n"/>
      <c r="F159" s="13" t="inlineStr">
        <is>
          <t>telibrary.com</t>
        </is>
      </c>
      <c r="G159" s="11" t="inlineStr">
        <is>
          <t>Web page</t>
        </is>
      </c>
      <c r="H159" s="11" t="inlineStr">
        <is>
          <t>Tamil</t>
        </is>
      </c>
      <c r="I159" s="13" t="inlineStr">
        <is>
          <t>Archaeology / தொல்லியல்</t>
        </is>
      </c>
      <c r="J159" s="13" t="n"/>
      <c r="K159" s="11" t="inlineStr">
        <is>
          <t>Unknown</t>
        </is>
      </c>
      <c r="L159" s="13" t="inlineStr">
        <is>
          <t>Web search: யாழ்ப்பாணம் தொல்லியல். Auto-collected 2026-10-14 (ddg); review.</t>
        </is>
      </c>
      <c r="M159" s="14" t="inlineStr">
        <is>
          <t>https://telibrary.com/category/history/%E0%AE%AF%E0%AE%BE%E0%AE%B4%E0%AF%8D%E0%AE%AA%E0%AF%8D%E0%AE%AA%E0%AE%BE%E0%AE%A3-%E0%AE%87%E0%AE%B0%E0%AE%BE%E0%AE%9A%E0%AF%8D%E0%AE%9A%E0%AE%BF%E0%AE%AF%E0%AE%AE%E0%AF%8D/</t>
        </is>
      </c>
    </row>
    <row r="160">
      <c r="A160" s="7" t="inlineStr">
        <is>
          <t>WB-0159</t>
        </is>
      </c>
      <c r="B160" s="8" t="n"/>
      <c r="C160" s="7" t="n"/>
      <c r="D160" s="9" t="inlineStr">
        <is>
          <t>யாழ்ப்பாண வரலாறு - யாழ்ப்பாணப் பெட்டகம்</t>
        </is>
      </c>
      <c r="E160" s="9" t="n"/>
      <c r="F160" s="9" t="inlineStr">
        <is>
          <t>treasurehouseofjaffna.com</t>
        </is>
      </c>
      <c r="G160" s="7" t="inlineStr">
        <is>
          <t>Web page</t>
        </is>
      </c>
      <c r="H160" s="7" t="inlineStr">
        <is>
          <t>Tamil</t>
        </is>
      </c>
      <c r="I160" s="9" t="n"/>
      <c r="J160" s="9" t="n"/>
      <c r="K160" s="7" t="inlineStr">
        <is>
          <t>Unknown</t>
        </is>
      </c>
      <c r="L160" s="9" t="inlineStr">
        <is>
          <t>Web search: யாழ்ப்பாணம் தொல்லியல். Auto-collected 2026-10-14 (ddg); review.</t>
        </is>
      </c>
      <c r="M160" s="10" t="inlineStr">
        <is>
          <t>https://treasurehouseofjaffna.com/%E0%AE%AF%E0%AE%BE%E0%AE%B4%E0%AF%8D%E0%AE%AA%E0%AF%8D%E0%AE%AA%E0%AE%BE%E0%AE%A3-%E0%AE%B5%E0%AE%B0%E0%AE%B2%E0%AE%BE%E0%AE%B1%E0%AF%81/</t>
        </is>
      </c>
    </row>
    <row r="161">
      <c r="A161" s="11" t="inlineStr">
        <is>
          <t>WB-0160</t>
        </is>
      </c>
      <c r="B161" s="12" t="n"/>
      <c r="C161" s="11" t="n"/>
      <c r="D161" s="13" t="inlineStr">
        <is>
          <t>யாழ்ப்பாணம் ஆனைக்கோட்டை தொல்லியல் அகழ்வாய்வின் நிறைவு விழாவும் ...</t>
        </is>
      </c>
      <c r="E161" s="13" t="n"/>
      <c r="F161" s="13" t="inlineStr">
        <is>
          <t>jvpnews.com</t>
        </is>
      </c>
      <c r="G161" s="11" t="inlineStr">
        <is>
          <t>Web page</t>
        </is>
      </c>
      <c r="H161" s="11" t="inlineStr">
        <is>
          <t>Tamil</t>
        </is>
      </c>
      <c r="I161" s="13" t="inlineStr">
        <is>
          <t>Archaeology / தொல்லியல்</t>
        </is>
      </c>
      <c r="J161" s="13" t="inlineStr">
        <is>
          <t>தொல்லியல்</t>
        </is>
      </c>
      <c r="K161" s="11" t="inlineStr">
        <is>
          <t>Unknown</t>
        </is>
      </c>
      <c r="L161" s="13" t="inlineStr">
        <is>
          <t>Web search: யாழ்ப்பாணம் தொல்லியல். Auto-collected 2026-10-20 (ddg); review.</t>
        </is>
      </c>
      <c r="M161" s="14" t="inlineStr">
        <is>
          <t>https://jvpnews.com/article/ja-anaikottai-archeological-excavation-ceremony-1721384878</t>
        </is>
      </c>
    </row>
    <row r="162">
      <c r="A162" s="7" t="inlineStr">
        <is>
          <t>WB-0161</t>
        </is>
      </c>
      <c r="B162" s="8" t="n"/>
      <c r="C162" s="7" t="n"/>
      <c r="D162" s="9" t="inlineStr">
        <is>
          <t>யாழ்ப்பாணம் ஆனைக்கோட்டை தொல்லியல் கண்காட்சி ஆரம்பம்!</t>
        </is>
      </c>
      <c r="E162" s="9" t="n"/>
      <c r="F162" s="9" t="inlineStr">
        <is>
          <t>shritharan.com</t>
        </is>
      </c>
      <c r="G162" s="7" t="inlineStr">
        <is>
          <t>Web page</t>
        </is>
      </c>
      <c r="H162" s="7" t="inlineStr">
        <is>
          <t>Tamil</t>
        </is>
      </c>
      <c r="I162" s="9" t="inlineStr">
        <is>
          <t>Archaeology / தொல்லியல்</t>
        </is>
      </c>
      <c r="J162" s="9" t="inlineStr">
        <is>
          <t>தொல்லியல்</t>
        </is>
      </c>
      <c r="K162" s="7" t="inlineStr">
        <is>
          <t>Unknown</t>
        </is>
      </c>
      <c r="L162" s="9" t="inlineStr">
        <is>
          <t>Web search: யாழ்ப்பாணம் தொல்லியல். Auto-collected 2026-10-14 (ddg); review.</t>
        </is>
      </c>
      <c r="M162" s="10" t="inlineStr">
        <is>
          <t>https://shritharan.com/parliamentary-work/%E0%AE%AF%E0%AE%BE%E0%AE%B4%E0%AF%8D%E0%AE%AA%E0%AF%8D%E0%AE%AA%E0%AE%BE%E0%AE%A3%E0%AE%AE%E0%AF%8D-%E0%AE%86%E0%AE%A9%E0%AF%88%E0%AE%95%E0%AF%8D%E0%AE%95%E0%AF%8B%E0%AE%9F%E0%AF%8D%E0%AE%9F%E0%AF%88/</t>
        </is>
      </c>
    </row>
  </sheetData>
  <autoFilter ref="A1:M16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6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2025</t>
        </is>
      </c>
      <c r="D214" s="7" t="inlineStr">
        <is>
          <t>2025-04-19</t>
        </is>
      </c>
      <c r="E214" s="9" t="inlineStr">
        <is>
          <t>UNESCO recognizes Sri Lanka's Trilingual Inscription and 'Panadurawaadaya' documents as World Heritage</t>
        </is>
      </c>
      <c r="F214" s="9" t="n"/>
      <c r="G214" s="9" t="inlineStr">
        <is>
          <t>Daily News (Sri Lanka)</t>
        </is>
      </c>
      <c r="H214" s="7" t="inlineStr">
        <is>
          <t>News</t>
        </is>
      </c>
      <c r="I214" s="7" t="inlineStr">
        <is>
          <t>English</t>
        </is>
      </c>
      <c r="J214" s="9" t="inlineStr">
        <is>
          <t>Inscriptions / கல்வெட்டு; Archaeology / தொல்லியல்</t>
        </is>
      </c>
      <c r="K214" s="9" t="inlineStr">
        <is>
          <t>Galle trilingual inscription; UNESCO</t>
        </is>
      </c>
      <c r="L214" s="7" t="inlineStr">
        <is>
          <t>Yes</t>
        </is>
      </c>
      <c r="M214" s="9" t="n"/>
      <c r="N214" s="10" t="inlineStr">
        <is>
          <t>https://www.dailynews.lk/2025/04/19/admin-catagories/breaking-news/763455/unesco-recognizes-sri-lankas-trilingual-inscription-and-panadurawaadaya-documents-as-world-heritage/</t>
        </is>
      </c>
    </row>
    <row r="215">
      <c r="A215" s="11" t="inlineStr">
        <is>
          <t>ALL-0214</t>
        </is>
      </c>
      <c r="B215" s="11" t="inlineStr">
        <is>
          <t>Newspaper Articles</t>
        </is>
      </c>
      <c r="C215" s="12" t="inlineStr">
        <is>
          <t>2025</t>
        </is>
      </c>
      <c r="D215" s="11" t="inlineStr">
        <is>
          <t>2025-04-22</t>
        </is>
      </c>
      <c r="E215" s="13" t="inlineStr">
        <is>
          <t>Significance of Galle Trilingual Inscription's inclusion in the World Heritage List</t>
        </is>
      </c>
      <c r="F215" s="13" t="n"/>
      <c r="G215" s="13" t="inlineStr">
        <is>
          <t>Daily News (Sri Lanka)</t>
        </is>
      </c>
      <c r="H215" s="11" t="inlineStr">
        <is>
          <t>Feature</t>
        </is>
      </c>
      <c r="I215" s="11" t="inlineStr">
        <is>
          <t>English</t>
        </is>
      </c>
      <c r="J215" s="13" t="inlineStr">
        <is>
          <t>Inscriptions / கல்வெட்டு; Archaeology / தொல்லியல்</t>
        </is>
      </c>
      <c r="K215" s="13" t="inlineStr">
        <is>
          <t>Galle trilingual inscription; Tamil; UNESCO</t>
        </is>
      </c>
      <c r="L215" s="11" t="inlineStr">
        <is>
          <t>Yes</t>
        </is>
      </c>
      <c r="M215" s="13" t="n"/>
      <c r="N215" s="14" t="inlineStr">
        <is>
          <t>https://dailynews.lk/2025/04/22/features/764498/significance-of-galle-trilingual-inscriptions-inclusion-in-the-world-heritage-list/</t>
        </is>
      </c>
    </row>
    <row r="216">
      <c r="A216" s="7" t="inlineStr">
        <is>
          <t>ALL-0215</t>
        </is>
      </c>
      <c r="B216" s="7" t="inlineStr">
        <is>
          <t>Newspaper Articles</t>
        </is>
      </c>
      <c r="C216" s="8" t="inlineStr">
        <is>
          <t>2025</t>
        </is>
      </c>
      <c r="D216" s="7" t="inlineStr">
        <is>
          <t>2025-04-23</t>
        </is>
      </c>
      <c r="E216" s="9" t="inlineStr">
        <is>
          <t>Trilingual inscription in Tamil, Chinese, and Persian recognised by UNESCO</t>
        </is>
      </c>
      <c r="F216" s="9" t="n"/>
      <c r="G216" s="9" t="inlineStr">
        <is>
          <t>Tamil Guardian</t>
        </is>
      </c>
      <c r="H216" s="7" t="inlineStr">
        <is>
          <t>News</t>
        </is>
      </c>
      <c r="I216" s="7" t="inlineStr">
        <is>
          <t>English</t>
        </is>
      </c>
      <c r="J216" s="9" t="inlineStr">
        <is>
          <t>Inscriptions / கல்வெட்டு</t>
        </is>
      </c>
      <c r="K216" s="9" t="inlineStr">
        <is>
          <t>Galle trilingual inscription</t>
        </is>
      </c>
      <c r="L216" s="7" t="inlineStr">
        <is>
          <t>Yes</t>
        </is>
      </c>
      <c r="M216" s="9" t="n"/>
      <c r="N216" s="10" t="inlineStr">
        <is>
          <t>https://www.tamilguardian.com/index.php/content/trilingual-inscription-tamil-chinese-and-persian-recognised-unesco</t>
        </is>
      </c>
    </row>
    <row r="217">
      <c r="A217" s="11" t="inlineStr">
        <is>
          <t>ALL-0216</t>
        </is>
      </c>
      <c r="B217" s="11" t="inlineStr">
        <is>
          <t>Newspaper Articles</t>
        </is>
      </c>
      <c r="C217" s="12" t="inlineStr">
        <is>
          <t>2025</t>
        </is>
      </c>
      <c r="D217" s="11" t="inlineStr">
        <is>
          <t>2025-05-01</t>
        </is>
      </c>
      <c r="E217" s="13" t="inlineStr">
        <is>
          <t>Sri Lankan Archaeology Director visits illegal Buddhist structure in defiance of court order</t>
        </is>
      </c>
      <c r="F217" s="13" t="n"/>
      <c r="G217" s="13" t="inlineStr">
        <is>
          <t>Tamil Guardian</t>
        </is>
      </c>
      <c r="H217" s="11" t="inlineStr">
        <is>
          <t>News</t>
        </is>
      </c>
      <c r="I217" s="11" t="inlineStr">
        <is>
          <t>English</t>
        </is>
      </c>
      <c r="J217" s="13" t="inlineStr">
        <is>
          <t>Archaeology / தொல்லியல்</t>
        </is>
      </c>
      <c r="K217" s="13" t="inlineStr">
        <is>
          <t>archaeology</t>
        </is>
      </c>
      <c r="L217" s="11" t="inlineStr">
        <is>
          <t>Yes</t>
        </is>
      </c>
      <c r="M217" s="13" t="inlineStr">
        <is>
          <t>Google News query: archaeology Jaffna. Auto-collected 2026-10-14 (news); review.</t>
        </is>
      </c>
      <c r="N217"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8">
      <c r="A218" s="7" t="inlineStr">
        <is>
          <t>ALL-0217</t>
        </is>
      </c>
      <c r="B218" s="7" t="inlineStr">
        <is>
          <t>Newspaper Articles</t>
        </is>
      </c>
      <c r="C218" s="8" t="inlineStr">
        <is>
          <t>2025</t>
        </is>
      </c>
      <c r="D218" s="7" t="inlineStr">
        <is>
          <t>2025-07-04</t>
        </is>
      </c>
      <c r="E218" s="9" t="inlineStr">
        <is>
          <t>Galle Trilingual Inscription and Panadura Debate Archives in UNESCO Memory of the World International Register</t>
        </is>
      </c>
      <c r="F218" s="9" t="n"/>
      <c r="G218" s="9" t="inlineStr">
        <is>
          <t>Ceylon Daily News</t>
        </is>
      </c>
      <c r="H218" s="7" t="inlineStr">
        <is>
          <t>News</t>
        </is>
      </c>
      <c r="I218" s="7" t="inlineStr">
        <is>
          <t>English</t>
        </is>
      </c>
      <c r="J218" s="9" t="inlineStr">
        <is>
          <t>Inscriptions / கல்வெட்டு</t>
        </is>
      </c>
      <c r="K218" s="9" t="inlineStr">
        <is>
          <t>inscription</t>
        </is>
      </c>
      <c r="L218" s="7" t="inlineStr">
        <is>
          <t>Yes</t>
        </is>
      </c>
      <c r="M218" s="9" t="inlineStr">
        <is>
          <t>Google News query: Tamil inscription Sri Lanka. Auto-collected 2026-10-14 (news); review.</t>
        </is>
      </c>
      <c r="N218"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9">
      <c r="A219" s="11" t="inlineStr">
        <is>
          <t>ALL-0218</t>
        </is>
      </c>
      <c r="B219" s="11" t="inlineStr">
        <is>
          <t>Newspaper Articles</t>
        </is>
      </c>
      <c r="C219" s="12" t="inlineStr">
        <is>
          <t>2025</t>
        </is>
      </c>
      <c r="D219" s="11" t="inlineStr">
        <is>
          <t>2025-11-01</t>
        </is>
      </c>
      <c r="E219" s="13" t="inlineStr">
        <is>
          <t>Sinhala Buddhist monk alleges archaeology department official planted 'artefacts' in Kurunthurmalai</t>
        </is>
      </c>
      <c r="F219" s="13" t="n"/>
      <c r="G219" s="13" t="inlineStr">
        <is>
          <t>Tamil Guardian</t>
        </is>
      </c>
      <c r="H219" s="11" t="inlineStr">
        <is>
          <t>News</t>
        </is>
      </c>
      <c r="I219" s="11" t="inlineStr">
        <is>
          <t>English</t>
        </is>
      </c>
      <c r="J219" s="13" t="inlineStr">
        <is>
          <t>Archaeology / தொல்லியல்</t>
        </is>
      </c>
      <c r="K219" s="13" t="inlineStr">
        <is>
          <t>archaeology</t>
        </is>
      </c>
      <c r="L219" s="11" t="inlineStr">
        <is>
          <t>Yes</t>
        </is>
      </c>
      <c r="M219" s="13" t="inlineStr">
        <is>
          <t>Google News query: archaeology Vanni Tamil. Auto-collected 2026-10-14 (news); review.</t>
        </is>
      </c>
      <c r="N219"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0">
      <c r="A220" s="7" t="inlineStr">
        <is>
          <t>ALL-0219</t>
        </is>
      </c>
      <c r="B220" s="7" t="inlineStr">
        <is>
          <t>Newspaper Articles</t>
        </is>
      </c>
      <c r="C220" s="8" t="inlineStr">
        <is>
          <t>2025</t>
        </is>
      </c>
      <c r="D220" s="7" t="inlineStr">
        <is>
          <t>2025-11-21</t>
        </is>
      </c>
      <c r="E220" s="9" t="inlineStr">
        <is>
          <t>மட்டக்களப்பில் துரத்தியடிக்கப்பட்ட தொல்லியல் திணைக்களத்தினர்</t>
        </is>
      </c>
      <c r="F220" s="9" t="n"/>
      <c r="G220" s="9" t="inlineStr">
        <is>
          <t>IBC Tamil</t>
        </is>
      </c>
      <c r="H220" s="7" t="inlineStr">
        <is>
          <t>News</t>
        </is>
      </c>
      <c r="I220" s="7" t="inlineStr">
        <is>
          <t>Tamil</t>
        </is>
      </c>
      <c r="J220" s="9" t="inlineStr">
        <is>
          <t>Archaeology / தொல்லியல்</t>
        </is>
      </c>
      <c r="K220" s="9" t="inlineStr">
        <is>
          <t>தொல்லியல்; Batticaloa</t>
        </is>
      </c>
      <c r="L220" s="7" t="inlineStr">
        <is>
          <t>Yes</t>
        </is>
      </c>
      <c r="M220" s="9" t="inlineStr">
        <is>
          <t>Heritage dispute; date from URL timestamp</t>
        </is>
      </c>
      <c r="N220" s="10" t="inlineStr">
        <is>
          <t>https://ibctamil.com/article/department-of-archaeology-personnel-chased-away-1763743917</t>
        </is>
      </c>
    </row>
    <row r="221">
      <c r="A221" s="11" t="inlineStr">
        <is>
          <t>ALL-0220</t>
        </is>
      </c>
      <c r="B221" s="11" t="inlineStr">
        <is>
          <t>Newspaper Articles</t>
        </is>
      </c>
      <c r="C221" s="12" t="inlineStr">
        <is>
          <t>2025</t>
        </is>
      </c>
      <c r="D221" s="11" t="inlineStr">
        <is>
          <t>2025-12-27</t>
        </is>
      </c>
      <c r="E221" s="13" t="inlineStr">
        <is>
          <t>வவுனியா கல்லுமலை பிள்ளையார் ஆலய வளாகத்தில் முளைக்கும் விகாரை!</t>
        </is>
      </c>
      <c r="F221" s="13" t="n"/>
      <c r="G221" s="13" t="inlineStr">
        <is>
          <t>IBC Tamil</t>
        </is>
      </c>
      <c r="H221" s="11" t="inlineStr">
        <is>
          <t>News</t>
        </is>
      </c>
      <c r="I221" s="11" t="inlineStr">
        <is>
          <t>Tamil</t>
        </is>
      </c>
      <c r="J221" s="13" t="inlineStr">
        <is>
          <t>Archaeology / தொல்லியல்</t>
        </is>
      </c>
      <c r="K221" s="13" t="inlineStr">
        <is>
          <t>தொல்லியல்; archaeology department; Vavuniya</t>
        </is>
      </c>
      <c r="L221" s="11" t="inlineStr">
        <is>
          <t>Yes</t>
        </is>
      </c>
      <c r="M221" s="13" t="inlineStr">
        <is>
          <t>Heritage dispute; date from URL timestamp</t>
        </is>
      </c>
      <c r="N221" s="14" t="inlineStr">
        <is>
          <t>https://ibctamil.com/article/archaeology-dep-to-construct-a-vihara-in-vavuniya-1766829487</t>
        </is>
      </c>
    </row>
    <row r="222">
      <c r="A222" s="7" t="inlineStr">
        <is>
          <t>ALL-0221</t>
        </is>
      </c>
      <c r="B222" s="7" t="inlineStr">
        <is>
          <t>Newspaper Articles</t>
        </is>
      </c>
      <c r="C222" s="8" t="inlineStr">
        <is>
          <t>2025</t>
        </is>
      </c>
      <c r="D222" s="7" t="inlineStr">
        <is>
          <t>2025-12-27</t>
        </is>
      </c>
      <c r="E222" s="9" t="inlineStr">
        <is>
          <t>வவுனியா பிள்ளையார் ஆலய வளாகத்தில் விகாரை அமைக்கும் தொல்பொருள் திணைக்களம்</t>
        </is>
      </c>
      <c r="F222" s="9" t="n"/>
      <c r="G222" s="9" t="inlineStr">
        <is>
          <t>Tamilwin</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https://tamilwin.com/article/viharaya-in-the-pillayar-temple-complex-vavuniya-1766838422</t>
        </is>
      </c>
    </row>
    <row r="223">
      <c r="A223" s="11" t="inlineStr">
        <is>
          <t>ALL-0222</t>
        </is>
      </c>
      <c r="B223" s="11" t="inlineStr">
        <is>
          <t>Newspaper Articles</t>
        </is>
      </c>
      <c r="C223" s="12" t="inlineStr">
        <is>
          <t>2024</t>
        </is>
      </c>
      <c r="D223" s="11" t="inlineStr">
        <is>
          <t>2024-02-08</t>
        </is>
      </c>
      <c r="E223" s="13" t="inlineStr">
        <is>
          <t>Largest inscription from Dimbulagala belongs to beginning of 2nd century BC or earlier</t>
        </is>
      </c>
      <c r="F223" s="13" t="n"/>
      <c r="G223" s="13" t="inlineStr">
        <is>
          <t>Daily Mirror - Sri Lanka</t>
        </is>
      </c>
      <c r="H223" s="11" t="inlineStr">
        <is>
          <t>News</t>
        </is>
      </c>
      <c r="I223" s="11" t="inlineStr">
        <is>
          <t>English</t>
        </is>
      </c>
      <c r="J223" s="13" t="inlineStr">
        <is>
          <t>Inscriptions / கல்வெட்டு</t>
        </is>
      </c>
      <c r="K223" s="13" t="inlineStr">
        <is>
          <t>inscription</t>
        </is>
      </c>
      <c r="L223" s="11" t="inlineStr">
        <is>
          <t>Yes</t>
        </is>
      </c>
      <c r="M223" s="13" t="inlineStr">
        <is>
          <t>Google News query: Tamil inscription Sri Lanka. Auto-collected 2026-10-14 (news); review.</t>
        </is>
      </c>
      <c r="N223"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4">
      <c r="A224" s="7" t="inlineStr">
        <is>
          <t>ALL-0223</t>
        </is>
      </c>
      <c r="B224" s="7" t="inlineStr">
        <is>
          <t>Newspaper Articles</t>
        </is>
      </c>
      <c r="C224" s="8" t="inlineStr">
        <is>
          <t>2024</t>
        </is>
      </c>
      <c r="D224" s="7" t="inlineStr">
        <is>
          <t>2024-02-24</t>
        </is>
      </c>
      <c r="E224" s="9" t="inlineStr">
        <is>
          <t>இலங்கையில் கண்டுபிடிக்கப்பட்ட நிலக்கீழ் நகரம்</t>
        </is>
      </c>
      <c r="F224" s="9" t="n"/>
      <c r="G224" s="9" t="inlineStr">
        <is>
          <t>IBC Tamil</t>
        </is>
      </c>
      <c r="H224" s="7" t="inlineStr">
        <is>
          <t>News</t>
        </is>
      </c>
      <c r="I224" s="7" t="inlineStr">
        <is>
          <t>Tamil</t>
        </is>
      </c>
      <c r="J224" s="9" t="inlineStr">
        <is>
          <t>Archaeology / தொல்லியல்</t>
        </is>
      </c>
      <c r="K224" s="9" t="inlineStr">
        <is>
          <t>தொல்லியல்; Polonnaruwa</t>
        </is>
      </c>
      <c r="L224" s="7" t="inlineStr">
        <is>
          <t>Yes</t>
        </is>
      </c>
      <c r="M224" s="9" t="inlineStr">
        <is>
          <t>URL timestamp Feb 2024</t>
        </is>
      </c>
      <c r="N224" s="10" t="inlineStr">
        <is>
          <t>https://ibctamil.com/article/an-underground-city-discovered-in-polonnaruwa-sl-1708747886</t>
        </is>
      </c>
    </row>
    <row r="225">
      <c r="A225" s="11" t="inlineStr">
        <is>
          <t>ALL-0224</t>
        </is>
      </c>
      <c r="B225" s="11" t="inlineStr">
        <is>
          <t>Newspaper Articles</t>
        </is>
      </c>
      <c r="C225" s="12" t="inlineStr">
        <is>
          <t>2024</t>
        </is>
      </c>
      <c r="D225" s="11" t="inlineStr">
        <is>
          <t>2024-07-06</t>
        </is>
      </c>
      <c r="E225" s="13" t="inlineStr">
        <is>
          <t>Exploring Sri Lanka's archaeological and cultural treasures</t>
        </is>
      </c>
      <c r="F225" s="13" t="n"/>
      <c r="G225" s="13" t="inlineStr">
        <is>
          <t>Wanderlust Travel Magazine</t>
        </is>
      </c>
      <c r="H225" s="11" t="inlineStr">
        <is>
          <t>News</t>
        </is>
      </c>
      <c r="I225" s="11" t="inlineStr">
        <is>
          <t>English</t>
        </is>
      </c>
      <c r="J225" s="13" t="inlineStr">
        <is>
          <t>Archaeology / தொல்லியல்</t>
        </is>
      </c>
      <c r="K225" s="13" t="inlineStr">
        <is>
          <t>archaeological</t>
        </is>
      </c>
      <c r="L225" s="11" t="inlineStr">
        <is>
          <t>Yes</t>
        </is>
      </c>
      <c r="M225" s="13" t="inlineStr">
        <is>
          <t>Google News query: rock art Sri Lanka. Auto-collected 2026-10-14 (news); review.</t>
        </is>
      </c>
      <c r="N225" s="14" t="inlineStr">
        <is>
          <t>https://news.google.com/rss/articles/CBMiggFBVV95cUxQczl0U3RlM2Y4UjFBSU1ULWtUTEpFaXZIb3pBLTRkTmpoOEh5Nzc4MzlMNVM4MGpEd0FhWFVJTE84ZnZ3ZnVDUWVjUnBOVThrTndsX3gxT0g0ZkxlWDQyLWVRNDdFZ25HXzdlZWZmQ2ZZZFlMUHVHYm1DLWdVZjVuNmdR?oc=5</t>
        </is>
      </c>
    </row>
    <row r="226">
      <c r="A226" s="7" t="inlineStr">
        <is>
          <t>ALL-0225</t>
        </is>
      </c>
      <c r="B226" s="7" t="inlineStr">
        <is>
          <t>Newspaper Articles</t>
        </is>
      </c>
      <c r="C226" s="8" t="inlineStr">
        <is>
          <t>2024</t>
        </is>
      </c>
      <c r="D226" s="7" t="inlineStr">
        <is>
          <t>2024-08-22</t>
        </is>
      </c>
      <c r="E226" s="9" t="inlineStr">
        <is>
          <t>Fact Check: அனுமனின் கதாயுதம் ஒன்று இலங்கையில் தொல்லியல் அகழாய்வின் போது கண்டெடுக்கப்பட்டதா?</t>
        </is>
      </c>
      <c r="F226" s="9" t="n"/>
      <c r="G226" s="9" t="inlineStr">
        <is>
          <t>NewsMeter</t>
        </is>
      </c>
      <c r="H226" s="7" t="inlineStr">
        <is>
          <t>News</t>
        </is>
      </c>
      <c r="I226" s="7" t="inlineStr">
        <is>
          <t>Tamil</t>
        </is>
      </c>
      <c r="J226" s="9" t="inlineStr">
        <is>
          <t>Archaeology / தொல்லியல்</t>
        </is>
      </c>
      <c r="K226" s="9" t="inlineStr">
        <is>
          <t>தொல்லியல்</t>
        </is>
      </c>
      <c r="L226" s="7" t="inlineStr">
        <is>
          <t>Yes</t>
        </is>
      </c>
      <c r="M226" s="9" t="inlineStr">
        <is>
          <t>Google News query: தொல்லியல் இலங்கை தமிழ். Auto-collected 2026-10-14 (news); review.</t>
        </is>
      </c>
      <c r="N226"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7">
      <c r="A227" s="11" t="inlineStr">
        <is>
          <t>ALL-0226</t>
        </is>
      </c>
      <c r="B227" s="11" t="inlineStr">
        <is>
          <t>Newspaper Articles</t>
        </is>
      </c>
      <c r="C227" s="12" t="inlineStr">
        <is>
          <t>2023</t>
        </is>
      </c>
      <c r="D227" s="11" t="inlineStr">
        <is>
          <t>2023-03-27</t>
        </is>
      </c>
      <c r="E227" s="13" t="inlineStr">
        <is>
          <t>வவுனியா - வெடுக்குநாறி மலை விவகாரம்: வன்மையாகக் கண்டிப்பதாகக் கூறும் அனந்தி!</t>
        </is>
      </c>
      <c r="F227" s="13" t="n"/>
      <c r="G227" s="13" t="inlineStr">
        <is>
          <t>Tamilwin</t>
        </is>
      </c>
      <c r="H227" s="11" t="inlineStr">
        <is>
          <t>News</t>
        </is>
      </c>
      <c r="I227" s="11" t="inlineStr">
        <is>
          <t>Tamil</t>
        </is>
      </c>
      <c r="J227" s="13" t="inlineStr">
        <is>
          <t>Archaeology / தொல்லியல்</t>
        </is>
      </c>
      <c r="K227" s="13" t="inlineStr">
        <is>
          <t>Vedukkunari hill; archaeology; heritage</t>
        </is>
      </c>
      <c r="L227" s="11" t="inlineStr">
        <is>
          <t>Yes</t>
        </is>
      </c>
      <c r="M227" s="13" t="inlineStr">
        <is>
          <t>Heritage dispute; date from URL timestamp</t>
        </is>
      </c>
      <c r="N227" s="14" t="inlineStr">
        <is>
          <t>https://tamilwin.com/article/vedukunari-hill-affair-1679899848</t>
        </is>
      </c>
    </row>
    <row r="228">
      <c r="A228" s="7" t="inlineStr">
        <is>
          <t>ALL-0227</t>
        </is>
      </c>
      <c r="B228" s="7" t="inlineStr">
        <is>
          <t>Newspaper Articles</t>
        </is>
      </c>
      <c r="C228" s="8" t="inlineStr">
        <is>
          <t>2023</t>
        </is>
      </c>
      <c r="D228" s="7" t="inlineStr">
        <is>
          <t>2023-03-29</t>
        </is>
      </c>
      <c r="E228" s="9" t="inlineStr">
        <is>
          <t>இலங்கையின் தொல்லியல் சிறப்புமிக்க ஆதிலிங்கேஸ்வரர் ஆலயம் உடைப்பு - அரசாங்கம் என்ன சொல்கிறது?</t>
        </is>
      </c>
      <c r="F228" s="9" t="n"/>
      <c r="G228" s="9" t="inlineStr">
        <is>
          <t>BBC</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9">
      <c r="A229" s="11" t="inlineStr">
        <is>
          <t>ALL-0228</t>
        </is>
      </c>
      <c r="B229" s="11" t="inlineStr">
        <is>
          <t>Newspaper Articles</t>
        </is>
      </c>
      <c r="C229" s="12" t="inlineStr">
        <is>
          <t>2023</t>
        </is>
      </c>
      <c r="D229" s="11" t="inlineStr">
        <is>
          <t>2023-08-04</t>
        </is>
      </c>
      <c r="E229" s="13" t="inlineStr">
        <is>
          <t>கீரிமலை புனித தீர்த்தக் கேணி தொல்லியல் சின்னமாக பிரகடனம் - வெளியான வர்த்தமானி</t>
        </is>
      </c>
      <c r="F229" s="13" t="n"/>
      <c r="G229" s="13" t="inlineStr">
        <is>
          <t>IBC Tamil</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https://news.google.com/rss/articles/CBMiggFBVV95cUxPTktnNVJNcTFtWWRtX19weEM0ODhGVGxlTU85b0xTU1pBUDNtWU9DMXRBWEx6N3JDTHdHOVBiakpMYnZnT2FFOTJ2T1hNRXRDSHdocGJ0WlJuajY1TEhwTExPSVRMcjlYTW1GbEVTZHpfZm1CcE00WU9XQVcyeXVKQWJn?oc=5</t>
        </is>
      </c>
    </row>
    <row r="230">
      <c r="A230" s="7" t="inlineStr">
        <is>
          <t>ALL-0229</t>
        </is>
      </c>
      <c r="B230" s="7" t="inlineStr">
        <is>
          <t>Newspaper Articles</t>
        </is>
      </c>
      <c r="C230" s="8" t="inlineStr">
        <is>
          <t>2023</t>
        </is>
      </c>
      <c r="D230" s="7" t="inlineStr">
        <is>
          <t>2023-08-11</t>
        </is>
      </c>
      <c r="E230" s="9" t="inlineStr">
        <is>
          <t>கீரிமலை கேணியையும் தொல்லியல் திணைக்களம் கட்டுப்பாட்டுக்குள் கொண்டுவர முயற்சி - அகில இலங்கை இந்து மாமன்றம்</t>
        </is>
      </c>
      <c r="F230" s="9" t="n"/>
      <c r="G230" s="9" t="inlineStr">
        <is>
          <t>Lanka Truth</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https://news.google.com/rss/articles/CBMiSkFVX3lxTE9RWHRpZjlDZE92MEg4bC1VRXFNMjNpSlotREpZclVwU2tncGcyRWFNUnpxQ1ZJTmlRZS1VanBPWl9XNVdjcWhtd29R?oc=5</t>
        </is>
      </c>
    </row>
    <row r="231">
      <c r="A231" s="11" t="inlineStr">
        <is>
          <t>ALL-0230</t>
        </is>
      </c>
      <c r="B231" s="11" t="inlineStr">
        <is>
          <t>Newspaper Articles</t>
        </is>
      </c>
      <c r="C231" s="12" t="inlineStr">
        <is>
          <t>2023</t>
        </is>
      </c>
      <c r="D231" s="11" t="inlineStr">
        <is>
          <t>2023-09-13</t>
        </is>
      </c>
      <c r="E231" s="13" t="inlineStr">
        <is>
          <t>இலங்கை இனவாத குழுக்கள் சர்ச்சைக்குரிய தொல்பொருள் பிரதேசம் தொடர்பாக இனவாத பதட்டங்களை கிளப்பி வருகின்றன</t>
        </is>
      </c>
      <c r="F231" s="13" t="n"/>
      <c r="G231" s="13" t="inlineStr">
        <is>
          <t>World Socialist Web Site</t>
        </is>
      </c>
      <c r="H231" s="11" t="inlineStr">
        <is>
          <t>News</t>
        </is>
      </c>
      <c r="I231" s="11" t="inlineStr">
        <is>
          <t>Tamil</t>
        </is>
      </c>
      <c r="J231" s="13" t="inlineStr">
        <is>
          <t>Archaeology / தொல்லியல்</t>
        </is>
      </c>
      <c r="K231" s="13" t="inlineStr">
        <is>
          <t>தொல்பொருள்</t>
        </is>
      </c>
      <c r="L231" s="11" t="inlineStr">
        <is>
          <t>Yes</t>
        </is>
      </c>
      <c r="M231" s="13" t="inlineStr">
        <is>
          <t>Google News query: தொல்லியல் இலங்கை தமிழ். Auto-collected 2026-10-14 (news); review.</t>
        </is>
      </c>
      <c r="N231" s="14" t="inlineStr">
        <is>
          <t>https://news.google.com/rss/articles/CBMiaEFVX3lxTE9mazdldjk2bWROTF9UYjJKOWhvMk9hQUwwcGdfbjgwYVN4a2phYktJU3RfWHpUSzFxZlpLQmhURWxacjJWYTNFZEFMNlFuWG13S1Rra1ZVZGdPcU40bmZxS2p5M09wT09h?oc=5</t>
        </is>
      </c>
    </row>
    <row r="232">
      <c r="A232" s="7" t="inlineStr">
        <is>
          <t>ALL-0231</t>
        </is>
      </c>
      <c r="B232" s="7" t="inlineStr">
        <is>
          <t>Newspaper Articles</t>
        </is>
      </c>
      <c r="C232" s="8" t="inlineStr">
        <is>
          <t>2023</t>
        </is>
      </c>
      <c r="D232" s="7" t="inlineStr">
        <is>
          <t>2023-09-27</t>
        </is>
      </c>
      <c r="E232" s="9" t="inlineStr">
        <is>
          <t>Shared heritage of archaeological sites in the North and East</t>
        </is>
      </c>
      <c r="F232" s="9" t="n"/>
      <c r="G232" s="9" t="inlineStr">
        <is>
          <t>Daily Mirror - Sri Lanka</t>
        </is>
      </c>
      <c r="H232" s="7" t="inlineStr">
        <is>
          <t>News</t>
        </is>
      </c>
      <c r="I232" s="7" t="inlineStr">
        <is>
          <t>English</t>
        </is>
      </c>
      <c r="J232" s="9" t="inlineStr">
        <is>
          <t>Archaeology / தொல்லியல்</t>
        </is>
      </c>
      <c r="K232" s="9" t="inlineStr">
        <is>
          <t>archaeological</t>
        </is>
      </c>
      <c r="L232" s="7" t="inlineStr">
        <is>
          <t>Yes</t>
        </is>
      </c>
      <c r="M232" s="9" t="inlineStr">
        <is>
          <t>Google News query: Tamil inscription Sri Lanka. Auto-collected 2026-10-14 (news); review.</t>
        </is>
      </c>
      <c r="N232"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3">
      <c r="A233" s="11" t="inlineStr">
        <is>
          <t>ALL-0232</t>
        </is>
      </c>
      <c r="B233" s="11" t="inlineStr">
        <is>
          <t>Newspaper Articles</t>
        </is>
      </c>
      <c r="C233" s="12" t="inlineStr">
        <is>
          <t>2023</t>
        </is>
      </c>
      <c r="D233" s="11" t="inlineStr">
        <is>
          <t>2023-11-09</t>
        </is>
      </c>
      <c r="E233" s="13" t="inlineStr">
        <is>
          <t>Extremely rare, largest inscription found on hills of Polonnaruwa</t>
        </is>
      </c>
      <c r="F233" s="13" t="n"/>
      <c r="G233" s="13" t="inlineStr">
        <is>
          <t>Daily Mirror - Sri Lanka</t>
        </is>
      </c>
      <c r="H233" s="11" t="inlineStr">
        <is>
          <t>News</t>
        </is>
      </c>
      <c r="I233" s="11" t="inlineStr">
        <is>
          <t>English</t>
        </is>
      </c>
      <c r="J233" s="13" t="inlineStr">
        <is>
          <t>Inscriptions / கல்வெட்டு</t>
        </is>
      </c>
      <c r="K233" s="13" t="inlineStr">
        <is>
          <t>inscription</t>
        </is>
      </c>
      <c r="L233" s="11" t="inlineStr">
        <is>
          <t>Yes</t>
        </is>
      </c>
      <c r="M233" s="13" t="inlineStr">
        <is>
          <t>Google News query: Tamil inscription Sri Lanka. Auto-collected 2026-10-14 (news); review.</t>
        </is>
      </c>
      <c r="N233"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4">
      <c r="A234" s="7" t="inlineStr">
        <is>
          <t>ALL-0233</t>
        </is>
      </c>
      <c r="B234" s="7" t="inlineStr">
        <is>
          <t>Newspaper Articles</t>
        </is>
      </c>
      <c r="C234" s="8" t="inlineStr">
        <is>
          <t>2023</t>
        </is>
      </c>
      <c r="D234" s="7" t="inlineStr">
        <is>
          <t>2023-11-09</t>
        </is>
      </c>
      <c r="E234" s="9" t="inlineStr">
        <is>
          <t>இலங்கையில் மிகப் பெரிய கல்வெட்டு கண்டுபிடிப்பு</t>
        </is>
      </c>
      <c r="F234" s="9" t="n"/>
      <c r="G234" s="9" t="inlineStr">
        <is>
          <t>මුල් පිටුව</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https://news.google.com/rss/articles/CBMiV0FVX3lxTE0xSVZDa2M2cjhyOFJNVzZ4UEt2TnRyanBkaXBhSmxhTElobUFMNWhic0dWMlloejhDY3NaOGVEMnNnN0liY1B6cjR1OTFMOVowUUp1YzQ1WQ?oc=5</t>
        </is>
      </c>
    </row>
    <row r="235">
      <c r="A235" s="11" t="inlineStr">
        <is>
          <t>ALL-0234</t>
        </is>
      </c>
      <c r="B235" s="11" t="inlineStr">
        <is>
          <t>Newspaper Articles</t>
        </is>
      </c>
      <c r="C235" s="12" t="inlineStr">
        <is>
          <t>2022</t>
        </is>
      </c>
      <c r="D235" s="11" t="inlineStr">
        <is>
          <t>2022-09-21</t>
        </is>
      </c>
      <c r="E235" s="13" t="inlineStr">
        <is>
          <t>Brahmi on Potsherds in Anuradhapura</t>
        </is>
      </c>
      <c r="F235" s="13" t="n"/>
      <c r="G235" s="13" t="inlineStr">
        <is>
          <t>Island.lk</t>
        </is>
      </c>
      <c r="H235" s="11" t="inlineStr">
        <is>
          <t>News</t>
        </is>
      </c>
      <c r="I235" s="11" t="inlineStr">
        <is>
          <t>English</t>
        </is>
      </c>
      <c r="J235" s="13" t="inlineStr">
        <is>
          <t>Brahmi / பிராமி</t>
        </is>
      </c>
      <c r="K235" s="13" t="inlineStr">
        <is>
          <t>brahmi; potsherd</t>
        </is>
      </c>
      <c r="L235" s="11" t="inlineStr">
        <is>
          <t>Yes</t>
        </is>
      </c>
      <c r="M235" s="13" t="inlineStr">
        <is>
          <t>Google News query: Tamil Brahmi Sri Lanka. Auto-collected 2026-10-14 (news); review.</t>
        </is>
      </c>
      <c r="N235" s="14" t="inlineStr">
        <is>
          <t>https://news.google.com/rss/articles/CBMiY0FVX3lxTE43MEhwaFFleWl0Xy1hTXJxSk4tb185djd2Tmp2UFlnLWNoSzNTYUZqeC1LWEdzaXMyU1h3NFBLSEhjTkJ1NTJWd0ZoODlqOVc0TXRqRV9yZ1RQWVd3NnFhQkRsWQ?oc=5</t>
        </is>
      </c>
    </row>
    <row r="236">
      <c r="A236" s="7" t="inlineStr">
        <is>
          <t>ALL-0235</t>
        </is>
      </c>
      <c r="B236" s="7" t="inlineStr">
        <is>
          <t>Newspaper Articles</t>
        </is>
      </c>
      <c r="C236" s="8" t="inlineStr">
        <is>
          <t>2022</t>
        </is>
      </c>
      <c r="D236" s="7" t="inlineStr">
        <is>
          <t>2022-09-23</t>
        </is>
      </c>
      <c r="E236" s="9" t="inlineStr">
        <is>
          <t>குருந்தூர்மலை, திருக்கோணேஸ்வரம் ஆக்கிரமிப்புக்களை உடன் நிறுத்துக! சுமந்திரன்</t>
        </is>
      </c>
      <c r="F236" s="9" t="n"/>
      <c r="G236" s="9" t="inlineStr">
        <is>
          <t>Tamilwin</t>
        </is>
      </c>
      <c r="H236" s="7" t="inlineStr">
        <is>
          <t>News</t>
        </is>
      </c>
      <c r="I236" s="7" t="inlineStr">
        <is>
          <t>Tamil</t>
        </is>
      </c>
      <c r="J236" s="9" t="inlineStr">
        <is>
          <t>Archaeology / தொல்லியல்</t>
        </is>
      </c>
      <c r="K236" s="9" t="inlineStr">
        <is>
          <t>Kurunthurmalai; Koneswaram; archaeology</t>
        </is>
      </c>
      <c r="L236" s="7" t="inlineStr">
        <is>
          <t>Yes</t>
        </is>
      </c>
      <c r="M236" s="9" t="inlineStr">
        <is>
          <t>Heritage dispute; date from URL timestamp</t>
        </is>
      </c>
      <c r="N236" s="10" t="inlineStr">
        <is>
          <t>https://tamilwin.com/article/sri-lanka-parliament-sumanthiran-thirukoneshwaram-1663923669</t>
        </is>
      </c>
    </row>
    <row r="237">
      <c r="A237" s="11" t="inlineStr">
        <is>
          <t>ALL-0236</t>
        </is>
      </c>
      <c r="B237" s="11" t="inlineStr">
        <is>
          <t>Newspaper Articles</t>
        </is>
      </c>
      <c r="C237" s="12" t="inlineStr">
        <is>
          <t>2022</t>
        </is>
      </c>
      <c r="D237" s="11" t="inlineStr">
        <is>
          <t>2022-09-26</t>
        </is>
      </c>
      <c r="E237" s="13" t="inlineStr">
        <is>
          <t>தியாக தீபம் திலீபனின் நினைவால் தகர்ந்த யாழ். கோட்டையும் அதனால் மிளிர்ந்த ஈழத்தமிழர்களின் தொல்லியல் சான்றுகளும் (Video)</t>
        </is>
      </c>
      <c r="F237" s="13" t="n"/>
      <c r="G237" s="13" t="inlineStr">
        <is>
          <t>Tamilwin</t>
        </is>
      </c>
      <c r="H237" s="11" t="inlineStr">
        <is>
          <t>News</t>
        </is>
      </c>
      <c r="I237" s="11" t="inlineStr">
        <is>
          <t>Tamil</t>
        </is>
      </c>
      <c r="J237" s="13" t="inlineStr">
        <is>
          <t>Archaeology / தொல்லியல்</t>
        </is>
      </c>
      <c r="K237" s="13" t="inlineStr">
        <is>
          <t>தொல்லியல்</t>
        </is>
      </c>
      <c r="L237" s="11" t="inlineStr">
        <is>
          <t>Yes</t>
        </is>
      </c>
      <c r="M237" s="13" t="inlineStr">
        <is>
          <t>Google News query: தொல்லியல் இலங்கை தமிழ். Auto-collected 2026-10-14 (news); review.</t>
        </is>
      </c>
      <c r="N237" s="14" t="inlineStr">
        <is>
          <t>https://news.google.com/rss/articles/CBMijAFBVV95cUxPU1hsOTdOMnNXbnpweEV1cE9Ba3ZDRGJQOERPeEJpbXp1UWY1UTl6VzNfVVhoXzBvMEstdVpNR3pyQ3U1ZlNnUlhqcExGejg2THpmM0ZOQV9heGpwdFA3Z3FON1JJUVFvdzkwUTdsZlBxMXl3MWtOb2V3TGx3MzFoTEVDbl9HeFdpbHYwTw?oc=5</t>
        </is>
      </c>
    </row>
    <row r="238">
      <c r="A238" s="7" t="inlineStr">
        <is>
          <t>ALL-0237</t>
        </is>
      </c>
      <c r="B238" s="7" t="inlineStr">
        <is>
          <t>Newspaper Articles</t>
        </is>
      </c>
      <c r="C238" s="8" t="inlineStr">
        <is>
          <t>2021</t>
        </is>
      </c>
      <c r="D238" s="7" t="inlineStr">
        <is>
          <t>2021-03-27</t>
        </is>
      </c>
      <c r="E238" s="9" t="inlineStr">
        <is>
          <t>Concern over illegal excavation in Vavuniya</t>
        </is>
      </c>
      <c r="F238" s="9" t="n"/>
      <c r="G238" s="9" t="inlineStr">
        <is>
          <t>Tamil Guardian</t>
        </is>
      </c>
      <c r="H238" s="7" t="inlineStr">
        <is>
          <t>News</t>
        </is>
      </c>
      <c r="I238" s="7" t="inlineStr">
        <is>
          <t>English</t>
        </is>
      </c>
      <c r="J238" s="9" t="inlineStr">
        <is>
          <t>Archaeology / தொல்லியல்</t>
        </is>
      </c>
      <c r="K238" s="9" t="inlineStr">
        <is>
          <t>excavation</t>
        </is>
      </c>
      <c r="L238" s="7" t="inlineStr">
        <is>
          <t>Yes</t>
        </is>
      </c>
      <c r="M238" s="9" t="inlineStr">
        <is>
          <t>Google News query: archaeology Jaffna. Auto-collected 2026-10-14 (news); review.</t>
        </is>
      </c>
      <c r="N238" s="10" t="inlineStr">
        <is>
          <t>https://news.google.com/rss/articles/CBMihAFBVV95cUxPX19weE04VjU1V3JVSHNCTDJQUnFkU185alhQYkhNTy0yQlA4MnVrWlNYTVJ0UFJiSlZRTTAwY3RYdU5JOUpja01VWjYzVllVeE9FQUFFME1QWnpnZTM0U2hvc3huRkRhU1RJSmxUNUN3cHhBdktEOXo5SHlZVXNnR2FEb3M?oc=5</t>
        </is>
      </c>
    </row>
    <row r="239">
      <c r="A239" s="11" t="inlineStr">
        <is>
          <t>ALL-0238</t>
        </is>
      </c>
      <c r="B239" s="11" t="inlineStr">
        <is>
          <t>Newspaper Articles</t>
        </is>
      </c>
      <c r="C239" s="12" t="inlineStr">
        <is>
          <t>2021</t>
        </is>
      </c>
      <c r="D239" s="11" t="inlineStr">
        <is>
          <t>2021-09-29</t>
        </is>
      </c>
      <c r="E239" s="13" t="inlineStr">
        <is>
          <t>இலங்கை கோயிலில் பல நூற்றாண்டு தமிழ், தெலுங்கு செப்பேடு - யாழ். பல்கலை பேராசிரியர் கண்டுபிடிப்பு</t>
        </is>
      </c>
      <c r="F239" s="13" t="n"/>
      <c r="G239" s="13" t="inlineStr">
        <is>
          <t>BBC</t>
        </is>
      </c>
      <c r="H239" s="11" t="inlineStr">
        <is>
          <t>News</t>
        </is>
      </c>
      <c r="I239" s="11" t="inlineStr">
        <is>
          <t>Tamil</t>
        </is>
      </c>
      <c r="J239" s="13" t="n"/>
      <c r="K239" s="13" t="inlineStr">
        <is>
          <t>செப்பேடு</t>
        </is>
      </c>
      <c r="L239" s="11" t="inlineStr">
        <is>
          <t>Yes</t>
        </is>
      </c>
      <c r="M239" s="13" t="inlineStr">
        <is>
          <t>Google News query: தொல்லியல் இலங்கை தமிழ். Auto-collected 2026-10-14 (news); review.</t>
        </is>
      </c>
      <c r="N239"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0">
      <c r="A240" s="7" t="inlineStr">
        <is>
          <t>ALL-0239</t>
        </is>
      </c>
      <c r="B240" s="7" t="inlineStr">
        <is>
          <t>Newspaper Articles</t>
        </is>
      </c>
      <c r="C240" s="8" t="inlineStr">
        <is>
          <t>2021</t>
        </is>
      </c>
      <c r="D240" s="7" t="inlineStr">
        <is>
          <t>2021-11-22</t>
        </is>
      </c>
      <c r="E240" s="9" t="inlineStr">
        <is>
          <t>இலங்கை தமிழர் வரலாறு பற்றி இதுவரை அறியப்படாத புதிய கல்வெட்டு திருகோணமலையில் கண்டுபிடிப்பு</t>
        </is>
      </c>
      <c r="F240" s="9" t="n"/>
      <c r="G240" s="9" t="inlineStr">
        <is>
          <t>Virakesari</t>
        </is>
      </c>
      <c r="H240" s="7" t="inlineStr">
        <is>
          <t>News</t>
        </is>
      </c>
      <c r="I240" s="7" t="inlineStr">
        <is>
          <t>Tamil</t>
        </is>
      </c>
      <c r="J240" s="9" t="inlineStr">
        <is>
          <t>Inscriptions / கல்வெட்டு</t>
        </is>
      </c>
      <c r="K240" s="9" t="inlineStr">
        <is>
          <t>கல்வெட்டு; Trincomalee</t>
        </is>
      </c>
      <c r="L240" s="7" t="inlineStr">
        <is>
          <t>Yes</t>
        </is>
      </c>
      <c r="M240" s="9" t="inlineStr">
        <is>
          <t>URL timestamp suggests Nov 2021</t>
        </is>
      </c>
      <c r="N240" s="10" t="inlineStr">
        <is>
          <t>https://www.virakesari.lk/article/117633</t>
        </is>
      </c>
    </row>
    <row r="241">
      <c r="A241" s="11" t="inlineStr">
        <is>
          <t>ALL-0240</t>
        </is>
      </c>
      <c r="B241" s="11" t="inlineStr">
        <is>
          <t>Newspaper Articles</t>
        </is>
      </c>
      <c r="C241" s="12" t="inlineStr">
        <is>
          <t>2021</t>
        </is>
      </c>
      <c r="D241" s="11" t="inlineStr">
        <is>
          <t>2021-11-22</t>
        </is>
      </c>
      <c r="E241" s="13" t="inlineStr">
        <is>
          <t>இலங்கை தமிழர் வரலாறு: புதிய தகவல்களைக் கூறும் 13ஆம் நூற்றாண்டு கல்வெட்டு</t>
        </is>
      </c>
      <c r="F241" s="13" t="n"/>
      <c r="G241" s="13" t="inlineStr">
        <is>
          <t>BBC</t>
        </is>
      </c>
      <c r="H241" s="11" t="inlineStr">
        <is>
          <t>News</t>
        </is>
      </c>
      <c r="I241" s="11" t="inlineStr">
        <is>
          <t>Tamil</t>
        </is>
      </c>
      <c r="J241" s="13" t="inlineStr">
        <is>
          <t>Inscriptions / கல்வெட்டு</t>
        </is>
      </c>
      <c r="K241" s="13" t="inlineStr">
        <is>
          <t>கல்வெட்டு</t>
        </is>
      </c>
      <c r="L241" s="11" t="inlineStr">
        <is>
          <t>Yes</t>
        </is>
      </c>
      <c r="M241" s="13" t="inlineStr">
        <is>
          <t>Google News query: கல்வெட்டு இலங்கை. Auto-collected 2026-10-14 (news); review.</t>
        </is>
      </c>
      <c r="N241"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2">
      <c r="A242" s="7" t="inlineStr">
        <is>
          <t>ALL-0241</t>
        </is>
      </c>
      <c r="B242" s="7" t="inlineStr">
        <is>
          <t>Newspaper Articles</t>
        </is>
      </c>
      <c r="C242" s="8" t="inlineStr">
        <is>
          <t>2021</t>
        </is>
      </c>
      <c r="D242" s="7" t="inlineStr">
        <is>
          <t>2023-01-03</t>
        </is>
      </c>
      <c r="E242" s="9" t="inlineStr">
        <is>
          <t>தமிழ் இராச்சியத்தின் தோற்றம் பற்றிய முன்னைய வரலாற்றுப் பார்வையை மீள் வாசிப்பிற்கு உட்படுத்தும் அரிய தமிழ்க் கல்வெட்டு திருகோணமலையில் கண்டுபிடிப்பு!</t>
        </is>
      </c>
      <c r="F242" s="9" t="inlineStr">
        <is>
          <t>பரமு புஷ்பரட்ணம்</t>
        </is>
      </c>
      <c r="G242" s="9" t="inlineStr">
        <is>
          <t>Athavan News</t>
        </is>
      </c>
      <c r="H242" s="7" t="inlineStr">
        <is>
          <t>News</t>
        </is>
      </c>
      <c r="I242" s="7" t="inlineStr">
        <is>
          <t>Tamil</t>
        </is>
      </c>
      <c r="J242" s="9" t="inlineStr">
        <is>
          <t>Inscriptions / கல்வெட்டு</t>
        </is>
      </c>
      <c r="K242" s="9" t="inlineStr">
        <is>
          <t>கல்வெட்டு; Trincomalee; Tamil kingdom</t>
        </is>
      </c>
      <c r="L242" s="7" t="inlineStr">
        <is>
          <t>Yes</t>
        </is>
      </c>
      <c r="M242" s="9" t="n"/>
      <c r="N242" s="10" t="inlineStr">
        <is>
          <t>https://athavannews.com/2021/1251617</t>
        </is>
      </c>
    </row>
    <row r="243">
      <c r="A243" s="11" t="inlineStr">
        <is>
          <t>ALL-0242</t>
        </is>
      </c>
      <c r="B243" s="11" t="inlineStr">
        <is>
          <t>Newspaper Articles</t>
        </is>
      </c>
      <c r="C243" s="12" t="inlineStr">
        <is>
          <t>2020</t>
        </is>
      </c>
      <c r="D243" s="11" t="inlineStr">
        <is>
          <t>2020-11-10</t>
        </is>
      </c>
      <c r="E243" s="13" t="inlineStr">
        <is>
          <t>High court imposes injunction against Sri Lanka Archaeology Department land occupation in Trincomalee</t>
        </is>
      </c>
      <c r="F243" s="13" t="n"/>
      <c r="G243" s="13" t="inlineStr">
        <is>
          <t>Tamil Guardian</t>
        </is>
      </c>
      <c r="H243" s="11" t="inlineStr">
        <is>
          <t>News</t>
        </is>
      </c>
      <c r="I243" s="11" t="inlineStr">
        <is>
          <t>English</t>
        </is>
      </c>
      <c r="J243" s="13" t="inlineStr">
        <is>
          <t>Archaeology / தொல்லியல்</t>
        </is>
      </c>
      <c r="K243" s="13" t="inlineStr">
        <is>
          <t>archaeology</t>
        </is>
      </c>
      <c r="L243" s="11" t="inlineStr">
        <is>
          <t>Yes</t>
        </is>
      </c>
      <c r="M243" s="13" t="inlineStr">
        <is>
          <t>Google News query: archaeology Jaffna. Auto-collected 2026-10-14 (news); review.</t>
        </is>
      </c>
      <c r="N243"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4">
      <c r="A244" s="7" t="inlineStr">
        <is>
          <t>ALL-0243</t>
        </is>
      </c>
      <c r="B244" s="7" t="inlineStr">
        <is>
          <t>Newspaper Articles</t>
        </is>
      </c>
      <c r="C244" s="8" t="inlineStr">
        <is>
          <t>2020</t>
        </is>
      </c>
      <c r="D244" s="7" t="inlineStr">
        <is>
          <t>2020-12-01</t>
        </is>
      </c>
      <c r="E244" s="9" t="inlineStr">
        <is>
          <t>Sri Lanka’s archaeology department acquires ‘ancient monastery site’ in Jaffna</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5">
      <c r="A245" s="11" t="inlineStr">
        <is>
          <t>ALL-0244</t>
        </is>
      </c>
      <c r="B245" s="11" t="inlineStr">
        <is>
          <t>Newspaper Articles</t>
        </is>
      </c>
      <c r="C245" s="12" t="inlineStr">
        <is>
          <t>2019</t>
        </is>
      </c>
      <c r="D245" s="11" t="inlineStr">
        <is>
          <t>2019-03-17</t>
        </is>
      </c>
      <c r="E245" s="13" t="inlineStr">
        <is>
          <t>இலங்கையில் பெருங்கற்காலத்தில் தமிழர்கள் வாழ்ந்த இடம்; அழிந்து வருவதாக மக்கள் கவலை</t>
        </is>
      </c>
      <c r="F245" s="13" t="n"/>
      <c r="G245" s="13" t="inlineStr">
        <is>
          <t>BBC</t>
        </is>
      </c>
      <c r="H245" s="11" t="inlineStr">
        <is>
          <t>News</t>
        </is>
      </c>
      <c r="I245" s="11" t="inlineStr">
        <is>
          <t>Tamil</t>
        </is>
      </c>
      <c r="J245" s="13" t="inlineStr">
        <is>
          <t>Archaeology / தொல்லியல்</t>
        </is>
      </c>
      <c r="K245" s="13" t="inlineStr">
        <is>
          <t>பெருங்கற்</t>
        </is>
      </c>
      <c r="L245" s="11" t="inlineStr">
        <is>
          <t>Yes</t>
        </is>
      </c>
      <c r="M245" s="13" t="inlineStr">
        <is>
          <t>Google News query: தொல்லியல் இலங்கை தமிழ். Auto-collected 2026-10-14 (news); review.</t>
        </is>
      </c>
      <c r="N245"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6">
      <c r="A246" s="7" t="inlineStr">
        <is>
          <t>ALL-0245</t>
        </is>
      </c>
      <c r="B246" s="7" t="inlineStr">
        <is>
          <t>Newspaper Articles</t>
        </is>
      </c>
      <c r="C246" s="8" t="inlineStr">
        <is>
          <t>2019</t>
        </is>
      </c>
      <c r="D246" s="7" t="inlineStr">
        <is>
          <t>2019-05-30</t>
        </is>
      </c>
      <c r="E246" s="9" t="inlineStr">
        <is>
          <t>30.05.19 SL Archaeology Dept steps up controversial construction work in Trincomalee</t>
        </is>
      </c>
      <c r="F246" s="9" t="n"/>
      <c r="G246" s="9" t="inlineStr">
        <is>
          <t>TamilNet</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Vanni Tamil. Auto-collected 2026-10-14 (news); review.</t>
        </is>
      </c>
      <c r="N246" s="10" t="inlineStr">
        <is>
          <t>https://news.google.com/rss/articles/CBMiZEFVX3lxTFBaOXhuY19ZUk1ySExJdXFObDBJWDEzMmtqZVhLNTNoNVhhZWhvQm1Idy1uUWRiU1h2Nkg4UWRMTmtNLVhOWU0zSzdBWFZjdzEwQnJtX0FLd1FnWXlpYVl0TU9OSG0?oc=5</t>
        </is>
      </c>
    </row>
    <row r="247">
      <c r="A247" s="11" t="inlineStr">
        <is>
          <t>ALL-0246</t>
        </is>
      </c>
      <c r="B247" s="11" t="inlineStr">
        <is>
          <t>Newspaper Articles</t>
        </is>
      </c>
      <c r="C247" s="12" t="inlineStr">
        <is>
          <t>2019</t>
        </is>
      </c>
      <c r="D247" s="11" t="inlineStr">
        <is>
          <t>2019-08-19</t>
        </is>
      </c>
      <c r="E247" s="13" t="inlineStr">
        <is>
          <t>Tamil archaeological site under threat from granite mining</t>
        </is>
      </c>
      <c r="F247" s="13" t="n"/>
      <c r="G247" s="13" t="inlineStr">
        <is>
          <t>Tamil Guardian</t>
        </is>
      </c>
      <c r="H247" s="11" t="inlineStr">
        <is>
          <t>News</t>
        </is>
      </c>
      <c r="I247" s="11" t="inlineStr">
        <is>
          <t>English</t>
        </is>
      </c>
      <c r="J247" s="13" t="inlineStr">
        <is>
          <t>Archaeology / தொல்லியல்</t>
        </is>
      </c>
      <c r="K247" s="13" t="inlineStr">
        <is>
          <t>archaeological</t>
        </is>
      </c>
      <c r="L247" s="11" t="inlineStr">
        <is>
          <t>Yes</t>
        </is>
      </c>
      <c r="M247" s="13" t="inlineStr">
        <is>
          <t>Google News query: archaeology Vanni Tamil. Auto-collected 2026-10-14 (news); review.</t>
        </is>
      </c>
      <c r="N247" s="14" t="inlineStr">
        <is>
          <t>https://news.google.com/rss/articles/CBMilgFBVV95cUxPWjg3MzRjZlBYMTRYN2tEcGc5VXRTM25lZTlxYXl1RnhwLTdRQlRxYURPNE1oSGt0VFMxQ2pvNEg1LURmdF9rZ1NhZUNUU2lmSHIyMFpQTFU4cXAxTjZhN3Jsd2FhajVVdjN1dS1zUmptcFNJU0t1dlREZVRTbHAzV1JsTDM4dk9TLXQ2S0dIa3BBVzNnTnc?oc=5</t>
        </is>
      </c>
    </row>
    <row r="248">
      <c r="A248" s="7" t="inlineStr">
        <is>
          <t>ALL-0247</t>
        </is>
      </c>
      <c r="B248" s="7" t="inlineStr">
        <is>
          <t>Newspaper Articles</t>
        </is>
      </c>
      <c r="C248" s="8" t="inlineStr">
        <is>
          <t>2019</t>
        </is>
      </c>
      <c r="D248" s="7" t="inlineStr">
        <is>
          <t>2019-09-30</t>
        </is>
      </c>
      <c r="E248" s="9" t="inlineStr">
        <is>
          <t>Monument to Tamil king in disrepair as Sri Lanka’s archaeology department ignores destruction</t>
        </is>
      </c>
      <c r="F248" s="9" t="n"/>
      <c r="G248" s="9" t="inlineStr">
        <is>
          <t>Tamil Guardian</t>
        </is>
      </c>
      <c r="H248" s="7" t="inlineStr">
        <is>
          <t>News</t>
        </is>
      </c>
      <c r="I248" s="7" t="inlineStr">
        <is>
          <t>English</t>
        </is>
      </c>
      <c r="J248" s="9" t="inlineStr">
        <is>
          <t>Archaeology / தொல்லியல்</t>
        </is>
      </c>
      <c r="K248" s="9" t="inlineStr">
        <is>
          <t>archaeology</t>
        </is>
      </c>
      <c r="L248" s="7" t="inlineStr">
        <is>
          <t>Yes</t>
        </is>
      </c>
      <c r="M248" s="9" t="inlineStr">
        <is>
          <t>Google News query: archaeology Vanni Tamil. Auto-collected 2026-10-14 (news); review.</t>
        </is>
      </c>
      <c r="N248"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9">
      <c r="A249" s="11" t="inlineStr">
        <is>
          <t>ALL-0248</t>
        </is>
      </c>
      <c r="B249" s="11" t="inlineStr">
        <is>
          <t>Newspaper Articles</t>
        </is>
      </c>
      <c r="C249" s="12" t="inlineStr">
        <is>
          <t>2019</t>
        </is>
      </c>
      <c r="D249" s="11" t="inlineStr">
        <is>
          <t>2019-10-01</t>
        </is>
      </c>
      <c r="E249" s="13" t="inlineStr">
        <is>
          <t>பல ஆண்டுகளுக்குப் பின் தம்பலகாமத்தில் கண்டுபிடிக்கப்பட்ட அரிய தமிழ்க்கல்வெட்டு</t>
        </is>
      </c>
      <c r="F249" s="13" t="n"/>
      <c r="G249" s="13" t="inlineStr">
        <is>
          <t>Virakesari</t>
        </is>
      </c>
      <c r="H249" s="11" t="inlineStr">
        <is>
          <t>News</t>
        </is>
      </c>
      <c r="I249" s="11" t="inlineStr">
        <is>
          <t>Tamil</t>
        </is>
      </c>
      <c r="J249" s="13" t="inlineStr">
        <is>
          <t>Inscriptions / கல்வெட்டு</t>
        </is>
      </c>
      <c r="K249" s="13" t="inlineStr">
        <is>
          <t>கல்வெட்டு</t>
        </is>
      </c>
      <c r="L249" s="11" t="inlineStr">
        <is>
          <t>Yes</t>
        </is>
      </c>
      <c r="M249" s="13" t="inlineStr">
        <is>
          <t>Google News query: கல்வெட்டு இலங்கை. Auto-collected 2026-10-14 (news); review.</t>
        </is>
      </c>
      <c r="N249" s="14" t="inlineStr">
        <is>
          <t>https://news.google.com/rss/articles/CBMiUEFVX3lxTFBoclkwMTRjdmdKLWZ2aVE4Tk5VNUd5VlAyeVM4WG5EVHBNUFFfT2lwTkVweC1qLTJNODhBRE1wdUcxdVpvU3NVXzJFeGFKMXFp?oc=5</t>
        </is>
      </c>
    </row>
    <row r="250">
      <c r="A250" s="7" t="inlineStr">
        <is>
          <t>ALL-0249</t>
        </is>
      </c>
      <c r="B250" s="7" t="inlineStr">
        <is>
          <t>Newspaper Articles</t>
        </is>
      </c>
      <c r="C250" s="8" t="inlineStr">
        <is>
          <t>2018</t>
        </is>
      </c>
      <c r="D250" s="7" t="inlineStr">
        <is>
          <t>2018-02-11</t>
        </is>
      </c>
      <c r="E250" s="9" t="inlineStr">
        <is>
          <t>Head to the East for a feast of archaeological sites</t>
        </is>
      </c>
      <c r="F250" s="9" t="n"/>
      <c r="G250" s="9" t="inlineStr">
        <is>
          <t>Sunday Times (Sri Lanka)</t>
        </is>
      </c>
      <c r="H250" s="7" t="inlineStr">
        <is>
          <t>Feature</t>
        </is>
      </c>
      <c r="I250" s="7" t="inlineStr">
        <is>
          <t>English</t>
        </is>
      </c>
      <c r="J250" s="9" t="inlineStr">
        <is>
          <t>Archaeology / தொல்லியல்</t>
        </is>
      </c>
      <c r="K250" s="9" t="inlineStr">
        <is>
          <t>archaeology; Eastern Province</t>
        </is>
      </c>
      <c r="L250" s="7" t="inlineStr">
        <is>
          <t>Yes</t>
        </is>
      </c>
      <c r="M250" s="9" t="n"/>
      <c r="N250" s="10" t="inlineStr">
        <is>
          <t>https://www.sundaytimes.lk/180211/plus/head-to-the-east-for-a-feast-of-archaeological-sites-281129.html</t>
        </is>
      </c>
    </row>
    <row r="251">
      <c r="A251" s="11" t="inlineStr">
        <is>
          <t>ALL-0250</t>
        </is>
      </c>
      <c r="B251" s="11" t="inlineStr">
        <is>
          <t>Newspaper Articles</t>
        </is>
      </c>
      <c r="C251" s="12" t="inlineStr">
        <is>
          <t>2018</t>
        </is>
      </c>
      <c r="D251" s="11" t="inlineStr">
        <is>
          <t>2018-08-16</t>
        </is>
      </c>
      <c r="E251" s="13" t="inlineStr">
        <is>
          <t>New Delhi with ‘cultural presence’ not concerned about Chinese ‘heritage archaeology’ in Kayts</t>
        </is>
      </c>
      <c r="F251" s="13" t="n"/>
      <c r="G251" s="13" t="inlineStr">
        <is>
          <t>TamilNet</t>
        </is>
      </c>
      <c r="H251" s="11" t="inlineStr">
        <is>
          <t>News</t>
        </is>
      </c>
      <c r="I251" s="11" t="inlineStr">
        <is>
          <t>English</t>
        </is>
      </c>
      <c r="J251" s="13" t="inlineStr">
        <is>
          <t>Archaeology / தொல்லியல்</t>
        </is>
      </c>
      <c r="K251" s="13" t="inlineStr">
        <is>
          <t>archaeology</t>
        </is>
      </c>
      <c r="L251" s="11" t="inlineStr">
        <is>
          <t>Yes</t>
        </is>
      </c>
      <c r="M251" s="13" t="inlineStr">
        <is>
          <t>Google News query: archaeology Jaffna. Auto-collected 2026-10-14 (news); review.</t>
        </is>
      </c>
      <c r="N251" s="14" t="inlineStr">
        <is>
          <t>https://news.google.com/rss/articles/CBMiZEFVX3lxTE1OS2ZQSnVTU3JtZVR3Umthby1VWWZYdU1yakJCUExKQ0IzVG56Vm1JRDZDWkF2YV9waVZzWnowWWtkbjFxSWJMVlVSN01SRUtXeTdjNl9YQ0NlZloxUzU0N1ljeVQ?oc=5</t>
        </is>
      </c>
    </row>
    <row r="252">
      <c r="A252" s="7" t="inlineStr">
        <is>
          <t>ALL-0251</t>
        </is>
      </c>
      <c r="B252" s="7" t="inlineStr">
        <is>
          <t>Newspaper Articles</t>
        </is>
      </c>
      <c r="C252" s="8" t="inlineStr">
        <is>
          <t>2018</t>
        </is>
      </c>
      <c r="D252" s="7" t="inlineStr">
        <is>
          <t>2018-09-15</t>
        </is>
      </c>
      <c r="E252" s="9" t="inlineStr">
        <is>
          <t>China and Sri Lanka unite in Maritime Silk Road archaeological research</t>
        </is>
      </c>
      <c r="F252" s="9" t="n"/>
      <c r="G252" s="9" t="inlineStr">
        <is>
          <t>CGTN</t>
        </is>
      </c>
      <c r="H252" s="7" t="inlineStr">
        <is>
          <t>News</t>
        </is>
      </c>
      <c r="I252" s="7" t="inlineStr">
        <is>
          <t>English</t>
        </is>
      </c>
      <c r="J252" s="9" t="inlineStr">
        <is>
          <t>Archaeology / தொல்லியல்</t>
        </is>
      </c>
      <c r="K252" s="9" t="inlineStr">
        <is>
          <t>archaeological</t>
        </is>
      </c>
      <c r="L252" s="7" t="inlineStr">
        <is>
          <t>Yes</t>
        </is>
      </c>
      <c r="M252" s="9" t="inlineStr">
        <is>
          <t>Google News query: archaeology Jaffna. Auto-collected 2026-10-14 (news); review.</t>
        </is>
      </c>
      <c r="N252"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3">
      <c r="A253" s="11" t="inlineStr">
        <is>
          <t>ALL-0252</t>
        </is>
      </c>
      <c r="B253" s="11" t="inlineStr">
        <is>
          <t>Newspaper Articles</t>
        </is>
      </c>
      <c r="C253" s="12" t="inlineStr">
        <is>
          <t>2017</t>
        </is>
      </c>
      <c r="D253" s="11" t="inlineStr">
        <is>
          <t>2017-01-04</t>
        </is>
      </c>
      <c r="E253" s="13" t="inlineStr">
        <is>
          <t>Standing the test of time</t>
        </is>
      </c>
      <c r="F253" s="13" t="n"/>
      <c r="G253" s="13" t="inlineStr">
        <is>
          <t>Daily News (Sri Lanka)</t>
        </is>
      </c>
      <c r="H253" s="11" t="inlineStr">
        <is>
          <t>Feature</t>
        </is>
      </c>
      <c r="I253" s="11" t="inlineStr">
        <is>
          <t>English</t>
        </is>
      </c>
      <c r="J253" s="13" t="inlineStr">
        <is>
          <t>Archaeology / தொல்லியல்</t>
        </is>
      </c>
      <c r="K253" s="13" t="inlineStr">
        <is>
          <t>archaeology</t>
        </is>
      </c>
      <c r="L253" s="11" t="inlineStr">
        <is>
          <t>Yes</t>
        </is>
      </c>
      <c r="M253" s="13" t="inlineStr">
        <is>
          <t>Relevance to verify</t>
        </is>
      </c>
      <c r="N253" s="14" t="inlineStr">
        <is>
          <t>https://archives1.dailynews.lk/2017/01/04/features/103659</t>
        </is>
      </c>
    </row>
    <row r="254">
      <c r="A254" s="7" t="inlineStr">
        <is>
          <t>ALL-0253</t>
        </is>
      </c>
      <c r="B254" s="7" t="inlineStr">
        <is>
          <t>Newspaper Articles</t>
        </is>
      </c>
      <c r="C254" s="8" t="inlineStr">
        <is>
          <t>2017</t>
        </is>
      </c>
      <c r="D254" s="7" t="inlineStr">
        <is>
          <t>2017-04-04</t>
        </is>
      </c>
      <c r="E254" s="9" t="inlineStr">
        <is>
          <t>THE MYSTERIOUS ROCK ART OF KURULLANGALA</t>
        </is>
      </c>
      <c r="F254" s="9" t="n"/>
      <c r="G254" s="9" t="inlineStr">
        <is>
          <t>LankaWeb</t>
        </is>
      </c>
      <c r="H254" s="7" t="inlineStr">
        <is>
          <t>News</t>
        </is>
      </c>
      <c r="I254" s="7" t="inlineStr">
        <is>
          <t>English</t>
        </is>
      </c>
      <c r="J254" s="9" t="inlineStr">
        <is>
          <t>Rock art / பாறை ஓவியம்</t>
        </is>
      </c>
      <c r="K254" s="9" t="inlineStr">
        <is>
          <t>rock art</t>
        </is>
      </c>
      <c r="L254" s="7" t="inlineStr">
        <is>
          <t>Yes</t>
        </is>
      </c>
      <c r="M254" s="9" t="inlineStr">
        <is>
          <t>Google News query: rock art Sri Lanka. Auto-collected 2026-10-14 (news); review.</t>
        </is>
      </c>
      <c r="N254" s="10" t="inlineStr">
        <is>
          <t>https://news.google.com/rss/articles/CBMikAFBVV95cUxPeW9TMnRlc2tJVDlFRGFFemhzNjliSS1QWThBc3dZYy1mQlhNVU9YUS1aOTE0VGRsV3NkRGl6d0FpY3M3UmdoX0tUaDJNV0I2eHpNalgxT0ZRNkZNeVNzbVZTcllQa2RWUmpjbWxhRjhhSWMxS29Wb0hOV19zXzgtc2N3N0M0RTE1OWkzMncwZHk?oc=5</t>
        </is>
      </c>
    </row>
    <row r="255">
      <c r="A255" s="11" t="inlineStr">
        <is>
          <t>ALL-0254</t>
        </is>
      </c>
      <c r="B255" s="11" t="inlineStr">
        <is>
          <t>Newspaper Articles</t>
        </is>
      </c>
      <c r="C255" s="12" t="inlineStr">
        <is>
          <t>2017</t>
        </is>
      </c>
      <c r="D255" s="11" t="inlineStr">
        <is>
          <t>2017-12-20</t>
        </is>
      </c>
      <c r="E255" s="13" t="inlineStr">
        <is>
          <t>Sri Lankan troops in Jaffna lectured on ‘archaeology’</t>
        </is>
      </c>
      <c r="F255" s="13" t="n"/>
      <c r="G255" s="13" t="inlineStr">
        <is>
          <t>Tamil Guardian</t>
        </is>
      </c>
      <c r="H255" s="11" t="inlineStr">
        <is>
          <t>News</t>
        </is>
      </c>
      <c r="I255" s="11" t="inlineStr">
        <is>
          <t>English</t>
        </is>
      </c>
      <c r="J255" s="13" t="inlineStr">
        <is>
          <t>Archaeology / தொல்லியல்</t>
        </is>
      </c>
      <c r="K255" s="13" t="inlineStr">
        <is>
          <t>archaeology</t>
        </is>
      </c>
      <c r="L255" s="11" t="inlineStr">
        <is>
          <t>Yes</t>
        </is>
      </c>
      <c r="M255" s="13" t="inlineStr">
        <is>
          <t>Google News query: archaeology Jaffna. Auto-collected 2026-10-14 (news); review.</t>
        </is>
      </c>
      <c r="N255" s="14" t="inlineStr">
        <is>
          <t>https://news.google.com/rss/articles/CBMiiwFBVV95cUxPcWJrT2RRWFB4dzZmS1RJY0FoOFZoQzY1ZWJsM0kzZGc4ZlNtZDZIVzBFYVdxdlZsbXNVeF9xOGJqLWh3d0xCNnIxRm5TV2d5RFN0QWJ1ZFJCazdrM1hlVmRXNHBub0pCdHd6Wk1LcTFnY3dydi1xd0J0dUxUNThpZVdnTjJGOUZHVXhF?oc=5</t>
        </is>
      </c>
    </row>
    <row r="256">
      <c r="A256" s="7" t="inlineStr">
        <is>
          <t>ALL-0255</t>
        </is>
      </c>
      <c r="B256" s="7" t="inlineStr">
        <is>
          <t>Newspaper Articles</t>
        </is>
      </c>
      <c r="C256" s="8" t="inlineStr">
        <is>
          <t>2015</t>
        </is>
      </c>
      <c r="D256" s="7" t="inlineStr">
        <is>
          <t>2015-01-25</t>
        </is>
      </c>
      <c r="E256" s="9" t="inlineStr">
        <is>
          <t>Sri Lanka sparks revolution in South Asian history and archaeology</t>
        </is>
      </c>
      <c r="F256" s="9" t="n"/>
      <c r="G256" s="9" t="inlineStr">
        <is>
          <t>The Sunday Times, Sri Lanka</t>
        </is>
      </c>
      <c r="H256" s="7" t="inlineStr">
        <is>
          <t>News</t>
        </is>
      </c>
      <c r="I256" s="7" t="inlineStr">
        <is>
          <t>English</t>
        </is>
      </c>
      <c r="J256" s="9" t="inlineStr">
        <is>
          <t>Archaeology / தொல்லியல்</t>
        </is>
      </c>
      <c r="K256" s="9" t="inlineStr">
        <is>
          <t>archaeology</t>
        </is>
      </c>
      <c r="L256" s="7" t="inlineStr">
        <is>
          <t>Yes</t>
        </is>
      </c>
      <c r="M256" s="9" t="inlineStr">
        <is>
          <t>Google News query: Tamil Brahmi Sri Lanka. Auto-collected 2026-10-14 (news); review.</t>
        </is>
      </c>
      <c r="N256"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7">
      <c r="A257" s="11" t="inlineStr">
        <is>
          <t>ALL-0256</t>
        </is>
      </c>
      <c r="B257" s="11" t="inlineStr">
        <is>
          <t>Newspaper Articles</t>
        </is>
      </c>
      <c r="C257" s="12" t="inlineStr">
        <is>
          <t>2015</t>
        </is>
      </c>
      <c r="D257" s="11" t="inlineStr">
        <is>
          <t>2015-11-04</t>
        </is>
      </c>
      <c r="E257" s="13" t="inlineStr">
        <is>
          <t>News - Conservators Are Repairing Sri Lanka’s Jaffna Fort</t>
        </is>
      </c>
      <c r="F257" s="13" t="n"/>
      <c r="G257" s="13" t="inlineStr">
        <is>
          <t>Archaeology Magazine</t>
        </is>
      </c>
      <c r="H257" s="11" t="inlineStr">
        <is>
          <t>News</t>
        </is>
      </c>
      <c r="I257" s="11" t="inlineStr">
        <is>
          <t>English</t>
        </is>
      </c>
      <c r="J257" s="13" t="n"/>
      <c r="K257" s="13" t="n"/>
      <c r="L257" s="11" t="inlineStr">
        <is>
          <t>Yes</t>
        </is>
      </c>
      <c r="M257" s="13" t="inlineStr">
        <is>
          <t>Google News query: archaeology Jaffna. Auto-collected 2026-10-14 (news); review.</t>
        </is>
      </c>
      <c r="N257" s="14" t="inlineStr">
        <is>
          <t>https://news.google.com/rss/articles/CBMieEFVX3lxTE5TcGhpVmtSaXNJN2oxOUhuNGtFekE0VDRBZWpZcXBmYXpPalRtNnM3X25wYVJ4T3h0TUN3VDJIWVhJZmdDQmUyNk9DNVV4bFV2TjZ1Q2JxZlZ3Q0JQNTctdlE1SjhlWGNoTUJGRndhSXNoZXcwN0cwdg?oc=5</t>
        </is>
      </c>
    </row>
    <row r="258">
      <c r="A258" s="7" t="inlineStr">
        <is>
          <t>ALL-0257</t>
        </is>
      </c>
      <c r="B258" s="7" t="inlineStr">
        <is>
          <t>Newspaper Articles</t>
        </is>
      </c>
      <c r="C258" s="8" t="inlineStr">
        <is>
          <t>2014</t>
        </is>
      </c>
      <c r="D258" s="7" t="inlineStr">
        <is>
          <t>2014-06-06</t>
        </is>
      </c>
      <c r="E258" s="9" t="inlineStr">
        <is>
          <t>06.06.14 SL Army conducts ‘archaeology’, The Hindu relays ‘history’</t>
        </is>
      </c>
      <c r="F258" s="9" t="n"/>
      <c r="G258" s="9" t="inlineStr">
        <is>
          <t>TamilNet</t>
        </is>
      </c>
      <c r="H258" s="7" t="inlineStr">
        <is>
          <t>News</t>
        </is>
      </c>
      <c r="I258" s="7" t="inlineStr">
        <is>
          <t>English</t>
        </is>
      </c>
      <c r="J258" s="9" t="inlineStr">
        <is>
          <t>Archaeology / தொல்லியல்</t>
        </is>
      </c>
      <c r="K258" s="9" t="inlineStr">
        <is>
          <t>archaeology</t>
        </is>
      </c>
      <c r="L258" s="7" t="inlineStr">
        <is>
          <t>Yes</t>
        </is>
      </c>
      <c r="M258" s="9" t="inlineStr">
        <is>
          <t>Google News query: archaeology Jaffna. Auto-collected 2026-10-14 (news); review.</t>
        </is>
      </c>
      <c r="N258" s="10" t="inlineStr">
        <is>
          <t>https://news.google.com/rss/articles/CBMiZEFVX3lxTE1LRUlucXZoVEVIaGlNTU1tN3BjNmpYdGQ3eVhfeTJVb1JMTGhWMndLQVhWTl9VOUZrSm92Z3NFak5OQ05rdGdLLTN2SFNaR0tkT21zVHV0NTdncGN2QmVyT1YyVnA?oc=5</t>
        </is>
      </c>
    </row>
    <row r="259">
      <c r="A259" s="11" t="inlineStr">
        <is>
          <t>ALL-0258</t>
        </is>
      </c>
      <c r="B259" s="11" t="inlineStr">
        <is>
          <t>Newspaper Articles</t>
        </is>
      </c>
      <c r="C259" s="12" t="inlineStr">
        <is>
          <t>2014</t>
        </is>
      </c>
      <c r="D259" s="11" t="inlineStr">
        <is>
          <t>2014-09-21</t>
        </is>
      </c>
      <c r="E259" s="13" t="inlineStr">
        <is>
          <t>A visit marked in stone</t>
        </is>
      </c>
      <c r="F259" s="13" t="inlineStr">
        <is>
          <t>Vinusha Paulraj, Purnima Pilapitiya</t>
        </is>
      </c>
      <c r="G259" s="13" t="inlineStr">
        <is>
          <t>Sunday Times (Sri Lanka)</t>
        </is>
      </c>
      <c r="H259" s="11" t="inlineStr">
        <is>
          <t>Feature</t>
        </is>
      </c>
      <c r="I259" s="11" t="inlineStr">
        <is>
          <t>English</t>
        </is>
      </c>
      <c r="J259" s="13" t="inlineStr">
        <is>
          <t>Inscriptions / கல்வெட்டு</t>
        </is>
      </c>
      <c r="K259" s="13" t="inlineStr">
        <is>
          <t>Galle trilingual inscription; Tamil</t>
        </is>
      </c>
      <c r="L259" s="11" t="inlineStr">
        <is>
          <t>Yes</t>
        </is>
      </c>
      <c r="M259" s="13" t="n"/>
      <c r="N259" s="14" t="inlineStr">
        <is>
          <t>https://www.sundaytimes.lk/140921/plus/a-visit-marked-in-stone-118621.html</t>
        </is>
      </c>
    </row>
    <row r="260">
      <c r="A260" s="7" t="inlineStr">
        <is>
          <t>ALL-0259</t>
        </is>
      </c>
      <c r="B260" s="7" t="inlineStr">
        <is>
          <t>Newspaper Articles</t>
        </is>
      </c>
      <c r="C260" s="8" t="inlineStr">
        <is>
          <t>2013</t>
        </is>
      </c>
      <c r="D260" s="7" t="inlineStr">
        <is>
          <t>2013-03-10</t>
        </is>
      </c>
      <c r="E260" s="9" t="inlineStr">
        <is>
          <t>(Rock painting feature)</t>
        </is>
      </c>
      <c r="F260" s="9" t="n"/>
      <c r="G260" s="9" t="inlineStr">
        <is>
          <t>Sunday Observer</t>
        </is>
      </c>
      <c r="H260" s="7" t="inlineStr">
        <is>
          <t>Feature</t>
        </is>
      </c>
      <c r="I260" s="7" t="inlineStr">
        <is>
          <t>English</t>
        </is>
      </c>
      <c r="J260" s="9" t="inlineStr">
        <is>
          <t>Rock art / பாறை ஓவியம்</t>
        </is>
      </c>
      <c r="K260" s="9" t="inlineStr">
        <is>
          <t>rock paintings</t>
        </is>
      </c>
      <c r="L260" s="7" t="inlineStr">
        <is>
          <t>Yes</t>
        </is>
      </c>
      <c r="M260" s="9" t="inlineStr">
        <is>
          <t>Title to verify</t>
        </is>
      </c>
      <c r="N260" s="10" t="inlineStr">
        <is>
          <t>https://archives.sundayobserver.lk/2013/03/10/mon13.asp</t>
        </is>
      </c>
    </row>
    <row r="261">
      <c r="A261" s="11" t="inlineStr">
        <is>
          <t>ALL-0260</t>
        </is>
      </c>
      <c r="B261" s="11" t="inlineStr">
        <is>
          <t>Newspaper Articles</t>
        </is>
      </c>
      <c r="C261" s="12" t="inlineStr">
        <is>
          <t>2013</t>
        </is>
      </c>
      <c r="D261" s="11" t="inlineStr">
        <is>
          <t>2013-07-27</t>
        </is>
      </c>
      <c r="E261" s="13" t="inlineStr">
        <is>
          <t>Sinhala archaeology focuses operation in North-East corridor</t>
        </is>
      </c>
      <c r="F261" s="13" t="n"/>
      <c r="G261" s="13" t="inlineStr">
        <is>
          <t>TamilNet</t>
        </is>
      </c>
      <c r="H261" s="11" t="inlineStr">
        <is>
          <t>News</t>
        </is>
      </c>
      <c r="I261" s="11" t="inlineStr">
        <is>
          <t>English</t>
        </is>
      </c>
      <c r="J261" s="13" t="inlineStr">
        <is>
          <t>Archaeology / தொல்லியல்</t>
        </is>
      </c>
      <c r="K261" s="13" t="inlineStr">
        <is>
          <t>archaeology; North-East</t>
        </is>
      </c>
      <c r="L261" s="11" t="inlineStr">
        <is>
          <t>Yes</t>
        </is>
      </c>
      <c r="M261" s="13" t="n"/>
      <c r="N261" s="14" t="inlineStr">
        <is>
          <t>https://www.tamilnet.com/art.html?artid=36503&amp;catid=79</t>
        </is>
      </c>
    </row>
    <row r="262">
      <c r="A262" s="7" t="inlineStr">
        <is>
          <t>ALL-0261</t>
        </is>
      </c>
      <c r="B262" s="7" t="inlineStr">
        <is>
          <t>Newspaper Articles</t>
        </is>
      </c>
      <c r="C262" s="8" t="inlineStr">
        <is>
          <t>2013</t>
        </is>
      </c>
      <c r="D262" s="7" t="inlineStr">
        <is>
          <t>2013-08-14</t>
        </is>
      </c>
      <c r="E262" s="9" t="inlineStr">
        <is>
          <t>14.08.13 Archaeological Report on Maanthai comes after 29 years</t>
        </is>
      </c>
      <c r="F262" s="9" t="n"/>
      <c r="G262" s="9" t="inlineStr">
        <is>
          <t>TamilNet</t>
        </is>
      </c>
      <c r="H262" s="7" t="inlineStr">
        <is>
          <t>News</t>
        </is>
      </c>
      <c r="I262" s="7" t="inlineStr">
        <is>
          <t>English</t>
        </is>
      </c>
      <c r="J262" s="9" t="inlineStr">
        <is>
          <t>Archaeology / தொல்லியல்</t>
        </is>
      </c>
      <c r="K262" s="9" t="inlineStr">
        <is>
          <t>archaeological</t>
        </is>
      </c>
      <c r="L262" s="7" t="inlineStr">
        <is>
          <t>Yes</t>
        </is>
      </c>
      <c r="M262" s="9" t="inlineStr">
        <is>
          <t>Google News query: archaeology Jaffna. Auto-collected 2026-10-14 (news); review.</t>
        </is>
      </c>
      <c r="N262" s="10" t="inlineStr">
        <is>
          <t>https://news.google.com/rss/articles/CBMiZEFVX3lxTE5jQ1A4N2xSZGt2TjUzUVloVVFHNXpYUFR2UkU4OFZpbDd2Y0lTOUJTa2plMHNPTWt5b3FrV1Q0WEhCRnFQdXBKVGFDZGQ2T0psNmJUUkF5UzY3MDJYOXlGYkdqTGM?oc=5</t>
        </is>
      </c>
    </row>
    <row r="263">
      <c r="A263" s="11" t="inlineStr">
        <is>
          <t>ALL-0262</t>
        </is>
      </c>
      <c r="B263" s="11" t="inlineStr">
        <is>
          <t>Newspaper Articles</t>
        </is>
      </c>
      <c r="C263" s="12" t="inlineStr">
        <is>
          <t>2013</t>
        </is>
      </c>
      <c r="D263" s="11" t="inlineStr">
        <is>
          <t>2013-09-13</t>
        </is>
      </c>
      <c r="E263" s="13" t="inlineStr">
        <is>
          <t>13.09.13 Sri Lanka archaeology claims finding ‘Sinhala Prakrit’ in Delft</t>
        </is>
      </c>
      <c r="F263" s="13" t="n"/>
      <c r="G263" s="13" t="inlineStr">
        <is>
          <t>TamilNet</t>
        </is>
      </c>
      <c r="H263" s="11" t="inlineStr">
        <is>
          <t>News</t>
        </is>
      </c>
      <c r="I263" s="11" t="inlineStr">
        <is>
          <t>English</t>
        </is>
      </c>
      <c r="J263" s="13" t="inlineStr">
        <is>
          <t>Archaeology / தொல்லியல்</t>
        </is>
      </c>
      <c r="K263" s="13" t="inlineStr">
        <is>
          <t>archaeology</t>
        </is>
      </c>
      <c r="L263" s="11" t="inlineStr">
        <is>
          <t>Yes</t>
        </is>
      </c>
      <c r="M263" s="13" t="inlineStr">
        <is>
          <t>Google News query: Tamil inscription Sri Lanka. Auto-collected 2026-10-14 (news); review.</t>
        </is>
      </c>
      <c r="N263" s="14" t="inlineStr">
        <is>
          <t>https://news.google.com/rss/articles/CBMiZEFVX3lxTE9kekJTQWdVczhfMzVmbF9ETVpFUHFGbEw2Mk5LR2JoSXFEelNqZEE5TmJ2VkhubTZJcnJKeE1MLUNTeTdGZFkwbkJQU3dwLTBRSkluenBvbnJraDk3cHN3aER3SW8?oc=5</t>
        </is>
      </c>
    </row>
    <row r="264">
      <c r="A264" s="7" t="inlineStr">
        <is>
          <t>ALL-0263</t>
        </is>
      </c>
      <c r="B264" s="7" t="inlineStr">
        <is>
          <t>Newspaper Articles</t>
        </is>
      </c>
      <c r="C264" s="8" t="inlineStr">
        <is>
          <t>2012</t>
        </is>
      </c>
      <c r="D264" s="7" t="inlineStr">
        <is>
          <t>2012-10-30</t>
        </is>
      </c>
      <c r="E264" s="9" t="inlineStr">
        <is>
          <t>Tamil went to Oman 20 centuries ago</t>
        </is>
      </c>
      <c r="F264" s="9" t="n"/>
      <c r="G264" s="9" t="inlineStr">
        <is>
          <t>TamilNet</t>
        </is>
      </c>
      <c r="H264" s="7" t="inlineStr">
        <is>
          <t>News</t>
        </is>
      </c>
      <c r="I264" s="7" t="inlineStr">
        <is>
          <t>English</t>
        </is>
      </c>
      <c r="J264" s="9" t="inlineStr">
        <is>
          <t>Brahmi / பிராமி</t>
        </is>
      </c>
      <c r="K264" s="9" t="inlineStr">
        <is>
          <t>Tamil Brahmi; overseas</t>
        </is>
      </c>
      <c r="L264" s="7" t="inlineStr">
        <is>
          <t>Yes</t>
        </is>
      </c>
      <c r="M264" s="9" t="n"/>
      <c r="N264" s="10" t="inlineStr">
        <is>
          <t>https://tamilnet.com/art.html?artid=35707&amp;catid=79</t>
        </is>
      </c>
    </row>
    <row r="265">
      <c r="A265" s="11" t="inlineStr">
        <is>
          <t>ALL-0264</t>
        </is>
      </c>
      <c r="B265" s="11" t="inlineStr">
        <is>
          <t>Newspaper Articles</t>
        </is>
      </c>
      <c r="C265" s="12" t="inlineStr">
        <is>
          <t>2011</t>
        </is>
      </c>
      <c r="D265" s="11" t="n"/>
      <c r="E265" s="13" t="inlineStr">
        <is>
          <t>Would the heritage monuments which characterize our culture be considered during road development?</t>
        </is>
      </c>
      <c r="F265" s="13" t="inlineStr">
        <is>
          <t>S. Sajitharan</t>
        </is>
      </c>
      <c r="G265" s="13" t="inlineStr">
        <is>
          <t>Sunday Yarl Thinakkural</t>
        </is>
      </c>
      <c r="H265" s="11" t="inlineStr">
        <is>
          <t>Feature</t>
        </is>
      </c>
      <c r="I265" s="11" t="inlineStr">
        <is>
          <t>Tamil</t>
        </is>
      </c>
      <c r="J265" s="13" t="inlineStr">
        <is>
          <t>Archaeology / தொல்லியல்</t>
        </is>
      </c>
      <c r="K265" s="13" t="inlineStr">
        <is>
          <t>heritage; monuments</t>
        </is>
      </c>
      <c r="L265" s="11" t="inlineStr">
        <is>
          <t>Yes</t>
        </is>
      </c>
      <c r="M265" s="13" t="n"/>
      <c r="N265" s="14" t="inlineStr">
        <is>
          <t>https://www.his.jfn.ac.lk/?p=791</t>
        </is>
      </c>
    </row>
    <row r="266">
      <c r="A266" s="7" t="inlineStr">
        <is>
          <t>ALL-0265</t>
        </is>
      </c>
      <c r="B266" s="7" t="inlineStr">
        <is>
          <t>Newspaper Articles</t>
        </is>
      </c>
      <c r="C266" s="8" t="inlineStr">
        <is>
          <t>2011</t>
        </is>
      </c>
      <c r="D266" s="7" t="inlineStr">
        <is>
          <t>2011-02-15</t>
        </is>
      </c>
      <c r="E266" s="9" t="inlineStr">
        <is>
          <t>அழிந்த சிவன் கோயிலின் எச்சங்கள்</t>
        </is>
      </c>
      <c r="F266" s="9" t="n"/>
      <c r="G266" s="9" t="inlineStr">
        <is>
          <t>Thinakaran</t>
        </is>
      </c>
      <c r="H266" s="7" t="inlineStr">
        <is>
          <t>Feature</t>
        </is>
      </c>
      <c r="I266" s="7" t="inlineStr">
        <is>
          <t>Tamil</t>
        </is>
      </c>
      <c r="J266" s="9" t="inlineStr">
        <is>
          <t>Archaeology / தொல்லியல்</t>
        </is>
      </c>
      <c r="K266" s="9" t="inlineStr">
        <is>
          <t>தொல்லியல்; temple ruins</t>
        </is>
      </c>
      <c r="L266" s="7" t="inlineStr">
        <is>
          <t>Yes</t>
        </is>
      </c>
      <c r="M266" s="9" t="n"/>
      <c r="N266" s="10" t="inlineStr">
        <is>
          <t>https://archives.thinakaran.lk/2011/02/15/?fn=i1102155&amp;p=1</t>
        </is>
      </c>
    </row>
    <row r="267">
      <c r="A267" s="11" t="inlineStr">
        <is>
          <t>ALL-0266</t>
        </is>
      </c>
      <c r="B267" s="11" t="inlineStr">
        <is>
          <t>Newspaper Articles</t>
        </is>
      </c>
      <c r="C267" s="12" t="inlineStr">
        <is>
          <t>2010</t>
        </is>
      </c>
      <c r="D267" s="11" t="inlineStr">
        <is>
          <t>2010-06-27</t>
        </is>
      </c>
      <c r="E267" s="13" t="inlineStr">
        <is>
          <t>Tamil Brahmi inscription found in Tissamaharama</t>
        </is>
      </c>
      <c r="F267" s="13" t="n"/>
      <c r="G267" s="13" t="inlineStr">
        <is>
          <t>TamilNet</t>
        </is>
      </c>
      <c r="H267" s="11" t="inlineStr">
        <is>
          <t>News</t>
        </is>
      </c>
      <c r="I267" s="11" t="inlineStr">
        <is>
          <t>English</t>
        </is>
      </c>
      <c r="J267" s="13" t="inlineStr">
        <is>
          <t>Inscriptions / கல்வெட்டு; Brahmi / பிராமி</t>
        </is>
      </c>
      <c r="K267" s="13" t="inlineStr">
        <is>
          <t>Tamil Brahmi; Tissamaharama</t>
        </is>
      </c>
      <c r="L267" s="11" t="inlineStr">
        <is>
          <t>Yes</t>
        </is>
      </c>
      <c r="M267" s="13" t="n"/>
      <c r="N267" s="14" t="inlineStr">
        <is>
          <t>https://tamilnet.com/art.html?artid=32063&amp;catid=79</t>
        </is>
      </c>
    </row>
    <row r="268">
      <c r="A268" s="7" t="inlineStr">
        <is>
          <t>ALL-0267</t>
        </is>
      </c>
      <c r="B268" s="7" t="inlineStr">
        <is>
          <t>Newspaper Articles</t>
        </is>
      </c>
      <c r="C268" s="8" t="inlineStr">
        <is>
          <t>2010</t>
        </is>
      </c>
      <c r="D268" s="7" t="inlineStr">
        <is>
          <t>2010-07-28</t>
        </is>
      </c>
      <c r="E268" s="9" t="inlineStr">
        <is>
          <t>Tissamaharama potsherd evidences ordinary early Tamils among population</t>
        </is>
      </c>
      <c r="F268" s="9" t="n"/>
      <c r="G268" s="9" t="inlineStr">
        <is>
          <t>TamilNet</t>
        </is>
      </c>
      <c r="H268" s="7" t="inlineStr">
        <is>
          <t>News</t>
        </is>
      </c>
      <c r="I268" s="7" t="inlineStr">
        <is>
          <t>English</t>
        </is>
      </c>
      <c r="J268" s="9" t="inlineStr">
        <is>
          <t>Brahmi / பிராமி</t>
        </is>
      </c>
      <c r="K268" s="9" t="inlineStr">
        <is>
          <t>Tamil Brahmi; potsherd</t>
        </is>
      </c>
      <c r="L268" s="7" t="inlineStr">
        <is>
          <t>Yes</t>
        </is>
      </c>
      <c r="M268" s="9" t="n"/>
      <c r="N268" s="10" t="inlineStr">
        <is>
          <t>https://www.tamilnet.com/art.html?artid=32303&amp;catid=79</t>
        </is>
      </c>
    </row>
    <row r="269">
      <c r="A269" s="11" t="inlineStr">
        <is>
          <t>ALL-0268</t>
        </is>
      </c>
      <c r="B269" s="11" t="inlineStr">
        <is>
          <t>Newspaper Articles</t>
        </is>
      </c>
      <c r="C269" s="12" t="inlineStr">
        <is>
          <t>2010</t>
        </is>
      </c>
      <c r="D269" s="11" t="inlineStr">
        <is>
          <t>2010-09-08</t>
        </is>
      </c>
      <c r="E269" s="13" t="inlineStr">
        <is>
          <t>08.09.10 SL Army, Archaeology dept appropriate lands of uprooted Tamils in Maathakal</t>
        </is>
      </c>
      <c r="F269" s="13" t="n"/>
      <c r="G269" s="13" t="inlineStr">
        <is>
          <t>TamilNet</t>
        </is>
      </c>
      <c r="H269" s="11" t="inlineStr">
        <is>
          <t>News</t>
        </is>
      </c>
      <c r="I269" s="11" t="inlineStr">
        <is>
          <t>English</t>
        </is>
      </c>
      <c r="J269" s="13" t="inlineStr">
        <is>
          <t>Archaeology / தொல்லியல்</t>
        </is>
      </c>
      <c r="K269" s="13" t="inlineStr">
        <is>
          <t>archaeology</t>
        </is>
      </c>
      <c r="L269" s="11" t="inlineStr">
        <is>
          <t>Yes</t>
        </is>
      </c>
      <c r="M269" s="13" t="inlineStr">
        <is>
          <t>Google News query: archaeology Jaffna. Auto-collected 2026-10-14 (news); review.</t>
        </is>
      </c>
      <c r="N269" s="14" t="inlineStr">
        <is>
          <t>https://news.google.com/rss/articles/CBMiZEFVX3lxTFBENjVRODRyaWJQVnFWX19mQTFVTHlJcWZ3Si1fVFdPbHB0WDFZS19OVllKLTU2RGdqRHMyV3dBbVgzQjdSXzQtUW1hcGFMcXBIMTlVTHo2d0lFRVQzaVdDNzFlM0Y?oc=5</t>
        </is>
      </c>
    </row>
    <row r="270">
      <c r="A270" s="7" t="inlineStr">
        <is>
          <t>ALL-0269</t>
        </is>
      </c>
      <c r="B270" s="7" t="inlineStr">
        <is>
          <t>Newspaper Articles</t>
        </is>
      </c>
      <c r="C270" s="8" t="inlineStr">
        <is>
          <t>2010</t>
        </is>
      </c>
      <c r="D270" s="7" t="inlineStr">
        <is>
          <t>2010-10-21</t>
        </is>
      </c>
      <c r="E270" s="9" t="inlineStr">
        <is>
          <t>Tissamaharama Tamil Brahmi inscription missing</t>
        </is>
      </c>
      <c r="F270" s="9" t="n"/>
      <c r="G270" s="9" t="inlineStr">
        <is>
          <t>TamilNet</t>
        </is>
      </c>
      <c r="H270" s="7" t="inlineStr">
        <is>
          <t>News</t>
        </is>
      </c>
      <c r="I270" s="7" t="inlineStr">
        <is>
          <t>English</t>
        </is>
      </c>
      <c r="J270" s="9" t="inlineStr">
        <is>
          <t>Inscriptions / கல்வெட்டு; Brahmi / பிராமி</t>
        </is>
      </c>
      <c r="K270" s="9" t="inlineStr">
        <is>
          <t>Tamil Brahmi; Tissamaharama</t>
        </is>
      </c>
      <c r="L270" s="7" t="inlineStr">
        <is>
          <t>Yes</t>
        </is>
      </c>
      <c r="M270" s="9" t="n"/>
      <c r="N270" s="10" t="inlineStr">
        <is>
          <t>https://tamilnet.com/art.html?artid=32843&amp;catid=79</t>
        </is>
      </c>
    </row>
    <row r="271">
      <c r="A271" s="11" t="inlineStr">
        <is>
          <t>ALL-0270</t>
        </is>
      </c>
      <c r="B271" s="11" t="inlineStr">
        <is>
          <t>Newspaper Articles</t>
        </is>
      </c>
      <c r="C271" s="12" t="inlineStr">
        <is>
          <t>2010</t>
        </is>
      </c>
      <c r="D271" s="11" t="inlineStr">
        <is>
          <t>2010-10-23</t>
        </is>
      </c>
      <c r="E271" s="13" t="inlineStr">
        <is>
          <t>Millennium old Tamil inscription found in Trincomalee</t>
        </is>
      </c>
      <c r="F271" s="13" t="n"/>
      <c r="G271" s="13" t="inlineStr">
        <is>
          <t>TamilNet</t>
        </is>
      </c>
      <c r="H271" s="11" t="inlineStr">
        <is>
          <t>News</t>
        </is>
      </c>
      <c r="I271" s="11" t="inlineStr">
        <is>
          <t>English</t>
        </is>
      </c>
      <c r="J271" s="13" t="inlineStr">
        <is>
          <t>Inscriptions / கல்வெட்டு</t>
        </is>
      </c>
      <c r="K271" s="13" t="inlineStr">
        <is>
          <t>Tamil inscription; Trincomalee</t>
        </is>
      </c>
      <c r="L271" s="11" t="inlineStr">
        <is>
          <t>Yes</t>
        </is>
      </c>
      <c r="M271" s="13" t="n"/>
      <c r="N271" s="14" t="inlineStr">
        <is>
          <t>https://www.tamilnet.com/art.html?artid=32850&amp;catid=13</t>
        </is>
      </c>
    </row>
    <row r="272">
      <c r="A272" s="7" t="inlineStr">
        <is>
          <t>ALL-0271</t>
        </is>
      </c>
      <c r="B272" s="7" t="inlineStr">
        <is>
          <t>Newspaper Articles</t>
        </is>
      </c>
      <c r="C272" s="8" t="inlineStr">
        <is>
          <t>2009</t>
        </is>
      </c>
      <c r="D272" s="7" t="inlineStr">
        <is>
          <t>2009-09-18</t>
        </is>
      </c>
      <c r="E272" s="9" t="inlineStr">
        <is>
          <t>Inscriptions of ancient and medieval Sri Lanka</t>
        </is>
      </c>
      <c r="F272" s="9" t="n"/>
      <c r="G272" s="9" t="inlineStr">
        <is>
          <t>Daily News (Sri Lanka)</t>
        </is>
      </c>
      <c r="H272" s="7" t="inlineStr">
        <is>
          <t>Feature</t>
        </is>
      </c>
      <c r="I272" s="7" t="inlineStr">
        <is>
          <t>English</t>
        </is>
      </c>
      <c r="J272" s="9" t="inlineStr">
        <is>
          <t>Inscriptions / கல்வெட்டு</t>
        </is>
      </c>
      <c r="K272" s="9" t="inlineStr">
        <is>
          <t>inscriptions</t>
        </is>
      </c>
      <c r="L272" s="7" t="inlineStr">
        <is>
          <t>Yes</t>
        </is>
      </c>
      <c r="M272" s="9" t="inlineStr">
        <is>
          <t>Author to verify</t>
        </is>
      </c>
      <c r="N272" s="10" t="inlineStr">
        <is>
          <t>https://archives.dailynews.lk/2009/09/18/fea30.asp</t>
        </is>
      </c>
    </row>
    <row r="273">
      <c r="A273" s="11" t="inlineStr">
        <is>
          <t>ALL-0272</t>
        </is>
      </c>
      <c r="B273" s="11" t="inlineStr">
        <is>
          <t>Newspaper Articles</t>
        </is>
      </c>
      <c r="C273" s="12" t="inlineStr">
        <is>
          <t>2008</t>
        </is>
      </c>
      <c r="D273" s="11" t="inlineStr">
        <is>
          <t>2008-05-04</t>
        </is>
      </c>
      <c r="E273" s="13" t="inlineStr">
        <is>
          <t>A solid work in range and richness (review of Rock and Wall Paintings of Sri Lanka)</t>
        </is>
      </c>
      <c r="F273" s="13" t="inlineStr">
        <is>
          <t>Ashley Halpé</t>
        </is>
      </c>
      <c r="G273" s="13" t="inlineStr">
        <is>
          <t>Sunday Times (Sri Lanka)</t>
        </is>
      </c>
      <c r="H273" s="11" t="inlineStr">
        <is>
          <t>Book review</t>
        </is>
      </c>
      <c r="I273" s="11" t="inlineStr">
        <is>
          <t>English</t>
        </is>
      </c>
      <c r="J273" s="13" t="inlineStr">
        <is>
          <t>Rock art / பாறை ஓவியம்</t>
        </is>
      </c>
      <c r="K273" s="13" t="inlineStr">
        <is>
          <t>rock art; review</t>
        </is>
      </c>
      <c r="L273" s="11" t="inlineStr">
        <is>
          <t>Yes</t>
        </is>
      </c>
      <c r="M273" s="13" t="n"/>
      <c r="N273" s="14" t="inlineStr">
        <is>
          <t>https://www.sundaytimes.lk/080504/Plus/plus000025.html</t>
        </is>
      </c>
    </row>
    <row r="274">
      <c r="A274" s="7" t="inlineStr">
        <is>
          <t>ALL-0273</t>
        </is>
      </c>
      <c r="B274" s="7" t="inlineStr">
        <is>
          <t>Newspaper Articles</t>
        </is>
      </c>
      <c r="C274" s="8" t="inlineStr">
        <is>
          <t>2000</t>
        </is>
      </c>
      <c r="D274" s="7" t="inlineStr">
        <is>
          <t>2000-04-23</t>
        </is>
      </c>
      <c r="E274" s="9" t="inlineStr">
        <is>
          <t>Coins of history</t>
        </is>
      </c>
      <c r="F274" s="9" t="inlineStr">
        <is>
          <t>D. C. Ranatunga</t>
        </is>
      </c>
      <c r="G274" s="9" t="inlineStr">
        <is>
          <t>Sunday Times (Sri Lanka)</t>
        </is>
      </c>
      <c r="H274" s="7" t="inlineStr">
        <is>
          <t>Book review</t>
        </is>
      </c>
      <c r="I274" s="7" t="inlineStr">
        <is>
          <t>English</t>
        </is>
      </c>
      <c r="J274" s="9" t="inlineStr">
        <is>
          <t>Coins / நாணயம்</t>
        </is>
      </c>
      <c r="K274" s="9" t="inlineStr">
        <is>
          <t>coins; Tissamaharama</t>
        </is>
      </c>
      <c r="L274" s="7" t="inlineStr">
        <is>
          <t>Yes</t>
        </is>
      </c>
      <c r="M274" s="9" t="n"/>
      <c r="N274" s="10" t="inlineStr">
        <is>
          <t>https://www.sundaytimes.lk/000423/plus3.html</t>
        </is>
      </c>
    </row>
    <row r="275">
      <c r="A275" s="11" t="inlineStr">
        <is>
          <t>ALL-0274</t>
        </is>
      </c>
      <c r="B275" s="11" t="inlineStr">
        <is>
          <t>Newspaper Articles</t>
        </is>
      </c>
      <c r="C275" s="12" t="n"/>
      <c r="D275" s="11" t="n"/>
      <c r="E275" s="13" t="inlineStr">
        <is>
          <t>3,400 year old human remains discovered in Velanai, Jaffna</t>
        </is>
      </c>
      <c r="F275" s="13" t="n"/>
      <c r="G275" s="13" t="inlineStr">
        <is>
          <t>Tamil Guardian</t>
        </is>
      </c>
      <c r="H275" s="11" t="inlineStr">
        <is>
          <t>News</t>
        </is>
      </c>
      <c r="I275" s="11" t="inlineStr">
        <is>
          <t>English</t>
        </is>
      </c>
      <c r="J275" s="13" t="inlineStr">
        <is>
          <t>Archaeology / தொல்லியல்</t>
        </is>
      </c>
      <c r="K275" s="13" t="inlineStr">
        <is>
          <t>archaeology; Velanai; megalithic</t>
        </is>
      </c>
      <c r="L275" s="11" t="inlineStr">
        <is>
          <t>Unknown</t>
        </is>
      </c>
      <c r="M275" s="13" t="n"/>
      <c r="N275" s="14" t="inlineStr">
        <is>
          <t>https://www.tamilguardian.com/content/3400-year-old-human-remains-discovered-velanai-jaffna</t>
        </is>
      </c>
    </row>
    <row r="276">
      <c r="A276" s="7" t="inlineStr">
        <is>
          <t>ALL-0275</t>
        </is>
      </c>
      <c r="B276" s="7" t="inlineStr">
        <is>
          <t>Newspaper Articles</t>
        </is>
      </c>
      <c r="C276" s="8" t="n"/>
      <c r="D276" s="7" t="n"/>
      <c r="E276" s="9" t="inlineStr">
        <is>
          <t>3300-year-old archaeological site discovered in Sri Lanka</t>
        </is>
      </c>
      <c r="F276" s="9" t="n"/>
      <c r="G276" s="9" t="inlineStr">
        <is>
          <t>History News Network</t>
        </is>
      </c>
      <c r="H276" s="7" t="inlineStr">
        <is>
          <t>News</t>
        </is>
      </c>
      <c r="I276" s="7" t="inlineStr">
        <is>
          <t>English</t>
        </is>
      </c>
      <c r="J276" s="9" t="inlineStr">
        <is>
          <t>Archaeology / தொல்லியல்</t>
        </is>
      </c>
      <c r="K276" s="9" t="inlineStr">
        <is>
          <t>archaeology; megalithic</t>
        </is>
      </c>
      <c r="L276" s="7" t="inlineStr">
        <is>
          <t>Unknown</t>
        </is>
      </c>
      <c r="M276" s="9" t="inlineStr">
        <is>
          <t>Year to verify</t>
        </is>
      </c>
      <c r="N276" s="10" t="inlineStr">
        <is>
          <t>https://www.historynewsnetwork.org/article/117404</t>
        </is>
      </c>
    </row>
    <row r="277">
      <c r="A277" s="11" t="inlineStr">
        <is>
          <t>ALL-0276</t>
        </is>
      </c>
      <c r="B277" s="11" t="inlineStr">
        <is>
          <t>Newspaper Articles</t>
        </is>
      </c>
      <c r="C277" s="12" t="n"/>
      <c r="D277" s="11" t="n"/>
      <c r="E277" s="13" t="inlineStr">
        <is>
          <t>Ancient Pandyan coins bring intrigue and dispute in Sri Lanka</t>
        </is>
      </c>
      <c r="F277" s="13" t="n"/>
      <c r="G277" s="13" t="inlineStr">
        <is>
          <t>Tamil Guardian</t>
        </is>
      </c>
      <c r="H277" s="11" t="inlineStr">
        <is>
          <t>News</t>
        </is>
      </c>
      <c r="I277" s="11" t="inlineStr">
        <is>
          <t>English</t>
        </is>
      </c>
      <c r="J277" s="13" t="inlineStr">
        <is>
          <t>Coins / நாணயம்</t>
        </is>
      </c>
      <c r="K277" s="13" t="inlineStr">
        <is>
          <t>coins; Pandya</t>
        </is>
      </c>
      <c r="L277" s="11" t="inlineStr">
        <is>
          <t>Unknown</t>
        </is>
      </c>
      <c r="M277" s="13" t="n"/>
      <c r="N277" s="14" t="inlineStr">
        <is>
          <t>https://www.tamilguardian.com/content/ancient-pandyan-coins-bring-intrigue-and-dispute-sri-lanka</t>
        </is>
      </c>
    </row>
    <row r="278">
      <c r="A278" s="7" t="inlineStr">
        <is>
          <t>ALL-0277</t>
        </is>
      </c>
      <c r="B278" s="7" t="inlineStr">
        <is>
          <t>Newspaper Articles</t>
        </is>
      </c>
      <c r="C278" s="8" t="n"/>
      <c r="D278" s="7" t="n"/>
      <c r="E278" s="9" t="inlineStr">
        <is>
          <t>Book Review: The Historian As Bridge</t>
        </is>
      </c>
      <c r="F278" s="9" t="n"/>
      <c r="G278" s="9" t="inlineStr">
        <is>
          <t>Colombo Telegraph</t>
        </is>
      </c>
      <c r="H278" s="7" t="inlineStr">
        <is>
          <t>Review</t>
        </is>
      </c>
      <c r="I278" s="7" t="inlineStr">
        <is>
          <t>English</t>
        </is>
      </c>
      <c r="J278" s="9" t="n"/>
      <c r="K278" s="9" t="inlineStr">
        <is>
          <t>book review</t>
        </is>
      </c>
      <c r="L278" s="7" t="inlineStr">
        <is>
          <t>Unknown</t>
        </is>
      </c>
      <c r="M278" s="9" t="n"/>
      <c r="N278" s="10" t="inlineStr">
        <is>
          <t>https://www.colombotelegraph.com/index.php/book-review-the-historian-as-bridge/</t>
        </is>
      </c>
    </row>
    <row r="279">
      <c r="A279" s="11" t="inlineStr">
        <is>
          <t>ALL-0278</t>
        </is>
      </c>
      <c r="B279" s="11" t="inlineStr">
        <is>
          <t>Newspaper Articles</t>
        </is>
      </c>
      <c r="C279" s="12" t="n"/>
      <c r="D279" s="11" t="n"/>
      <c r="E279" s="13" t="inlineStr">
        <is>
          <t>C V Wigneswaran on Pathmanathan's book</t>
        </is>
      </c>
      <c r="F279" s="13" t="n"/>
      <c r="G279" s="13" t="inlineStr">
        <is>
          <t>Sunday Observer</t>
        </is>
      </c>
      <c r="H279" s="11" t="inlineStr">
        <is>
          <t>Feature</t>
        </is>
      </c>
      <c r="I279" s="11" t="inlineStr">
        <is>
          <t>English</t>
        </is>
      </c>
      <c r="J279" s="13" t="n"/>
      <c r="K279" s="13" t="inlineStr">
        <is>
          <t>book review; Pathmanathan</t>
        </is>
      </c>
      <c r="L279" s="11" t="inlineStr">
        <is>
          <t>Unknown</t>
        </is>
      </c>
      <c r="M279" s="13" t="n"/>
      <c r="N279" s="14" t="inlineStr">
        <is>
          <t>https://archives1.sundayobserver.lk/node/26758</t>
        </is>
      </c>
    </row>
    <row r="280">
      <c r="A280" s="7" t="inlineStr">
        <is>
          <t>ALL-0279</t>
        </is>
      </c>
      <c r="B280" s="7" t="inlineStr">
        <is>
          <t>Newspaper Articles</t>
        </is>
      </c>
      <c r="C280" s="8" t="n"/>
      <c r="D280" s="7" t="n"/>
      <c r="E280" s="9" t="inlineStr">
        <is>
          <t>Little known facets of Sri Lankan history: a Chola princess and the old name for Jaffna</t>
        </is>
      </c>
      <c r="F280" s="9" t="n"/>
      <c r="G280" s="9" t="inlineStr">
        <is>
          <t>The Island</t>
        </is>
      </c>
      <c r="H280" s="7" t="inlineStr">
        <is>
          <t>Feature</t>
        </is>
      </c>
      <c r="I280" s="7" t="inlineStr">
        <is>
          <t>English</t>
        </is>
      </c>
      <c r="J280" s="9" t="n"/>
      <c r="K280" s="9" t="inlineStr">
        <is>
          <t>Chola; Jaffna</t>
        </is>
      </c>
      <c r="L280" s="7" t="inlineStr">
        <is>
          <t>Unknown</t>
        </is>
      </c>
      <c r="M280" s="9" t="n"/>
      <c r="N280" s="10" t="inlineStr">
        <is>
          <t>https://island.lk/little-known-facets-of-sri-lankan-historya-chola-princess-and-the-old-name-for-jaffna/</t>
        </is>
      </c>
    </row>
    <row r="281">
      <c r="A281" s="11" t="inlineStr">
        <is>
          <t>ALL-0280</t>
        </is>
      </c>
      <c r="B281" s="11" t="inlineStr">
        <is>
          <t>Newspaper Articles</t>
        </is>
      </c>
      <c r="C281" s="12" t="n"/>
      <c r="D281" s="11" t="n"/>
      <c r="E281" s="13" t="inlineStr">
        <is>
          <t>Mandarin and Tamil: a historical perspective</t>
        </is>
      </c>
      <c r="F281" s="13" t="n"/>
      <c r="G281" s="13" t="inlineStr">
        <is>
          <t>The Island</t>
        </is>
      </c>
      <c r="H281" s="11" t="inlineStr">
        <is>
          <t>Feature</t>
        </is>
      </c>
      <c r="I281" s="11" t="inlineStr">
        <is>
          <t>English</t>
        </is>
      </c>
      <c r="J281" s="13" t="inlineStr">
        <is>
          <t>Inscriptions / கல்வெட்டு</t>
        </is>
      </c>
      <c r="K281" s="13" t="inlineStr">
        <is>
          <t>Galle trilingual inscription; Tamil</t>
        </is>
      </c>
      <c r="L281" s="11" t="inlineStr">
        <is>
          <t>Unknown</t>
        </is>
      </c>
      <c r="M281" s="13" t="inlineStr">
        <is>
          <t>Year to verify</t>
        </is>
      </c>
      <c r="N281" s="14" t="inlineStr">
        <is>
          <t>https://island.lk/mandarin-and-tamil-a-historical-perspective/</t>
        </is>
      </c>
    </row>
    <row r="282">
      <c r="A282" s="7" t="inlineStr">
        <is>
          <t>ALL-0281</t>
        </is>
      </c>
      <c r="B282" s="7" t="inlineStr">
        <is>
          <t>Newspaper Articles</t>
        </is>
      </c>
      <c r="C282" s="8" t="n"/>
      <c r="D282" s="7" t="n"/>
      <c r="E282" s="9" t="inlineStr">
        <is>
          <t>Neelagiri Hela Bithusithuwam</t>
        </is>
      </c>
      <c r="F282" s="9" t="n"/>
      <c r="G282" s="9" t="inlineStr">
        <is>
          <t>Sunday Observer</t>
        </is>
      </c>
      <c r="H282" s="7" t="inlineStr">
        <is>
          <t>Feature</t>
        </is>
      </c>
      <c r="I282" s="7" t="inlineStr">
        <is>
          <t>English</t>
        </is>
      </c>
      <c r="J282" s="9" t="inlineStr">
        <is>
          <t>Rock art / பாறை ஓவியம்</t>
        </is>
      </c>
      <c r="K282" s="9" t="inlineStr">
        <is>
          <t>paintings; Neelagiri</t>
        </is>
      </c>
      <c r="L282" s="7" t="inlineStr">
        <is>
          <t>Unknown</t>
        </is>
      </c>
      <c r="M282" s="9" t="n"/>
      <c r="N282" s="10" t="inlineStr">
        <is>
          <t>https://archives1.sundayobserver.lk/node/59637</t>
        </is>
      </c>
    </row>
    <row r="283">
      <c r="A283" s="11" t="inlineStr">
        <is>
          <t>ALL-0282</t>
        </is>
      </c>
      <c r="B283" s="11" t="inlineStr">
        <is>
          <t>Newspaper Articles</t>
        </is>
      </c>
      <c r="C283" s="12" t="n"/>
      <c r="D283" s="11" t="n"/>
      <c r="E283" s="13" t="inlineStr">
        <is>
          <t>Reptiles in rock and time: unveiling Sri Lanka's ancient herpetological art</t>
        </is>
      </c>
      <c r="F283" s="13" t="n"/>
      <c r="G283" s="13" t="inlineStr">
        <is>
          <t>The Island</t>
        </is>
      </c>
      <c r="H283" s="11" t="inlineStr">
        <is>
          <t>News</t>
        </is>
      </c>
      <c r="I283" s="11" t="inlineStr">
        <is>
          <t>English</t>
        </is>
      </c>
      <c r="J283" s="13" t="inlineStr">
        <is>
          <t>Rock art / பாறை ஓவியம்</t>
        </is>
      </c>
      <c r="K283" s="13" t="inlineStr">
        <is>
          <t>rock art; பாறை ஓவியம்</t>
        </is>
      </c>
      <c r="L283" s="11" t="inlineStr">
        <is>
          <t>Unknown</t>
        </is>
      </c>
      <c r="M283" s="13" t="n"/>
      <c r="N283" s="14" t="inlineStr">
        <is>
          <t>https://island.lk/reptiles-in-rock-and-time-unveiling-sri-lankas-ancient-herpetological-art/</t>
        </is>
      </c>
    </row>
    <row r="284">
      <c r="A284" s="7" t="inlineStr">
        <is>
          <t>ALL-0283</t>
        </is>
      </c>
      <c r="B284" s="7" t="inlineStr">
        <is>
          <t>Newspaper Articles</t>
        </is>
      </c>
      <c r="C284" s="8" t="n"/>
      <c r="D284" s="7" t="n"/>
      <c r="E284" s="9" t="inlineStr">
        <is>
          <t>Scripts in ancient Sri Lanka</t>
        </is>
      </c>
      <c r="F284" s="9" t="n"/>
      <c r="G284" s="9" t="inlineStr">
        <is>
          <t>Sunday Observer</t>
        </is>
      </c>
      <c r="H284" s="7" t="inlineStr">
        <is>
          <t>Feature</t>
        </is>
      </c>
      <c r="I284" s="7" t="inlineStr">
        <is>
          <t>English</t>
        </is>
      </c>
      <c r="J284" s="9" t="inlineStr">
        <is>
          <t>Brahmi / பிராமி</t>
        </is>
      </c>
      <c r="K284" s="9" t="inlineStr">
        <is>
          <t>Brahmi; Tamil Brahmi</t>
        </is>
      </c>
      <c r="L284" s="7" t="inlineStr">
        <is>
          <t>Unknown</t>
        </is>
      </c>
      <c r="M284" s="9" t="n"/>
      <c r="N284" s="10" t="inlineStr">
        <is>
          <t>https://archives1.sundayobserver.lk/node/44600</t>
        </is>
      </c>
    </row>
    <row r="285">
      <c r="A285" s="11" t="inlineStr">
        <is>
          <t>ALL-0284</t>
        </is>
      </c>
      <c r="B285" s="11" t="inlineStr">
        <is>
          <t>Newspaper Articles</t>
        </is>
      </c>
      <c r="C285" s="12" t="n"/>
      <c r="D285" s="11" t="n"/>
      <c r="E285" s="13" t="inlineStr">
        <is>
          <t>Sri Lanka threatens legal action over Hindu worship at Kurunthur Malai</t>
        </is>
      </c>
      <c r="F285" s="13" t="n"/>
      <c r="G285" s="13" t="inlineStr">
        <is>
          <t>Tamil Guardian</t>
        </is>
      </c>
      <c r="H285" s="11" t="inlineStr">
        <is>
          <t>News</t>
        </is>
      </c>
      <c r="I285" s="11" t="inlineStr">
        <is>
          <t>English</t>
        </is>
      </c>
      <c r="J285" s="13" t="inlineStr">
        <is>
          <t>Archaeology / தொல்லியல்</t>
        </is>
      </c>
      <c r="K285" s="13" t="inlineStr">
        <is>
          <t>Kurunthurmalai; archaeology department</t>
        </is>
      </c>
      <c r="L285" s="11" t="inlineStr">
        <is>
          <t>Unknown</t>
        </is>
      </c>
      <c r="M285" s="13" t="n"/>
      <c r="N285" s="14" t="inlineStr">
        <is>
          <t>https://www.tamilguardian.com/index.php/node/955066</t>
        </is>
      </c>
    </row>
    <row r="286">
      <c r="A286" s="7" t="inlineStr">
        <is>
          <t>ALL-0285</t>
        </is>
      </c>
      <c r="B286" s="7" t="inlineStr">
        <is>
          <t>Newspaper Articles</t>
        </is>
      </c>
      <c r="C286" s="8" t="n"/>
      <c r="D286" s="7" t="n"/>
      <c r="E286" s="9" t="inlineStr">
        <is>
          <t>Sri Lanka's Role In South Asia's Earliest Writing Controversy</t>
        </is>
      </c>
      <c r="F286" s="9" t="n"/>
      <c r="G286" s="9" t="inlineStr">
        <is>
          <t>Colombo Telegraph</t>
        </is>
      </c>
      <c r="H286" s="7" t="inlineStr">
        <is>
          <t>Opinion</t>
        </is>
      </c>
      <c r="I286" s="7" t="inlineStr">
        <is>
          <t>English</t>
        </is>
      </c>
      <c r="J286" s="9" t="inlineStr">
        <is>
          <t>Brahmi / பிராமி</t>
        </is>
      </c>
      <c r="K286" s="9" t="inlineStr">
        <is>
          <t>Brahmi; early writing</t>
        </is>
      </c>
      <c r="L286" s="7" t="inlineStr">
        <is>
          <t>Unknown</t>
        </is>
      </c>
      <c r="M286" s="9" t="n"/>
      <c r="N286" s="10" t="inlineStr">
        <is>
          <t>https://www.colombotelegraph.com/index.php/sri-lankas-role-in-south-asias-earliest-writing-controversy/</t>
        </is>
      </c>
    </row>
    <row r="287">
      <c r="A287" s="11" t="inlineStr">
        <is>
          <t>ALL-0286</t>
        </is>
      </c>
      <c r="B287" s="11" t="inlineStr">
        <is>
          <t>Newspaper Articles</t>
        </is>
      </c>
      <c r="C287" s="12" t="n"/>
      <c r="D287" s="11" t="n"/>
      <c r="E287" s="13" t="inlineStr">
        <is>
          <t>Tamil civilisation - is it the oldest?</t>
        </is>
      </c>
      <c r="F287" s="13" t="n"/>
      <c r="G287" s="13" t="inlineStr">
        <is>
          <t>Tamil Guardian</t>
        </is>
      </c>
      <c r="H287" s="11" t="inlineStr">
        <is>
          <t>Feature</t>
        </is>
      </c>
      <c r="I287" s="11" t="inlineStr">
        <is>
          <t>English</t>
        </is>
      </c>
      <c r="J287" s="13" t="inlineStr">
        <is>
          <t>Archaeology / தொல்லியல்</t>
        </is>
      </c>
      <c r="K287" s="13" t="inlineStr">
        <is>
          <t>archaeology debate</t>
        </is>
      </c>
      <c r="L287" s="11" t="inlineStr">
        <is>
          <t>Unknown</t>
        </is>
      </c>
      <c r="M287" s="13" t="n"/>
      <c r="N287" s="14" t="inlineStr">
        <is>
          <t>https://www.tamilguardian.com/content/tamil-civilisation-it-oldest</t>
        </is>
      </c>
    </row>
    <row r="288">
      <c r="A288" s="7" t="inlineStr">
        <is>
          <t>ALL-0287</t>
        </is>
      </c>
      <c r="B288" s="7" t="inlineStr">
        <is>
          <t>Newspaper Articles</t>
        </is>
      </c>
      <c r="C288" s="8" t="n"/>
      <c r="D288" s="7" t="n"/>
      <c r="E288" s="9" t="inlineStr">
        <is>
          <t>The Tamils Are The Original Inhabitants Of Sri Lanka</t>
        </is>
      </c>
      <c r="F288" s="9" t="n"/>
      <c r="G288" s="9" t="inlineStr">
        <is>
          <t>Colombo Telegraph</t>
        </is>
      </c>
      <c r="H288" s="7" t="inlineStr">
        <is>
          <t>Opinion</t>
        </is>
      </c>
      <c r="I288" s="7" t="inlineStr">
        <is>
          <t>English</t>
        </is>
      </c>
      <c r="J288" s="9" t="inlineStr">
        <is>
          <t>Archaeology / தொல்லியல்</t>
        </is>
      </c>
      <c r="K288" s="9" t="inlineStr">
        <is>
          <t>archaeology; history debate</t>
        </is>
      </c>
      <c r="L288" s="7" t="inlineStr">
        <is>
          <t>Unknown</t>
        </is>
      </c>
      <c r="M288" s="9" t="n"/>
      <c r="N288" s="10" t="inlineStr">
        <is>
          <t>https://www.colombotelegraph.com/index.php/the-tamils-are-the-original-inhabitants-of-sri-lanka/</t>
        </is>
      </c>
    </row>
    <row r="289">
      <c r="A289" s="11" t="inlineStr">
        <is>
          <t>ALL-0288</t>
        </is>
      </c>
      <c r="B289" s="11" t="inlineStr">
        <is>
          <t>Newspaper Articles</t>
        </is>
      </c>
      <c r="C289" s="12" t="n"/>
      <c r="D289" s="11" t="n"/>
      <c r="E289" s="13" t="inlineStr">
        <is>
          <t>UNESCO and 'Trilingual inscription'</t>
        </is>
      </c>
      <c r="F289" s="13" t="n"/>
      <c r="G289" s="13" t="inlineStr">
        <is>
          <t>The Island</t>
        </is>
      </c>
      <c r="H289" s="11" t="inlineStr">
        <is>
          <t>Opinion</t>
        </is>
      </c>
      <c r="I289" s="11" t="inlineStr">
        <is>
          <t>English</t>
        </is>
      </c>
      <c r="J289" s="13" t="inlineStr">
        <is>
          <t>Inscriptions / கல்வெட்டு</t>
        </is>
      </c>
      <c r="K289" s="13" t="inlineStr">
        <is>
          <t>Galle trilingual inscription</t>
        </is>
      </c>
      <c r="L289" s="11" t="inlineStr">
        <is>
          <t>Unknown</t>
        </is>
      </c>
      <c r="M289" s="13" t="inlineStr">
        <is>
          <t>2025 (to verify)</t>
        </is>
      </c>
      <c r="N289" s="14" t="inlineStr">
        <is>
          <t>https://island.lk/unesco-and-trilingual-inscription/</t>
        </is>
      </c>
    </row>
    <row r="290">
      <c r="A290" s="7" t="inlineStr">
        <is>
          <t>ALL-0289</t>
        </is>
      </c>
      <c r="B290" s="7" t="inlineStr">
        <is>
          <t>Newspaper Articles</t>
        </is>
      </c>
      <c r="C290" s="8" t="n"/>
      <c r="D290" s="7" t="n"/>
      <c r="E290" s="9" t="inlineStr">
        <is>
          <t>இலங்கையில் 2300 ஆண்டுகளுக்கு முன்பு தமிழர்கள் வாழ்ந்தார்கள் என்பதை நிரூபிக்கும் ஐந்து பிராமிக் கல்வெட்டுக்கள்</t>
        </is>
      </c>
      <c r="F290" s="9" t="n"/>
      <c r="G290" s="9" t="inlineStr">
        <is>
          <t>Thinakkural</t>
        </is>
      </c>
      <c r="H290" s="7" t="inlineStr">
        <is>
          <t>Feature</t>
        </is>
      </c>
      <c r="I290" s="7" t="inlineStr">
        <is>
          <t>Tamil</t>
        </is>
      </c>
      <c r="J290" s="9" t="inlineStr">
        <is>
          <t>Inscriptions / கல்வெட்டு; Brahmi / பிராமி</t>
        </is>
      </c>
      <c r="K290" s="9" t="inlineStr">
        <is>
          <t>பிராமி; கல்வெட்டு</t>
        </is>
      </c>
      <c r="L290" s="7" t="inlineStr">
        <is>
          <t>Unknown</t>
        </is>
      </c>
      <c r="M290" s="9" t="n"/>
      <c r="N290" s="10" t="inlineStr">
        <is>
          <t>https://thinakkural.lk/article/45056</t>
        </is>
      </c>
    </row>
    <row r="291">
      <c r="A291" s="11" t="inlineStr">
        <is>
          <t>ALL-0290</t>
        </is>
      </c>
      <c r="B291" s="11" t="inlineStr">
        <is>
          <t>Newspaper Articles</t>
        </is>
      </c>
      <c r="C291" s="12" t="n"/>
      <c r="D291" s="11" t="n"/>
      <c r="E291" s="13" t="inlineStr">
        <is>
          <t>கலிங்கமாகன் பற்றிய முக்கிய கல்வெட்டு: அண்மையில் கண்டறியப்பட்ட தமிழர் வரலாறு</t>
        </is>
      </c>
      <c r="F291" s="13" t="n"/>
      <c r="G291" s="13" t="inlineStr">
        <is>
          <t>Tamil Mirror</t>
        </is>
      </c>
      <c r="H291" s="11" t="inlineStr">
        <is>
          <t>Feature</t>
        </is>
      </c>
      <c r="I291" s="11" t="inlineStr">
        <is>
          <t>Tamil</t>
        </is>
      </c>
      <c r="J291" s="13" t="inlineStr">
        <is>
          <t>Inscriptions / கல்வெட்டு</t>
        </is>
      </c>
      <c r="K291" s="13" t="inlineStr">
        <is>
          <t>கல்வெட்டு; Kalinga Magha</t>
        </is>
      </c>
      <c r="L291" s="11" t="inlineStr">
        <is>
          <t>Unknown</t>
        </is>
      </c>
      <c r="M291" s="13" t="n"/>
      <c r="N291" s="14" t="inlineStr">
        <is>
          <t>https://www.tamilmirror.lk/91-286936</t>
        </is>
      </c>
    </row>
    <row r="292">
      <c r="A292" s="7" t="inlineStr">
        <is>
          <t>ALL-0291</t>
        </is>
      </c>
      <c r="B292" s="7" t="inlineStr">
        <is>
          <t>Newspaper Articles</t>
        </is>
      </c>
      <c r="C292" s="8" t="n"/>
      <c r="D292" s="7" t="n"/>
      <c r="E292" s="9" t="inlineStr">
        <is>
          <t>யாழ்ப்பாண அரசுகால வரலாறு கூறும் சங்கிலியன் தோரண வாசல்</t>
        </is>
      </c>
      <c r="F292" s="9" t="inlineStr">
        <is>
          <t>P. Pushparatnam</t>
        </is>
      </c>
      <c r="G292" s="9" t="inlineStr">
        <is>
          <t>Virakesari</t>
        </is>
      </c>
      <c r="H292" s="7" t="inlineStr">
        <is>
          <t>Feature</t>
        </is>
      </c>
      <c r="I292" s="7" t="inlineStr">
        <is>
          <t>Tamil</t>
        </is>
      </c>
      <c r="J292" s="9" t="inlineStr">
        <is>
          <t>Archaeology / தொல்லியல்</t>
        </is>
      </c>
      <c r="K292" s="9" t="inlineStr">
        <is>
          <t>Jaffna kingdom; Sangiliyan; தொல்லியல்</t>
        </is>
      </c>
      <c r="L292" s="7" t="inlineStr">
        <is>
          <t>Unknown</t>
        </is>
      </c>
      <c r="M292" s="9" t="n"/>
      <c r="N292" s="10" t="inlineStr">
        <is>
          <t>https://www.virakesari.lk/article/160191</t>
        </is>
      </c>
    </row>
    <row r="293">
      <c r="A293" s="11" t="inlineStr">
        <is>
          <t>ALL-0292</t>
        </is>
      </c>
      <c r="B293" s="11" t="inlineStr">
        <is>
          <t>Magazines/Journals</t>
        </is>
      </c>
      <c r="C293" s="12" t="inlineStr">
        <is>
          <t>2026</t>
        </is>
      </c>
      <c r="D293" s="11" t="inlineStr">
        <is>
          <t>2026-01-09</t>
        </is>
      </c>
      <c r="E293" s="13" t="inlineStr">
        <is>
          <t>மாந்தை: பண்டைய இலங்கையின் நெடுங்கடல் வர்த்தகத் துறைநகர்</t>
        </is>
      </c>
      <c r="F293" s="13" t="inlineStr">
        <is>
          <t>Siva Thiagarajah</t>
        </is>
      </c>
      <c r="G293" s="13" t="inlineStr">
        <is>
          <t>Ezhuna (எழுநா)</t>
        </is>
      </c>
      <c r="H293" s="11" t="inlineStr">
        <is>
          <t>Online magazine article</t>
        </is>
      </c>
      <c r="I293" s="11" t="inlineStr">
        <is>
          <t>Tamil</t>
        </is>
      </c>
      <c r="J293" s="13" t="inlineStr">
        <is>
          <t>Archaeology / தொல்லியல்</t>
        </is>
      </c>
      <c r="K293" s="13" t="inlineStr">
        <is>
          <t>தொல்லியல்; Mantai; port</t>
        </is>
      </c>
      <c r="L293" s="11" t="inlineStr">
        <is>
          <t>Yes</t>
        </is>
      </c>
      <c r="M293" s="13" t="inlineStr">
        <is>
          <t>Series: Kantarodai civilization of ancient Jaffna</t>
        </is>
      </c>
      <c r="N293" s="14" t="inlineStr">
        <is>
          <t>https://www.ezhunaonline.com/manthai-the-seafaring-trading-center-of-ancient-sri-lanka/</t>
        </is>
      </c>
    </row>
    <row r="294">
      <c r="A294" s="7" t="inlineStr">
        <is>
          <t>ALL-0293</t>
        </is>
      </c>
      <c r="B294" s="7" t="inlineStr">
        <is>
          <t>Magazines/Journals</t>
        </is>
      </c>
      <c r="C294" s="8" t="inlineStr">
        <is>
          <t>2026</t>
        </is>
      </c>
      <c r="D294" s="7" t="inlineStr">
        <is>
          <t>2026-02-09</t>
        </is>
      </c>
      <c r="E294" s="9" t="inlineStr">
        <is>
          <t>மரபிலிருந்து மாறி மரபாகுதல்: யாழ்ப்பாணத்துத் தென்மோடிக் கூத்து</t>
        </is>
      </c>
      <c r="F294" s="9" t="inlineStr">
        <is>
          <t>சின்னையா மௌனகுரு</t>
        </is>
      </c>
      <c r="G294" s="9" t="inlineStr">
        <is>
          <t>Ezhuna (எழுநா)</t>
        </is>
      </c>
      <c r="H294" s="7" t="inlineStr">
        <is>
          <t>Online magazine article</t>
        </is>
      </c>
      <c r="I294" s="7" t="inlineStr">
        <is>
          <t>Tamil</t>
        </is>
      </c>
      <c r="J294" s="9" t="n"/>
      <c r="K294" s="9" t="n"/>
      <c r="L294" s="7" t="inlineStr">
        <is>
          <t>Yes</t>
        </is>
      </c>
      <c r="M294" s="9" t="inlineStr">
        <is>
          <t>Auto-collected 2026-10-14 (ezhuna); review.</t>
        </is>
      </c>
      <c r="N294" s="10" t="inlineStr">
        <is>
          <t>https://www.ezhunaonline.com/from-tradition-to-tradition-the-southern-modic-koothu-of-jaffna/</t>
        </is>
      </c>
    </row>
    <row r="295">
      <c r="A295" s="11" t="inlineStr">
        <is>
          <t>ALL-0294</t>
        </is>
      </c>
      <c r="B295" s="11" t="inlineStr">
        <is>
          <t>Magazines/Journals</t>
        </is>
      </c>
      <c r="C295" s="12" t="inlineStr">
        <is>
          <t>2026</t>
        </is>
      </c>
      <c r="D295" s="11" t="inlineStr">
        <is>
          <t>2026-02-12</t>
        </is>
      </c>
      <c r="E295" s="13" t="inlineStr">
        <is>
          <t>பண்டைய யாழ்ப்பாணத்தில் புராதன சமய நடைமுறைகள் – பகுதி 2</t>
        </is>
      </c>
      <c r="F295" s="13" t="inlineStr">
        <is>
          <t>Siva Thiagarajah</t>
        </is>
      </c>
      <c r="G295" s="13" t="inlineStr">
        <is>
          <t>Ezhuna (எழுநா)</t>
        </is>
      </c>
      <c r="H295" s="11" t="inlineStr">
        <is>
          <t>Online magazine article</t>
        </is>
      </c>
      <c r="I295" s="11" t="inlineStr">
        <is>
          <t>Tamil</t>
        </is>
      </c>
      <c r="J295" s="13" t="n"/>
      <c r="K295" s="13" t="inlineStr">
        <is>
          <t>religion; Jaffna</t>
        </is>
      </c>
      <c r="L295" s="11" t="inlineStr">
        <is>
          <t>Yes</t>
        </is>
      </c>
      <c r="M295" s="13" t="inlineStr">
        <is>
          <t>Series: Kantarodai civilization of ancient Jaffna</t>
        </is>
      </c>
      <c r="N295" s="14" t="inlineStr">
        <is>
          <t>https://www.ezhunaonline.com/ancient-religious-practices-in-ancient-jaffna-part-2/</t>
        </is>
      </c>
    </row>
    <row r="296">
      <c r="A296" s="7" t="inlineStr">
        <is>
          <t>ALL-0295</t>
        </is>
      </c>
      <c r="B296" s="7" t="inlineStr">
        <is>
          <t>Magazines/Journals</t>
        </is>
      </c>
      <c r="C296" s="8" t="inlineStr">
        <is>
          <t>2026</t>
        </is>
      </c>
      <c r="D296" s="7" t="inlineStr">
        <is>
          <t>2026-03-13</t>
        </is>
      </c>
      <c r="E296" s="9" t="inlineStr">
        <is>
          <t>யாழ்ப்பாண பௌத்தம் கி.மு. 100 – கி.பி. 1200 – பகுதி 2</t>
        </is>
      </c>
      <c r="F296" s="9" t="inlineStr">
        <is>
          <t>Siva Thiagarajah</t>
        </is>
      </c>
      <c r="G296" s="9" t="inlineStr">
        <is>
          <t>Ezhuna (எழுநா)</t>
        </is>
      </c>
      <c r="H296" s="7" t="inlineStr">
        <is>
          <t>Online magazine article</t>
        </is>
      </c>
      <c r="I296" s="7" t="inlineStr">
        <is>
          <t>Tamil</t>
        </is>
      </c>
      <c r="J296" s="9" t="inlineStr">
        <is>
          <t>Archaeology / தொல்லியல்</t>
        </is>
      </c>
      <c r="K296" s="9" t="inlineStr">
        <is>
          <t>Buddhism; Jaffna; archaeology</t>
        </is>
      </c>
      <c r="L296" s="7" t="inlineStr">
        <is>
          <t>Yes</t>
        </is>
      </c>
      <c r="M296" s="9" t="inlineStr">
        <is>
          <t>Series: Kantarodai civilization of ancient Jaffna</t>
        </is>
      </c>
      <c r="N296" s="10" t="inlineStr">
        <is>
          <t>https://www.ezhunaonline.com/jaffna-buddhism-100-bc-1200-ad-part-2/</t>
        </is>
      </c>
    </row>
    <row r="297">
      <c r="A297" s="11" t="inlineStr">
        <is>
          <t>ALL-0296</t>
        </is>
      </c>
      <c r="B297" s="11" t="inlineStr">
        <is>
          <t>Magazines/Journals</t>
        </is>
      </c>
      <c r="C297" s="12" t="inlineStr">
        <is>
          <t>2026</t>
        </is>
      </c>
      <c r="D297" s="11" t="inlineStr">
        <is>
          <t>2026-04-06</t>
        </is>
      </c>
      <c r="E297" s="13" t="inlineStr">
        <is>
          <t>கந்தரோடையிலும் வடஇலங்கையின் பிற இடங்களிலும் கண்ட ஆதிகால நாணயங்கள் – பகுதி 1</t>
        </is>
      </c>
      <c r="F297" s="13" t="inlineStr">
        <is>
          <t>Siva Thiagarajah</t>
        </is>
      </c>
      <c r="G297" s="13" t="inlineStr">
        <is>
          <t>Ezhuna (எழுநா)</t>
        </is>
      </c>
      <c r="H297" s="11" t="inlineStr">
        <is>
          <t>Online magazine article</t>
        </is>
      </c>
      <c r="I297" s="11" t="inlineStr">
        <is>
          <t>Tamil</t>
        </is>
      </c>
      <c r="J297" s="13" t="inlineStr">
        <is>
          <t>Coins / நாணயம்</t>
        </is>
      </c>
      <c r="K297" s="13" t="inlineStr">
        <is>
          <t>coins; Kantarodai</t>
        </is>
      </c>
      <c r="L297" s="11" t="inlineStr">
        <is>
          <t>Yes</t>
        </is>
      </c>
      <c r="M297" s="13" t="inlineStr">
        <is>
          <t>Series: Kantarodai civilization of ancient Jaffna</t>
        </is>
      </c>
      <c r="N297" s="14" t="inlineStr">
        <is>
          <t>https://www.ezhunaonline.com/ancient-coins-found-in-kandy-and-northern-sri-lanka-part-1/</t>
        </is>
      </c>
    </row>
    <row r="298">
      <c r="A298" s="7" t="inlineStr">
        <is>
          <t>ALL-0297</t>
        </is>
      </c>
      <c r="B298" s="7" t="inlineStr">
        <is>
          <t>Magazines/Journals</t>
        </is>
      </c>
      <c r="C298" s="8" t="inlineStr">
        <is>
          <t>2026</t>
        </is>
      </c>
      <c r="D298" s="7" t="inlineStr">
        <is>
          <t>2026-04-09</t>
        </is>
      </c>
      <c r="E298" s="9" t="inlineStr">
        <is>
          <t>கந்தரோடையிலும் வடஇலங்கையின் பிற இடங்களிலும் கண்ட ஆதிகால நாணயங்கள் – பகுதி 2</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https://www.ezhunaonline.com/ancient-coins-found-in-kandy-and-northern-sri-lanka-part-2/</t>
        </is>
      </c>
    </row>
    <row r="299">
      <c r="A299" s="11" t="inlineStr">
        <is>
          <t>ALL-0298</t>
        </is>
      </c>
      <c r="B299" s="11" t="inlineStr">
        <is>
          <t>Magazines/Journals</t>
        </is>
      </c>
      <c r="C299" s="12" t="inlineStr">
        <is>
          <t>2026</t>
        </is>
      </c>
      <c r="D299" s="11" t="inlineStr">
        <is>
          <t>2026-05-19</t>
        </is>
      </c>
      <c r="E299" s="13" t="inlineStr">
        <is>
          <t>கந்தரோடை நாகரிகத்தின் தோற்றமும் படிமுறை வளர்ச்சியும் – பகுதி 4</t>
        </is>
      </c>
      <c r="F299" s="13" t="inlineStr">
        <is>
          <t>Siva Thiagarajah</t>
        </is>
      </c>
      <c r="G299" s="13" t="inlineStr">
        <is>
          <t>Ezhuna (எழுநா)</t>
        </is>
      </c>
      <c r="H299" s="11" t="inlineStr">
        <is>
          <t>Online magazine article</t>
        </is>
      </c>
      <c r="I299" s="11" t="inlineStr">
        <is>
          <t>Tamil</t>
        </is>
      </c>
      <c r="J299" s="13" t="inlineStr">
        <is>
          <t>Archaeology / தொல்லியல்</t>
        </is>
      </c>
      <c r="K299" s="13" t="inlineStr">
        <is>
          <t>தொல்லியல்; Kantarodai</t>
        </is>
      </c>
      <c r="L299" s="11" t="inlineStr">
        <is>
          <t>Yes</t>
        </is>
      </c>
      <c r="M299" s="13" t="inlineStr">
        <is>
          <t>Series: Kantarodai civilization of ancient Jaffna</t>
        </is>
      </c>
      <c r="N299" s="14" t="inlineStr">
        <is>
          <t>https://www.ezhunaonline.com/origin-and-gradual-development-of-the-gandharoda-civilization-part-4/</t>
        </is>
      </c>
    </row>
    <row r="300">
      <c r="A300" s="7" t="inlineStr">
        <is>
          <t>ALL-0299</t>
        </is>
      </c>
      <c r="B300" s="7" t="inlineStr">
        <is>
          <t>Magazines/Journals</t>
        </is>
      </c>
      <c r="C300" s="8" t="inlineStr">
        <is>
          <t>2026</t>
        </is>
      </c>
      <c r="D300" s="7" t="inlineStr">
        <is>
          <t>2026-06-22</t>
        </is>
      </c>
      <c r="E300" s="9" t="inlineStr">
        <is>
          <t>இலங்கையின் மகாவம்ச வரலாற்றைப் புரட்டிப்போட்ட கந்தரோடைத் தொல்லியலும் ஆதி இரும்புக்காலம் பற்றிய அறிவியல் ஆய்வுகளும் – பகுதி 5</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 Iron Age</t>
        </is>
      </c>
      <c r="L300" s="7" t="inlineStr">
        <is>
          <t>Yes</t>
        </is>
      </c>
      <c r="M300" s="9" t="inlineStr">
        <is>
          <t>Series: Kantarodai civilization of ancient Jaffna</t>
        </is>
      </c>
      <c r="N300" s="10" t="inlineStr">
        <is>
          <t>https://www.ezhunaonline.com/the-gandarodai-archaeological-site-and-scientific-studies-on-the-early-iron-age-that-overturned-the-mahavamsa-history-of-sri-lanka-part-5/</t>
        </is>
      </c>
    </row>
    <row r="301">
      <c r="A301" s="11" t="inlineStr">
        <is>
          <t>ALL-0300</t>
        </is>
      </c>
      <c r="B301" s="11" t="inlineStr">
        <is>
          <t>Magazines/Journals</t>
        </is>
      </c>
      <c r="C301" s="12" t="inlineStr">
        <is>
          <t>2026</t>
        </is>
      </c>
      <c r="D301" s="11" t="inlineStr">
        <is>
          <t>2026-06-30</t>
        </is>
      </c>
      <c r="E301" s="13" t="inlineStr">
        <is>
          <t>தொல்லியலும் கடந்த காலத்தை ஆயுதமாக்குதலும் – பகுதி 2</t>
        </is>
      </c>
      <c r="F301" s="13" t="inlineStr">
        <is>
          <t>மீநிலங்கோ தெய்வேந்திரன்</t>
        </is>
      </c>
      <c r="G301" s="13" t="inlineStr">
        <is>
          <t>Ezhuna (எழுநா)</t>
        </is>
      </c>
      <c r="H301" s="11" t="inlineStr">
        <is>
          <t>Online magazine article</t>
        </is>
      </c>
      <c r="I301" s="11" t="inlineStr">
        <is>
          <t>Tamil</t>
        </is>
      </c>
      <c r="J301" s="13" t="n"/>
      <c r="K301" s="13" t="n"/>
      <c r="L301" s="11" t="inlineStr">
        <is>
          <t>Yes</t>
        </is>
      </c>
      <c r="M301" s="13" t="inlineStr">
        <is>
          <t>Auto-collected 2026-10-14 (ezhuna); review.</t>
        </is>
      </c>
      <c r="N301" s="14" t="inlineStr">
        <is>
          <t>https://www.ezhunaonline.com/archaeology-and-weaponizing-the-past-part-2/</t>
        </is>
      </c>
    </row>
    <row r="302">
      <c r="A302" s="7" t="inlineStr">
        <is>
          <t>ALL-0301</t>
        </is>
      </c>
      <c r="B302" s="7" t="inlineStr">
        <is>
          <t>Magazines/Journals</t>
        </is>
      </c>
      <c r="C302" s="8" t="inlineStr">
        <is>
          <t>2026</t>
        </is>
      </c>
      <c r="D302" s="7" t="inlineStr">
        <is>
          <t>2026-07-15</t>
        </is>
      </c>
      <c r="E302" s="9" t="inlineStr">
        <is>
          <t>திராவிட மக்களின் மரபணு மூலங்களும் தமிழ்மொழியின் படிமுறைத் தோற்றமும் – அறிமுகம்</t>
        </is>
      </c>
      <c r="F302" s="9" t="inlineStr">
        <is>
          <t>சிவ தியாகராஜா</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https://www.ezhunaonline.com/the-genetic-origins-of-the-dravidian-people-and-the-evolutionary-emergence-of-the-tamil-language-an-introduction/</t>
        </is>
      </c>
    </row>
    <row r="303">
      <c r="A303" s="11" t="inlineStr">
        <is>
          <t>ALL-0302</t>
        </is>
      </c>
      <c r="B303" s="11" t="inlineStr">
        <is>
          <t>Magazines/Journals</t>
        </is>
      </c>
      <c r="C303" s="12" t="inlineStr">
        <is>
          <t>2026</t>
        </is>
      </c>
      <c r="D303" s="11" t="inlineStr">
        <is>
          <t>2026-09-15</t>
        </is>
      </c>
      <c r="E303" s="13" t="inlineStr">
        <is>
          <t>2500 ஆண்டுகளுக்கு முற்பட்ட யாழ்ப்பாணத்து மக்களின் உணவுப் பழக்கவழக்கங்கள்: ஆனைக்கோட்டை அகழ்வாய்வில் வெளிச்சத்திற்கு வந்திருக்கும் உண்மைகள்</t>
        </is>
      </c>
      <c r="F303" s="13" t="inlineStr">
        <is>
          <t>பரமு புஷ்பரட்ணம்</t>
        </is>
      </c>
      <c r="G303" s="13" t="inlineStr">
        <is>
          <t>Ezhuna (எழுநா)</t>
        </is>
      </c>
      <c r="H303" s="11" t="inlineStr">
        <is>
          <t>Online magazine article</t>
        </is>
      </c>
      <c r="I303" s="11" t="inlineStr">
        <is>
          <t>Tamil</t>
        </is>
      </c>
      <c r="J303" s="13" t="inlineStr">
        <is>
          <t>Archaeology / தொல்லியல்</t>
        </is>
      </c>
      <c r="K303" s="13" t="n"/>
      <c r="L303" s="11" t="inlineStr">
        <is>
          <t>Yes</t>
        </is>
      </c>
      <c r="M303" s="13" t="inlineStr">
        <is>
          <t>Auto-collected 2026-10-14 (ezhuna); review.</t>
        </is>
      </c>
      <c r="N303" s="14" t="inlineStr">
        <is>
          <t>https://www.ezhunaonline.com/dietary-habits-of-the-people-of-jaffna-2500-years-ago-facts-revealed-by-the-anaicottai-excavation/</t>
        </is>
      </c>
    </row>
    <row r="304">
      <c r="A304" s="7" t="inlineStr">
        <is>
          <t>ALL-0303</t>
        </is>
      </c>
      <c r="B304" s="7" t="inlineStr">
        <is>
          <t>Magazines/Journals</t>
        </is>
      </c>
      <c r="C304" s="8" t="inlineStr">
        <is>
          <t>2025</t>
        </is>
      </c>
      <c r="D304" s="7" t="inlineStr">
        <is>
          <t>2025-01-11</t>
        </is>
      </c>
      <c r="E304" s="9" t="inlineStr">
        <is>
          <t>ஒச்சாப்பு கல்லு எனும் பண்டைய நாகர் குடியிருப்பு</t>
        </is>
      </c>
      <c r="F304" s="9" t="inlineStr">
        <is>
          <t>N. K. S. Thiruchelvam</t>
        </is>
      </c>
      <c r="G304" s="9" t="inlineStr">
        <is>
          <t>Ezhuna (எழுநா)</t>
        </is>
      </c>
      <c r="H304" s="7" t="inlineStr">
        <is>
          <t>Online magazine article</t>
        </is>
      </c>
      <c r="I304" s="7" t="inlineStr">
        <is>
          <t>Tamil</t>
        </is>
      </c>
      <c r="J304" s="9" t="inlineStr">
        <is>
          <t>Archaeology / தொல்லியல்</t>
        </is>
      </c>
      <c r="K304" s="9" t="inlineStr">
        <is>
          <t>தொல்லியல்; Naga settlement; Ochappu Kallu</t>
        </is>
      </c>
      <c r="L304" s="7" t="inlineStr">
        <is>
          <t>Yes</t>
        </is>
      </c>
      <c r="M304" s="9" t="inlineStr">
        <is>
          <t>Series: Naga people in Sri Lankan Brahmi inscriptions</t>
        </is>
      </c>
      <c r="N304" s="10" t="inlineStr">
        <is>
          <t>https://www.ezhunaonline.com/ochapu-kallu-is-an-ancient-nagar-settlement/</t>
        </is>
      </c>
    </row>
    <row r="305">
      <c r="A305" s="11" t="inlineStr">
        <is>
          <t>ALL-0304</t>
        </is>
      </c>
      <c r="B305" s="11" t="inlineStr">
        <is>
          <t>Magazines/Journals</t>
        </is>
      </c>
      <c r="C305" s="12" t="inlineStr">
        <is>
          <t>2025</t>
        </is>
      </c>
      <c r="D305" s="11" t="inlineStr">
        <is>
          <t>2025-01-24</t>
        </is>
      </c>
      <c r="E305" s="13" t="inlineStr">
        <is>
          <t>பிராமணன் திவக்கனின் தங்கத் திருமலையில் நாகர் பற்றிய கல்வெட்டு</t>
        </is>
      </c>
      <c r="F305" s="13" t="inlineStr">
        <is>
          <t>N. K. S. Thiruchelvam</t>
        </is>
      </c>
      <c r="G305" s="13" t="inlineStr">
        <is>
          <t>Ezhuna (எழுநா)</t>
        </is>
      </c>
      <c r="H305" s="11" t="inlineStr">
        <is>
          <t>Online magazine article</t>
        </is>
      </c>
      <c r="I305" s="11" t="inlineStr">
        <is>
          <t>Tamil</t>
        </is>
      </c>
      <c r="J305" s="13" t="inlineStr">
        <is>
          <t>Inscriptions / கல்வெட்டு</t>
        </is>
      </c>
      <c r="K305" s="13" t="inlineStr">
        <is>
          <t>கல்வெட்டு; Naga</t>
        </is>
      </c>
      <c r="L305" s="11" t="inlineStr">
        <is>
          <t>Yes</t>
        </is>
      </c>
      <c r="M305" s="13" t="inlineStr">
        <is>
          <t>Series: Naga people in Sri Lankan Brahmi inscriptions</t>
        </is>
      </c>
      <c r="N305" s="14" t="inlineStr">
        <is>
          <t>https://www.ezhunaonline.com/inscription-about-nagar-on-thanga-tirumala-by-brahmin-divakan/</t>
        </is>
      </c>
    </row>
    <row r="306">
      <c r="A306" s="7" t="inlineStr">
        <is>
          <t>ALL-0305</t>
        </is>
      </c>
      <c r="B306" s="7" t="inlineStr">
        <is>
          <t>Magazines/Journals</t>
        </is>
      </c>
      <c r="C306" s="8" t="inlineStr">
        <is>
          <t>2025</t>
        </is>
      </c>
      <c r="D306" s="7" t="inlineStr">
        <is>
          <t>2025-01-30</t>
        </is>
      </c>
      <c r="E306" s="9" t="inlineStr">
        <is>
          <t>கழிகாமமலையின் எல்லையில்</t>
        </is>
      </c>
      <c r="F306" s="9" t="inlineStr">
        <is>
          <t>Vivekanantharaja Thulanchanan</t>
        </is>
      </c>
      <c r="G306" s="9" t="inlineStr">
        <is>
          <t>Ezhuna (எழுநா)</t>
        </is>
      </c>
      <c r="H306" s="7" t="inlineStr">
        <is>
          <t>Online magazine article</t>
        </is>
      </c>
      <c r="I306" s="7" t="inlineStr">
        <is>
          <t>Tamil</t>
        </is>
      </c>
      <c r="J306" s="9" t="n"/>
      <c r="K306" s="9" t="inlineStr">
        <is>
          <t>East coast; history</t>
        </is>
      </c>
      <c r="L306" s="7" t="inlineStr">
        <is>
          <t>Yes</t>
        </is>
      </c>
      <c r="M306" s="9" t="inlineStr">
        <is>
          <t>Series: East coast of Sri Lanka - a historical perspective</t>
        </is>
      </c>
      <c r="N306" s="10" t="inlineStr">
        <is>
          <t>https://www.ezhunaonline.com/on-the-border-of-ghazigamalai/</t>
        </is>
      </c>
    </row>
    <row r="307">
      <c r="A307" s="11" t="inlineStr">
        <is>
          <t>ALL-0306</t>
        </is>
      </c>
      <c r="B307" s="11" t="inlineStr">
        <is>
          <t>Magazines/Journals</t>
        </is>
      </c>
      <c r="C307" s="12" t="inlineStr">
        <is>
          <t>2025</t>
        </is>
      </c>
      <c r="D307" s="11" t="inlineStr">
        <is>
          <t>2025-02-09</t>
        </is>
      </c>
      <c r="E307" s="13" t="inlineStr">
        <is>
          <t>அரிட்ட பர்வத மலை எனும் ரிட்டிகல மலையில் காணப்படும் நாகர் பற்றிய கல்வெட்டுகள்</t>
        </is>
      </c>
      <c r="F307" s="13" t="inlineStr">
        <is>
          <t>N. K. S. Thiruchelvam</t>
        </is>
      </c>
      <c r="G307" s="13" t="inlineStr">
        <is>
          <t>Ezhuna (எழுநா)</t>
        </is>
      </c>
      <c r="H307" s="11" t="inlineStr">
        <is>
          <t>Online magazine article</t>
        </is>
      </c>
      <c r="I307" s="11" t="inlineStr">
        <is>
          <t>Tamil</t>
        </is>
      </c>
      <c r="J307" s="13" t="inlineStr">
        <is>
          <t>Inscriptions / கல்வெட்டு</t>
        </is>
      </c>
      <c r="K307" s="13" t="inlineStr">
        <is>
          <t>கல்வெட்டு; Naga; Ritigala</t>
        </is>
      </c>
      <c r="L307" s="11" t="inlineStr">
        <is>
          <t>Yes</t>
        </is>
      </c>
      <c r="M307" s="13" t="inlineStr">
        <is>
          <t>Series: Naga people in Sri Lankan Brahmi inscriptions</t>
        </is>
      </c>
      <c r="N307" s="14" t="inlineStr">
        <is>
          <t>https://www.ezhunaonline.com/inscriptions-about-nagar-found-on-rittikala-hill-arita-parvata-hill/</t>
        </is>
      </c>
    </row>
    <row r="308">
      <c r="A308" s="7" t="inlineStr">
        <is>
          <t>ALL-0307</t>
        </is>
      </c>
      <c r="B308" s="7" t="inlineStr">
        <is>
          <t>Magazines/Journals</t>
        </is>
      </c>
      <c r="C308" s="8" t="inlineStr">
        <is>
          <t>2025</t>
        </is>
      </c>
      <c r="D308" s="7" t="inlineStr">
        <is>
          <t>2025-02-22</t>
        </is>
      </c>
      <c r="E308" s="9" t="inlineStr">
        <is>
          <t>ரிதி விகாரை மலையில் நாக மகாராஜன் பற்றிய கல்வெட்டு</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https://www.ezhunaonline.com/inscription-of-naga-maharaja-on-rithi-viharai-hill/</t>
        </is>
      </c>
    </row>
    <row r="309">
      <c r="A309" s="11" t="inlineStr">
        <is>
          <t>ALL-0308</t>
        </is>
      </c>
      <c r="B309" s="11" t="inlineStr">
        <is>
          <t>Magazines/Journals</t>
        </is>
      </c>
      <c r="C309" s="12" t="inlineStr">
        <is>
          <t>2025</t>
        </is>
      </c>
      <c r="D309" s="11" t="inlineStr">
        <is>
          <t>2025-02-25</t>
        </is>
      </c>
      <c r="E309" s="13" t="inlineStr">
        <is>
          <t>பண்டைய யாழ்ப்பாணத்தின் கந்தரோடை நாகரிகம்</t>
        </is>
      </c>
      <c r="F309" s="13" t="inlineStr">
        <is>
          <t>Siva Thiagarajah</t>
        </is>
      </c>
      <c r="G309" s="13" t="inlineStr">
        <is>
          <t>Ezhuna (எழுநா)</t>
        </is>
      </c>
      <c r="H309" s="11" t="inlineStr">
        <is>
          <t>Online magazine article</t>
        </is>
      </c>
      <c r="I309" s="11" t="inlineStr">
        <is>
          <t>Tamil</t>
        </is>
      </c>
      <c r="J309" s="13" t="inlineStr">
        <is>
          <t>Archaeology / தொல்லியல்</t>
        </is>
      </c>
      <c r="K309" s="13" t="inlineStr">
        <is>
          <t>தொல்லியல்; Kantarodai</t>
        </is>
      </c>
      <c r="L309" s="11" t="inlineStr">
        <is>
          <t>Yes</t>
        </is>
      </c>
      <c r="M309" s="13" t="inlineStr">
        <is>
          <t>Series: Kantarodai civilization of ancient Jaffna</t>
        </is>
      </c>
      <c r="N309" s="14" t="inlineStr">
        <is>
          <t>https://www.ezhunaonline.com/gandharoda-civilization-of-ancient-jaffna/</t>
        </is>
      </c>
    </row>
    <row r="310">
      <c r="A310" s="7" t="inlineStr">
        <is>
          <t>ALL-0309</t>
        </is>
      </c>
      <c r="B310" s="7" t="inlineStr">
        <is>
          <t>Magazines/Journals</t>
        </is>
      </c>
      <c r="C310" s="8" t="inlineStr">
        <is>
          <t>2025</t>
        </is>
      </c>
      <c r="D310" s="7" t="inlineStr">
        <is>
          <t>2025-03-05</t>
        </is>
      </c>
      <c r="E310" s="9" t="inlineStr">
        <is>
          <t>யாழ்ப்பாணத்தின் நிலவியல், நில அமைப்பியல், ஆதிக் குடியிருப்புகள்</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settlements; Jaffna</t>
        </is>
      </c>
      <c r="L310" s="7" t="inlineStr">
        <is>
          <t>Yes</t>
        </is>
      </c>
      <c r="M310" s="9" t="inlineStr">
        <is>
          <t>Series: Kantarodai civilization of ancient Jaffna</t>
        </is>
      </c>
      <c r="N310" s="10" t="inlineStr">
        <is>
          <t>https://www.ezhunaonline.com/geology-topography-and-ancient-settlements-of-jaffna/</t>
        </is>
      </c>
    </row>
    <row r="311">
      <c r="A311" s="11" t="inlineStr">
        <is>
          <t>ALL-0310</t>
        </is>
      </c>
      <c r="B311" s="11" t="inlineStr">
        <is>
          <t>Magazines/Journals</t>
        </is>
      </c>
      <c r="C311" s="12" t="inlineStr">
        <is>
          <t>2025</t>
        </is>
      </c>
      <c r="D311" s="11" t="inlineStr">
        <is>
          <t>2025-03-11</t>
        </is>
      </c>
      <c r="E311" s="13" t="inlineStr">
        <is>
          <t>2000 ஆண்டுகளுக்கு முன்பு சித்தர்கள் வாழ்ந்த ஆண்டியாகல மலைக் கல்வெட்டு</t>
        </is>
      </c>
      <c r="F311" s="13" t="inlineStr">
        <is>
          <t>N. K. S. Thiruchelvam</t>
        </is>
      </c>
      <c r="G311" s="13" t="inlineStr">
        <is>
          <t>Ezhuna (எழுநா)</t>
        </is>
      </c>
      <c r="H311" s="11" t="inlineStr">
        <is>
          <t>Online magazine article</t>
        </is>
      </c>
      <c r="I311" s="11" t="inlineStr">
        <is>
          <t>Tamil</t>
        </is>
      </c>
      <c r="J311" s="13" t="inlineStr">
        <is>
          <t>Inscriptions / கல்வெட்டு</t>
        </is>
      </c>
      <c r="K311" s="13" t="inlineStr">
        <is>
          <t>கல்வெட்டு; Andiyagala</t>
        </is>
      </c>
      <c r="L311" s="11" t="inlineStr">
        <is>
          <t>Yes</t>
        </is>
      </c>
      <c r="M311" s="13" t="inlineStr">
        <is>
          <t>Series: Naga people in Sri Lankan Brahmi inscriptions</t>
        </is>
      </c>
      <c r="N311" s="14" t="inlineStr">
        <is>
          <t>https://www.ezhunaonline.com/andiyagala-hill-inscription-where-siddhas-lived-2000-years-ago/</t>
        </is>
      </c>
    </row>
    <row r="312">
      <c r="A312" s="7" t="inlineStr">
        <is>
          <t>ALL-0311</t>
        </is>
      </c>
      <c r="B312" s="7" t="inlineStr">
        <is>
          <t>Magazines/Journals</t>
        </is>
      </c>
      <c r="C312" s="8" t="inlineStr">
        <is>
          <t>2025</t>
        </is>
      </c>
      <c r="D312" s="7" t="inlineStr">
        <is>
          <t>2025-03-30</t>
        </is>
      </c>
      <c r="E312" s="9" t="inlineStr">
        <is>
          <t>நாக குலத்தவர் பற்றிக் கூறும் ஹிபவுவ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Naga; Hibauwa</t>
        </is>
      </c>
      <c r="L312" s="7" t="inlineStr">
        <is>
          <t>Yes</t>
        </is>
      </c>
      <c r="M312" s="9" t="inlineStr">
        <is>
          <t>Series: Naga people in Sri Lankan Brahmi inscriptions</t>
        </is>
      </c>
      <c r="N312" s="10" t="inlineStr">
        <is>
          <t>https://www.ezhunaonline.com/hibauwa-inscription-about-the-naga-clan/</t>
        </is>
      </c>
    </row>
    <row r="313">
      <c r="A313" s="11" t="inlineStr">
        <is>
          <t>ALL-0312</t>
        </is>
      </c>
      <c r="B313" s="11" t="inlineStr">
        <is>
          <t>Magazines/Journals</t>
        </is>
      </c>
      <c r="C313" s="12" t="inlineStr">
        <is>
          <t>2025</t>
        </is>
      </c>
      <c r="D313" s="11" t="inlineStr">
        <is>
          <t>2025-04-10</t>
        </is>
      </c>
      <c r="E313" s="13" t="inlineStr">
        <is>
          <t>வரலாறு மற்றும் இலக்கியப் பதிவுகளில் நாகநாடும் நாகர்களும் – பகுதி 2</t>
        </is>
      </c>
      <c r="F313" s="13" t="inlineStr">
        <is>
          <t>Siva Thiagarajah</t>
        </is>
      </c>
      <c r="G313" s="13" t="inlineStr">
        <is>
          <t>Ezhuna (எழுநா)</t>
        </is>
      </c>
      <c r="H313" s="11" t="inlineStr">
        <is>
          <t>Online magazine article</t>
        </is>
      </c>
      <c r="I313" s="11" t="inlineStr">
        <is>
          <t>Tamil</t>
        </is>
      </c>
      <c r="J313" s="13" t="n"/>
      <c r="K313" s="13" t="inlineStr">
        <is>
          <t>Naga; Naganadu</t>
        </is>
      </c>
      <c r="L313" s="11" t="inlineStr">
        <is>
          <t>Yes</t>
        </is>
      </c>
      <c r="M313" s="13" t="inlineStr">
        <is>
          <t>Series: Kantarodai civilization of ancient Jaffna</t>
        </is>
      </c>
      <c r="N313" s="14" t="inlineStr">
        <is>
          <t>https://www.ezhunaonline.com/nagaland-and-the-nagas-in-history-and-literary-records-part-2/</t>
        </is>
      </c>
    </row>
    <row r="314">
      <c r="A314" s="7" t="inlineStr">
        <is>
          <t>ALL-0313</t>
        </is>
      </c>
      <c r="B314" s="7" t="inlineStr">
        <is>
          <t>Magazines/Journals</t>
        </is>
      </c>
      <c r="C314" s="8" t="inlineStr">
        <is>
          <t>2025</t>
        </is>
      </c>
      <c r="D314" s="7" t="inlineStr">
        <is>
          <t>2025-05-05</t>
        </is>
      </c>
      <c r="E314" s="9" t="inlineStr">
        <is>
          <t>தொல்பொருட்களின் தேதிக்கணிப்புகள் (The Dating of Archaeological Artefacts)</t>
        </is>
      </c>
      <c r="F314" s="9" t="inlineStr">
        <is>
          <t>Siva Thiagarajah</t>
        </is>
      </c>
      <c r="G314" s="9" t="inlineStr">
        <is>
          <t>Ezhuna (எழுநா)</t>
        </is>
      </c>
      <c r="H314" s="7" t="inlineStr">
        <is>
          <t>Online magazine article</t>
        </is>
      </c>
      <c r="I314" s="7" t="inlineStr">
        <is>
          <t>Tamil</t>
        </is>
      </c>
      <c r="J314" s="9" t="inlineStr">
        <is>
          <t>Archaeology / தொல்லியல்</t>
        </is>
      </c>
      <c r="K314" s="9" t="inlineStr">
        <is>
          <t>தொல்லியல்; dating</t>
        </is>
      </c>
      <c r="L314" s="7" t="inlineStr">
        <is>
          <t>Yes</t>
        </is>
      </c>
      <c r="M314" s="9" t="inlineStr">
        <is>
          <t>Series: Kantarodai civilization of ancient Jaffna</t>
        </is>
      </c>
      <c r="N314" s="10" t="inlineStr">
        <is>
          <t>https://www.ezhunaonline.com/the-dating-of-archaeological-artefacts/</t>
        </is>
      </c>
    </row>
    <row r="315">
      <c r="A315" s="11" t="inlineStr">
        <is>
          <t>ALL-0314</t>
        </is>
      </c>
      <c r="B315" s="11" t="inlineStr">
        <is>
          <t>Magazines/Journals</t>
        </is>
      </c>
      <c r="C315" s="12" t="inlineStr">
        <is>
          <t>2025</t>
        </is>
      </c>
      <c r="D315" s="11" t="inlineStr">
        <is>
          <t>2025-06-13</t>
        </is>
      </c>
      <c r="E315" s="13" t="inlineStr">
        <is>
          <t>கந்தரோடைத் தொல்லியல் (Archaeology of Kantarodai) – பகுதி 3</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Kantarodai</t>
        </is>
      </c>
      <c r="L315" s="11" t="inlineStr">
        <is>
          <t>Yes</t>
        </is>
      </c>
      <c r="M315" s="13" t="inlineStr">
        <is>
          <t>Series: Kantarodai civilization of ancient Jaffna</t>
        </is>
      </c>
      <c r="N315" s="14" t="inlineStr">
        <is>
          <t>https://www.ezhunaonline.com/archaeology-of-kantarodai-part-3/</t>
        </is>
      </c>
    </row>
    <row r="316">
      <c r="A316" s="7" t="inlineStr">
        <is>
          <t>ALL-0315</t>
        </is>
      </c>
      <c r="B316" s="7" t="inlineStr">
        <is>
          <t>Magazines/Journals</t>
        </is>
      </c>
      <c r="C316" s="8" t="inlineStr">
        <is>
          <t>2025</t>
        </is>
      </c>
      <c r="D316" s="7" t="inlineStr">
        <is>
          <t>2025-07-11</t>
        </is>
      </c>
      <c r="E316" s="9" t="inlineStr">
        <is>
          <t>ஆனைக்கோட்டைத் தொல்லியலாய்வு</t>
        </is>
      </c>
      <c r="F316" s="9" t="inlineStr">
        <is>
          <t>Siva Thiagarajah</t>
        </is>
      </c>
      <c r="G316" s="9" t="inlineStr">
        <is>
          <t>Ezhuna (எழுநா)</t>
        </is>
      </c>
      <c r="H316" s="7" t="inlineStr">
        <is>
          <t>Online magazine article</t>
        </is>
      </c>
      <c r="I316" s="7" t="inlineStr">
        <is>
          <t>Tamil</t>
        </is>
      </c>
      <c r="J316" s="9" t="inlineStr">
        <is>
          <t>Inscriptions / கல்வெட்டு; Archaeology / தொல்லியல்</t>
        </is>
      </c>
      <c r="K316" s="9" t="inlineStr">
        <is>
          <t>தொல்லியல்; Anaikoddai; seal</t>
        </is>
      </c>
      <c r="L316" s="7" t="inlineStr">
        <is>
          <t>Yes</t>
        </is>
      </c>
      <c r="M316" s="9" t="inlineStr">
        <is>
          <t>Series: Kantarodai civilization of ancient Jaffna</t>
        </is>
      </c>
      <c r="N316" s="10" t="inlineStr">
        <is>
          <t>https://www.ezhunaonline.com/anaikottai-archaeological-survey/</t>
        </is>
      </c>
    </row>
    <row r="317">
      <c r="A317" s="11" t="inlineStr">
        <is>
          <t>ALL-0316</t>
        </is>
      </c>
      <c r="B317" s="11" t="inlineStr">
        <is>
          <t>Magazines/Journals</t>
        </is>
      </c>
      <c r="C317" s="12" t="inlineStr">
        <is>
          <t>2025</t>
        </is>
      </c>
      <c r="D317" s="11" t="inlineStr">
        <is>
          <t>2025-07-14</t>
        </is>
      </c>
      <c r="E317" s="13" t="inlineStr">
        <is>
          <t>மன்னன் நாகன் பற்றிக் கூறும் கள்ளஞ்சிய பாறைக் கல்வெட்டு</t>
        </is>
      </c>
      <c r="F317" s="13" t="inlineStr">
        <is>
          <t>N. K. S. Thiruchelvam</t>
        </is>
      </c>
      <c r="G317" s="13" t="inlineStr">
        <is>
          <t>Ezhuna (எழுநா)</t>
        </is>
      </c>
      <c r="H317" s="11" t="inlineStr">
        <is>
          <t>Online magazine article</t>
        </is>
      </c>
      <c r="I317" s="11" t="inlineStr">
        <is>
          <t>Tamil</t>
        </is>
      </c>
      <c r="J317" s="13" t="inlineStr">
        <is>
          <t>Inscriptions / கல்வெட்டு</t>
        </is>
      </c>
      <c r="K317" s="13" t="inlineStr">
        <is>
          <t>கல்வெட்டு; Naga; Kallanchiya</t>
        </is>
      </c>
      <c r="L317" s="11" t="inlineStr">
        <is>
          <t>Yes</t>
        </is>
      </c>
      <c r="M317" s="13" t="inlineStr">
        <is>
          <t>Series: Naga people in Sri Lankan Brahmi inscriptions</t>
        </is>
      </c>
      <c r="N317" s="14" t="inlineStr">
        <is>
          <t>https://www.ezhunaonline.com/the-kallanchiya-rock-inscription-tells-of-king-nagan/</t>
        </is>
      </c>
    </row>
    <row r="318">
      <c r="A318" s="7" t="inlineStr">
        <is>
          <t>ALL-0317</t>
        </is>
      </c>
      <c r="B318" s="7" t="inlineStr">
        <is>
          <t>Magazines/Journals</t>
        </is>
      </c>
      <c r="C318" s="8" t="inlineStr">
        <is>
          <t>2025</t>
        </is>
      </c>
      <c r="D318" s="7" t="inlineStr">
        <is>
          <t>2025-08-25</t>
        </is>
      </c>
      <c r="E318" s="9" t="inlineStr">
        <is>
          <t>யாழ்ப்பாணப் பட்டினம்: பொங்கொலிநீர்ச் சிங்கைநகர் – பகுதி 2</t>
        </is>
      </c>
      <c r="F318" s="9" t="inlineStr">
        <is>
          <t>Siva Thiagarajah</t>
        </is>
      </c>
      <c r="G318" s="9" t="inlineStr">
        <is>
          <t>Ezhuna (எழுநா)</t>
        </is>
      </c>
      <c r="H318" s="7" t="inlineStr">
        <is>
          <t>Online magazine article</t>
        </is>
      </c>
      <c r="I318" s="7" t="inlineStr">
        <is>
          <t>Tamil</t>
        </is>
      </c>
      <c r="J318" s="9" t="n"/>
      <c r="K318" s="9" t="inlineStr">
        <is>
          <t>Singai Nagar; Jaffna</t>
        </is>
      </c>
      <c r="L318" s="7" t="inlineStr">
        <is>
          <t>Yes</t>
        </is>
      </c>
      <c r="M318" s="9" t="inlineStr">
        <is>
          <t>Series: Kantarodai civilization of ancient Jaffna</t>
        </is>
      </c>
      <c r="N318" s="10" t="inlineStr">
        <is>
          <t>https://www.ezhunaonline.com/jaffna-city-pongoli-water-lion-city-part-2/</t>
        </is>
      </c>
    </row>
    <row r="319">
      <c r="A319" s="11" t="inlineStr">
        <is>
          <t>ALL-0318</t>
        </is>
      </c>
      <c r="B319" s="11" t="inlineStr">
        <is>
          <t>Magazines/Journals</t>
        </is>
      </c>
      <c r="C319" s="12" t="inlineStr">
        <is>
          <t>2025</t>
        </is>
      </c>
      <c r="D319" s="11" t="inlineStr">
        <is>
          <t>2025-09-04</t>
        </is>
      </c>
      <c r="E319" s="13" t="inlineStr">
        <is>
          <t>வல்லிபுரமும் நாகர்கோயிலும்</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Vallipuram</t>
        </is>
      </c>
      <c r="L319" s="11" t="inlineStr">
        <is>
          <t>Yes</t>
        </is>
      </c>
      <c r="M319" s="13" t="inlineStr">
        <is>
          <t>Series: Kantarodai civilization of ancient Jaffna</t>
        </is>
      </c>
      <c r="N319" s="14" t="inlineStr">
        <is>
          <t>https://www.ezhunaonline.com/vallipuram-and-nagercoil/</t>
        </is>
      </c>
    </row>
    <row r="320">
      <c r="A320" s="7" t="inlineStr">
        <is>
          <t>ALL-0319</t>
        </is>
      </c>
      <c r="B320" s="7" t="inlineStr">
        <is>
          <t>Magazines/Journals</t>
        </is>
      </c>
      <c r="C320" s="8" t="inlineStr">
        <is>
          <t>2025</t>
        </is>
      </c>
      <c r="D320" s="7" t="inlineStr">
        <is>
          <t>2025-10-10</t>
        </is>
      </c>
      <c r="E320" s="9" t="inlineStr">
        <is>
          <t>யாழ்ப்பாணத் தீபகற்பத்திற்குச் சமீபத்திலுள்ள ஆதிக்குடியேற்றங்கள்</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settlements</t>
        </is>
      </c>
      <c r="L320" s="7" t="inlineStr">
        <is>
          <t>Yes</t>
        </is>
      </c>
      <c r="M320" s="9" t="inlineStr">
        <is>
          <t>Series: Kantarodai civilization of ancient Jaffna</t>
        </is>
      </c>
      <c r="N320" s="10" t="inlineStr">
        <is>
          <t>https://www.ezhunaonline.com/early-settlements-near-the-jaffna-peninsula/</t>
        </is>
      </c>
    </row>
    <row r="321">
      <c r="A321" s="11" t="inlineStr">
        <is>
          <t>ALL-0320</t>
        </is>
      </c>
      <c r="B321" s="11" t="inlineStr">
        <is>
          <t>Magazines/Journals</t>
        </is>
      </c>
      <c r="C321" s="12" t="inlineStr">
        <is>
          <t>2025</t>
        </is>
      </c>
      <c r="D321" s="11" t="inlineStr">
        <is>
          <t>2025-11-06</t>
        </is>
      </c>
      <c r="E321" s="13" t="inlineStr">
        <is>
          <t>வட இலங்கைப் பெருநிலத்தில் ஆதிமனிதக் 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prehistoric settlements</t>
        </is>
      </c>
      <c r="L321" s="11" t="inlineStr">
        <is>
          <t>Yes</t>
        </is>
      </c>
      <c r="M321" s="13" t="inlineStr">
        <is>
          <t>Series: Kantarodai civilization of ancient Jaffna</t>
        </is>
      </c>
      <c r="N321" s="14" t="inlineStr">
        <is>
          <t>https://www.ezhunaonline.com/primitive-settlements-in-the-northern-mainland-of-sri-lanka/</t>
        </is>
      </c>
    </row>
    <row r="322">
      <c r="A322" s="7" t="inlineStr">
        <is>
          <t>ALL-0321</t>
        </is>
      </c>
      <c r="B322" s="7" t="inlineStr">
        <is>
          <t>Magazines/Journals</t>
        </is>
      </c>
      <c r="C322" s="8" t="inlineStr">
        <is>
          <t>2025</t>
        </is>
      </c>
      <c r="D322" s="7" t="inlineStr">
        <is>
          <t>2025-12-18</t>
        </is>
      </c>
      <c r="E322" s="9" t="inlineStr">
        <is>
          <t>இலங்கையில் ஆதி இரும்புக்காலமும் பெருங்கற் பண்பாடும் – பகுதி 3</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megalithic; Iron Age</t>
        </is>
      </c>
      <c r="L322" s="7" t="inlineStr">
        <is>
          <t>Yes</t>
        </is>
      </c>
      <c r="M322" s="9" t="inlineStr">
        <is>
          <t>Series: Kantarodai civilization of ancient Jaffna</t>
        </is>
      </c>
      <c r="N322" s="10" t="inlineStr">
        <is>
          <t>https://www.ezhunaonline.com/early-iron-age-and-neolithic-culture-in-sri-lanka-part-3/</t>
        </is>
      </c>
    </row>
    <row r="323">
      <c r="A323" s="11" t="inlineStr">
        <is>
          <t>ALL-0322</t>
        </is>
      </c>
      <c r="B323" s="11" t="inlineStr">
        <is>
          <t>Magazines/Journals</t>
        </is>
      </c>
      <c r="C323" s="12" t="inlineStr">
        <is>
          <t>2024</t>
        </is>
      </c>
      <c r="D323" s="11" t="inlineStr">
        <is>
          <t>2024-01-26</t>
        </is>
      </c>
      <c r="E323" s="13" t="inlineStr">
        <is>
          <t>கீழைக்கரையில் நாகரும் அனுரை அரசரும்</t>
        </is>
      </c>
      <c r="F323" s="13" t="inlineStr">
        <is>
          <t>Vivekanantharaja Thulanchanan</t>
        </is>
      </c>
      <c r="G323" s="13" t="inlineStr">
        <is>
          <t>Ezhuna (எழுநா)</t>
        </is>
      </c>
      <c r="H323" s="11" t="inlineStr">
        <is>
          <t>Online magazine article</t>
        </is>
      </c>
      <c r="I323" s="11" t="inlineStr">
        <is>
          <t>Tamil</t>
        </is>
      </c>
      <c r="J323" s="13" t="n"/>
      <c r="K323" s="13" t="inlineStr">
        <is>
          <t>Naga; East coast</t>
        </is>
      </c>
      <c r="L323" s="11" t="inlineStr">
        <is>
          <t>Yes</t>
        </is>
      </c>
      <c r="M323" s="13" t="inlineStr">
        <is>
          <t>Series: East coast of Sri Lanka - a historical perspective</t>
        </is>
      </c>
      <c r="N323" s="14" t="inlineStr">
        <is>
          <t>https://www.ezhunaonline.com/history-of-naga-and-anuradhapura-kings-in-eastern-srilanka/</t>
        </is>
      </c>
    </row>
    <row r="324">
      <c r="A324" s="7" t="inlineStr">
        <is>
          <t>ALL-0323</t>
        </is>
      </c>
      <c r="B324" s="7" t="inlineStr">
        <is>
          <t>Magazines/Journals</t>
        </is>
      </c>
      <c r="C324" s="8" t="inlineStr">
        <is>
          <t>2024</t>
        </is>
      </c>
      <c r="D324" s="7" t="inlineStr">
        <is>
          <t>2024-02-21</t>
        </is>
      </c>
      <c r="E324" s="9" t="inlineStr">
        <is>
          <t>கீழைக்கரையின் முதல் அரசு : பத்து உடன்பிறந்தோர் குலம்!</t>
        </is>
      </c>
      <c r="F324" s="9" t="inlineStr">
        <is>
          <t>Vivekanantharaja Thulanchanan</t>
        </is>
      </c>
      <c r="G324" s="9" t="inlineStr">
        <is>
          <t>Ezhuna (எழுநா)</t>
        </is>
      </c>
      <c r="H324" s="7" t="inlineStr">
        <is>
          <t>Online magazine article</t>
        </is>
      </c>
      <c r="I324" s="7" t="inlineStr">
        <is>
          <t>Tamil</t>
        </is>
      </c>
      <c r="J324" s="9" t="inlineStr">
        <is>
          <t>Inscriptions / கல்வெட்டு; Brahmi / பிராமி</t>
        </is>
      </c>
      <c r="K324" s="9" t="inlineStr">
        <is>
          <t>East coast; Brahmi inscriptions</t>
        </is>
      </c>
      <c r="L324" s="7" t="inlineStr">
        <is>
          <t>Yes</t>
        </is>
      </c>
      <c r="M324" s="9" t="inlineStr">
        <is>
          <t>Series: East coast of Sri Lanka - a historical perspective</t>
        </is>
      </c>
      <c r="N324" s="10" t="inlineStr">
        <is>
          <t>https://www.ezhunaonline.com/the-first-ten-clans-of-eastern-sri-lanka/</t>
        </is>
      </c>
    </row>
    <row r="325">
      <c r="A325" s="11" t="inlineStr">
        <is>
          <t>ALL-0324</t>
        </is>
      </c>
      <c r="B325" s="11" t="inlineStr">
        <is>
          <t>Magazines/Journals</t>
        </is>
      </c>
      <c r="C325" s="12" t="inlineStr">
        <is>
          <t>2024</t>
        </is>
      </c>
      <c r="D325" s="11" t="inlineStr">
        <is>
          <t>2024-02-28</t>
        </is>
      </c>
      <c r="E325" s="13" t="inlineStr">
        <is>
          <t>2000 ஆண்டுகளுக்கு முற்பட்ட பிராமிக் கல்வெட்டுகள் : ஓர் அறிமுகம் – பகுதி 1</t>
        </is>
      </c>
      <c r="F325" s="13" t="inlineStr">
        <is>
          <t>N. K. S. Thiruchelvam</t>
        </is>
      </c>
      <c r="G325" s="13" t="inlineStr">
        <is>
          <t>Ezhuna (எழுநா)</t>
        </is>
      </c>
      <c r="H325" s="11" t="inlineStr">
        <is>
          <t>Online magazine article</t>
        </is>
      </c>
      <c r="I325" s="11" t="inlineStr">
        <is>
          <t>Tamil</t>
        </is>
      </c>
      <c r="J325" s="13" t="inlineStr">
        <is>
          <t>Inscriptions / கல்வெட்டு; Brahmi / பிராமி</t>
        </is>
      </c>
      <c r="K325" s="13" t="inlineStr">
        <is>
          <t>பிராமி; introduction</t>
        </is>
      </c>
      <c r="L325" s="11" t="inlineStr">
        <is>
          <t>Yes</t>
        </is>
      </c>
      <c r="M325" s="13" t="inlineStr">
        <is>
          <t>Series: Naga people in Sri Lankan Brahmi inscriptions</t>
        </is>
      </c>
      <c r="N325" s="14" t="inlineStr">
        <is>
          <t>https://www.ezhunaonline.com/an-introduction-to-brahmi-inscriptions-in-sri-lanka/</t>
        </is>
      </c>
    </row>
    <row r="326">
      <c r="A326" s="7" t="inlineStr">
        <is>
          <t>ALL-0325</t>
        </is>
      </c>
      <c r="B326" s="7" t="inlineStr">
        <is>
          <t>Magazines/Journals</t>
        </is>
      </c>
      <c r="C326" s="8" t="inlineStr">
        <is>
          <t>2024</t>
        </is>
      </c>
      <c r="D326" s="7" t="inlineStr">
        <is>
          <t>2024-03-19</t>
        </is>
      </c>
      <c r="E326" s="9" t="inlineStr">
        <is>
          <t>நாகசேனன் பற்றிக் குறிப்பிடும் சித்துள்பவ்வ கல்வெட்டுகள்</t>
        </is>
      </c>
      <c r="F326" s="9" t="inlineStr">
        <is>
          <t>N. K. S. Thiruchelvam</t>
        </is>
      </c>
      <c r="G326" s="9" t="inlineStr">
        <is>
          <t>Ezhuna (எழுநா)</t>
        </is>
      </c>
      <c r="H326" s="7" t="inlineStr">
        <is>
          <t>Online magazine article</t>
        </is>
      </c>
      <c r="I326" s="7" t="inlineStr">
        <is>
          <t>Tamil</t>
        </is>
      </c>
      <c r="J326" s="9" t="inlineStr">
        <is>
          <t>Inscriptions / கல்வெட்டு</t>
        </is>
      </c>
      <c r="K326" s="9" t="inlineStr">
        <is>
          <t>கல்வெட்டு; Situlpahuwa</t>
        </is>
      </c>
      <c r="L326" s="7" t="inlineStr">
        <is>
          <t>Yes</t>
        </is>
      </c>
      <c r="M326" s="9" t="inlineStr">
        <is>
          <t>Series: Naga people in Sri Lankan Brahmi inscriptions</t>
        </is>
      </c>
      <c r="N326" s="10" t="inlineStr">
        <is>
          <t>https://www.ezhunaonline.com/tamil-brahmi-inscription-in-ambanthotta-2/</t>
        </is>
      </c>
    </row>
    <row r="327">
      <c r="A327" s="11" t="inlineStr">
        <is>
          <t>ALL-0326</t>
        </is>
      </c>
      <c r="B327" s="11" t="inlineStr">
        <is>
          <t>Magazines/Journals</t>
        </is>
      </c>
      <c r="C327" s="12" t="inlineStr">
        <is>
          <t>2024</t>
        </is>
      </c>
      <c r="D327" s="11" t="inlineStr">
        <is>
          <t>2024-03-22</t>
        </is>
      </c>
      <c r="E327" s="13" t="inlineStr">
        <is>
          <t>கீழைக்கரை : துட்டகாமணி முதல் வட்டகாமணி வரை</t>
        </is>
      </c>
      <c r="F327" s="13" t="inlineStr">
        <is>
          <t>Vivekanantharaja Thulanchanan</t>
        </is>
      </c>
      <c r="G327" s="13" t="inlineStr">
        <is>
          <t>Ezhuna (எழுநா)</t>
        </is>
      </c>
      <c r="H327" s="11" t="inlineStr">
        <is>
          <t>Online magazine article</t>
        </is>
      </c>
      <c r="I327" s="11" t="inlineStr">
        <is>
          <t>Tamil</t>
        </is>
      </c>
      <c r="J327" s="13" t="n"/>
      <c r="K327" s="13" t="inlineStr">
        <is>
          <t>East coast; history</t>
        </is>
      </c>
      <c r="L327" s="11" t="inlineStr">
        <is>
          <t>Yes</t>
        </is>
      </c>
      <c r="M327" s="13" t="inlineStr">
        <is>
          <t>Series: East coast of Sri Lanka - a historical perspective</t>
        </is>
      </c>
      <c r="N327" s="14" t="inlineStr">
        <is>
          <t>https://www.ezhunaonline.com/from-vattagamini-to-vattagamini/</t>
        </is>
      </c>
    </row>
    <row r="328">
      <c r="A328" s="7" t="inlineStr">
        <is>
          <t>ALL-0327</t>
        </is>
      </c>
      <c r="B328" s="7" t="inlineStr">
        <is>
          <t>Magazines/Journals</t>
        </is>
      </c>
      <c r="C328" s="8" t="inlineStr">
        <is>
          <t>2024</t>
        </is>
      </c>
      <c r="D328" s="7" t="inlineStr">
        <is>
          <t>2024-04-12</t>
        </is>
      </c>
      <c r="E328" s="9" t="inlineStr">
        <is>
          <t>வடக்கு மாகாணத்தில் நாகர்</t>
        </is>
      </c>
      <c r="F328" s="9" t="inlineStr">
        <is>
          <t>N. K. S. Thiruchelvam</t>
        </is>
      </c>
      <c r="G328" s="9" t="inlineStr">
        <is>
          <t>Ezhuna (எழுநா)</t>
        </is>
      </c>
      <c r="H328" s="7" t="inlineStr">
        <is>
          <t>Online magazine article</t>
        </is>
      </c>
      <c r="I328" s="7" t="inlineStr">
        <is>
          <t>Tamil</t>
        </is>
      </c>
      <c r="J328" s="9" t="n"/>
      <c r="K328" s="9" t="inlineStr">
        <is>
          <t>Naga; Northern Province</t>
        </is>
      </c>
      <c r="L328" s="7" t="inlineStr">
        <is>
          <t>Yes</t>
        </is>
      </c>
      <c r="M328" s="9" t="inlineStr">
        <is>
          <t>Series: Naga people in Sri Lankan Brahmi inscriptions</t>
        </is>
      </c>
      <c r="N328" s="10" t="inlineStr">
        <is>
          <t>https://www.ezhunaonline.com/history-of-nagar-in-northern-sri-lanka/</t>
        </is>
      </c>
    </row>
    <row r="329">
      <c r="A329" s="11" t="inlineStr">
        <is>
          <t>ALL-0328</t>
        </is>
      </c>
      <c r="B329" s="11" t="inlineStr">
        <is>
          <t>Magazines/Journals</t>
        </is>
      </c>
      <c r="C329" s="12" t="inlineStr">
        <is>
          <t>2024</t>
        </is>
      </c>
      <c r="D329" s="11" t="inlineStr">
        <is>
          <t>2024-04-15</t>
        </is>
      </c>
      <c r="E329" s="13" t="inlineStr">
        <is>
          <t>மகாசேனன் காலம் வரை கிழக்கு உரோகணம்</t>
        </is>
      </c>
      <c r="F329" s="13" t="inlineStr">
        <is>
          <t>Vivekanantharaja Thulanchanan</t>
        </is>
      </c>
      <c r="G329" s="13" t="inlineStr">
        <is>
          <t>Ezhuna (எழுநா)</t>
        </is>
      </c>
      <c r="H329" s="11" t="inlineStr">
        <is>
          <t>Online magazine article</t>
        </is>
      </c>
      <c r="I329" s="11" t="inlineStr">
        <is>
          <t>Tamil</t>
        </is>
      </c>
      <c r="J329" s="13" t="n"/>
      <c r="K329" s="13" t="inlineStr">
        <is>
          <t>East coast; Ruhuna</t>
        </is>
      </c>
      <c r="L329" s="11" t="inlineStr">
        <is>
          <t>Yes</t>
        </is>
      </c>
      <c r="M329" s="13" t="inlineStr">
        <is>
          <t>Series: East coast of Sri Lanka - a historical perspective</t>
        </is>
      </c>
      <c r="N329" s="14" t="inlineStr">
        <is>
          <t>https://www.ezhunaonline.com/eastern-ruhunu-until-the-period-of-mahasenan/</t>
        </is>
      </c>
    </row>
    <row r="330">
      <c r="A330" s="7" t="inlineStr">
        <is>
          <t>ALL-0329</t>
        </is>
      </c>
      <c r="B330" s="7" t="inlineStr">
        <is>
          <t>Magazines/Journals</t>
        </is>
      </c>
      <c r="C330" s="8" t="inlineStr">
        <is>
          <t>2024</t>
        </is>
      </c>
      <c r="D330" s="7" t="inlineStr">
        <is>
          <t>2024-04-25</t>
        </is>
      </c>
      <c r="E330" s="9" t="inlineStr">
        <is>
          <t>மிகுந்தலையில் நாக வழிபாடும், நாகர் பற்றிய பிராமிக் கல்வெட்டுகளும்</t>
        </is>
      </c>
      <c r="F330" s="9" t="inlineStr">
        <is>
          <t>N. K. S. Thiruchelvam</t>
        </is>
      </c>
      <c r="G330" s="9" t="inlineStr">
        <is>
          <t>Ezhuna (எழுநா)</t>
        </is>
      </c>
      <c r="H330" s="7" t="inlineStr">
        <is>
          <t>Online magazine article</t>
        </is>
      </c>
      <c r="I330" s="7" t="inlineStr">
        <is>
          <t>Tamil</t>
        </is>
      </c>
      <c r="J330" s="9" t="inlineStr">
        <is>
          <t>Inscriptions / கல்வெட்டு; Brahmi / பிராமி</t>
        </is>
      </c>
      <c r="K330" s="9" t="inlineStr">
        <is>
          <t>பிராமி; Mihintale</t>
        </is>
      </c>
      <c r="L330" s="7" t="inlineStr">
        <is>
          <t>Yes</t>
        </is>
      </c>
      <c r="M330" s="9" t="inlineStr">
        <is>
          <t>Series: Naga people in Sri Lankan Brahmi inscriptions</t>
        </is>
      </c>
      <c r="N330" s="10" t="inlineStr">
        <is>
          <t>https://www.ezhunaonline.com/naga-culture-in-mihintala-anuradhapura/</t>
        </is>
      </c>
    </row>
    <row r="331">
      <c r="A331" s="11" t="inlineStr">
        <is>
          <t>ALL-0330</t>
        </is>
      </c>
      <c r="B331" s="11" t="inlineStr">
        <is>
          <t>Magazines/Journals</t>
        </is>
      </c>
      <c r="C331" s="12" t="inlineStr">
        <is>
          <t>2024</t>
        </is>
      </c>
      <c r="D331" s="11" t="inlineStr">
        <is>
          <t>2024-05-09</t>
        </is>
      </c>
      <c r="E331" s="13" t="inlineStr">
        <is>
          <t>நாக யுவராஜனின் தவறான சமய நம்பிக்கை பற்றிக் குறிப்பிடும் திஸ்ஸமகராம கல்வெட்டு</t>
        </is>
      </c>
      <c r="F331" s="13" t="inlineStr">
        <is>
          <t>N. K. S. Thiruchelvam</t>
        </is>
      </c>
      <c r="G331" s="13" t="inlineStr">
        <is>
          <t>Ezhuna (எழுநா)</t>
        </is>
      </c>
      <c r="H331" s="11" t="inlineStr">
        <is>
          <t>Online magazine article</t>
        </is>
      </c>
      <c r="I331" s="11" t="inlineStr">
        <is>
          <t>Tamil</t>
        </is>
      </c>
      <c r="J331" s="13" t="inlineStr">
        <is>
          <t>Inscriptions / கல்வெட்டு</t>
        </is>
      </c>
      <c r="K331" s="13" t="inlineStr">
        <is>
          <t>கல்வெட்டு; Tissamaharama</t>
        </is>
      </c>
      <c r="L331" s="11" t="inlineStr">
        <is>
          <t>Yes</t>
        </is>
      </c>
      <c r="M331" s="13" t="inlineStr">
        <is>
          <t>Series: Naga people in Sri Lankan Brahmi inscriptions</t>
        </is>
      </c>
      <c r="N331" s="14" t="inlineStr">
        <is>
          <t>https://www.ezhunaonline.com/thissamaharama-inscription/</t>
        </is>
      </c>
    </row>
    <row r="332">
      <c r="A332" s="7" t="inlineStr">
        <is>
          <t>ALL-0331</t>
        </is>
      </c>
      <c r="B332" s="7" t="inlineStr">
        <is>
          <t>Magazines/Journals</t>
        </is>
      </c>
      <c r="C332" s="8" t="inlineStr">
        <is>
          <t>2024</t>
        </is>
      </c>
      <c r="D332" s="7" t="inlineStr">
        <is>
          <t>2024-05-11</t>
        </is>
      </c>
      <c r="E332" s="9" t="inlineStr">
        <is>
          <t>நாக இனக் குழுவும் இலங்கைத் தமிழரும் : அண்மைக்காலத் தொல்லியல் ஆய்வுகளை அடிப்படையாகக் கொண்ட ஆய்வு – பகுதி 1</t>
        </is>
      </c>
      <c r="F332" s="9" t="inlineStr">
        <is>
          <t>பரமு புஷ்பரட்ணம்</t>
        </is>
      </c>
      <c r="G332" s="9" t="inlineStr">
        <is>
          <t>Ezhuna (எழுநா)</t>
        </is>
      </c>
      <c r="H332" s="7" t="inlineStr">
        <is>
          <t>Online magazine article</t>
        </is>
      </c>
      <c r="I332" s="7" t="inlineStr">
        <is>
          <t>Tamil</t>
        </is>
      </c>
      <c r="J332" s="9" t="inlineStr">
        <is>
          <t>Archaeology / தொல்லியல்</t>
        </is>
      </c>
      <c r="K332" s="9" t="inlineStr">
        <is>
          <t>தொல்லியல்</t>
        </is>
      </c>
      <c r="L332" s="7" t="inlineStr">
        <is>
          <t>Yes</t>
        </is>
      </c>
      <c r="M332" s="9" t="inlineStr">
        <is>
          <t>Auto-collected 2026-10-14 (ezhuna); review.</t>
        </is>
      </c>
      <c r="N332" s="10" t="inlineStr">
        <is>
          <t>https://www.ezhunaonline.com/archaeological-reseachers-of-nagar-in-sri-lanka/</t>
        </is>
      </c>
    </row>
    <row r="333">
      <c r="A333" s="11" t="inlineStr">
        <is>
          <t>ALL-0332</t>
        </is>
      </c>
      <c r="B333" s="11" t="inlineStr">
        <is>
          <t>Magazines/Journals</t>
        </is>
      </c>
      <c r="C333" s="12" t="inlineStr">
        <is>
          <t>2024</t>
        </is>
      </c>
      <c r="D333" s="11" t="inlineStr">
        <is>
          <t>2024-05-16</t>
        </is>
      </c>
      <c r="E333" s="13" t="inlineStr">
        <is>
          <t>நாக இனக் குழுவும் இலங்கைத் தமிழரும் – பகுதி 2</t>
        </is>
      </c>
      <c r="F333" s="13" t="inlineStr">
        <is>
          <t>பரமு புஷ்பரட்ணம்</t>
        </is>
      </c>
      <c r="G333" s="13" t="inlineStr">
        <is>
          <t>Ezhuna (எழுநா)</t>
        </is>
      </c>
      <c r="H333" s="11" t="inlineStr">
        <is>
          <t>Online magazine article</t>
        </is>
      </c>
      <c r="I333" s="11" t="inlineStr">
        <is>
          <t>Tamil</t>
        </is>
      </c>
      <c r="J333" s="13" t="n"/>
      <c r="K333" s="13" t="n"/>
      <c r="L333" s="11" t="inlineStr">
        <is>
          <t>Yes</t>
        </is>
      </c>
      <c r="M333" s="13" t="inlineStr">
        <is>
          <t>Auto-collected 2026-10-14 (ezhuna); review.</t>
        </is>
      </c>
      <c r="N333" s="14" t="inlineStr">
        <is>
          <t>https://www.ezhunaonline.com/nagar-culture-in-sri-lankan-history-part-2/</t>
        </is>
      </c>
    </row>
    <row r="334">
      <c r="A334" s="7" t="inlineStr">
        <is>
          <t>ALL-0333</t>
        </is>
      </c>
      <c r="B334" s="7" t="inlineStr">
        <is>
          <t>Magazines/Journals</t>
        </is>
      </c>
      <c r="C334" s="8" t="inlineStr">
        <is>
          <t>2024</t>
        </is>
      </c>
      <c r="D334" s="7" t="inlineStr">
        <is>
          <t>2024-05-28</t>
        </is>
      </c>
      <c r="E334" s="9" t="inlineStr">
        <is>
          <t>பிதுரங்கல பிராமிக் கல்வெட்டுகளில் நாகர்</t>
        </is>
      </c>
      <c r="F334" s="9" t="inlineStr">
        <is>
          <t>N. K. S. Thiruchelvam</t>
        </is>
      </c>
      <c r="G334" s="9" t="inlineStr">
        <is>
          <t>Ezhuna (எழுநா)</t>
        </is>
      </c>
      <c r="H334" s="7" t="inlineStr">
        <is>
          <t>Online magazine article</t>
        </is>
      </c>
      <c r="I334" s="7" t="inlineStr">
        <is>
          <t>Tamil</t>
        </is>
      </c>
      <c r="J334" s="9" t="inlineStr">
        <is>
          <t>Inscriptions / கல்வெட்டு; Brahmi / பிராமி</t>
        </is>
      </c>
      <c r="K334" s="9" t="inlineStr">
        <is>
          <t>பிராமி; Pidurangala</t>
        </is>
      </c>
      <c r="L334" s="7" t="inlineStr">
        <is>
          <t>Yes</t>
        </is>
      </c>
      <c r="M334" s="9" t="inlineStr">
        <is>
          <t>Series: Naga people in Sri Lankan Brahmi inscriptions</t>
        </is>
      </c>
      <c r="N334" s="10" t="inlineStr">
        <is>
          <t>https://www.ezhunaonline.com/pidurangala-bhirami-inscription/</t>
        </is>
      </c>
    </row>
    <row r="335">
      <c r="A335" s="11" t="inlineStr">
        <is>
          <t>ALL-0334</t>
        </is>
      </c>
      <c r="B335" s="11" t="inlineStr">
        <is>
          <t>Magazines/Journals</t>
        </is>
      </c>
      <c r="C335" s="12" t="inlineStr">
        <is>
          <t>2024</t>
        </is>
      </c>
      <c r="D335" s="11" t="inlineStr">
        <is>
          <t>2024-06-02</t>
        </is>
      </c>
      <c r="E335" s="13" t="inlineStr">
        <is>
          <t>மண்முனையில் பற்சின்னம் கொணர்ந்தவளும் மல்வத்தையில் புத்தர் சிலை அமைத்தவனும்</t>
        </is>
      </c>
      <c r="F335" s="13" t="inlineStr">
        <is>
          <t>Vivekanantharaja Thulanchanan</t>
        </is>
      </c>
      <c r="G335" s="13" t="inlineStr">
        <is>
          <t>Ezhuna (எழுநா)</t>
        </is>
      </c>
      <c r="H335" s="11" t="inlineStr">
        <is>
          <t>Online magazine article</t>
        </is>
      </c>
      <c r="I335" s="11" t="inlineStr">
        <is>
          <t>Tamil</t>
        </is>
      </c>
      <c r="J335" s="13" t="n"/>
      <c r="K335" s="13" t="inlineStr">
        <is>
          <t>East coast; history</t>
        </is>
      </c>
      <c r="L335" s="11" t="inlineStr">
        <is>
          <t>Yes</t>
        </is>
      </c>
      <c r="M335" s="13" t="inlineStr">
        <is>
          <t>Series: East coast of Sri Lanka - a historical perspective</t>
        </is>
      </c>
      <c r="N335" s="14" t="inlineStr">
        <is>
          <t>https://www.ezhunaonline.com/sri-lanka-eastern-province-ancient-history/</t>
        </is>
      </c>
    </row>
    <row r="336">
      <c r="A336" s="7" t="inlineStr">
        <is>
          <t>ALL-0335</t>
        </is>
      </c>
      <c r="B336" s="7" t="inlineStr">
        <is>
          <t>Magazines/Journals</t>
        </is>
      </c>
      <c r="C336" s="8" t="inlineStr">
        <is>
          <t>2024</t>
        </is>
      </c>
      <c r="D336" s="7" t="inlineStr">
        <is>
          <t>2024-06-07</t>
        </is>
      </c>
      <c r="E336" s="9" t="inlineStr">
        <is>
          <t>இலங்கையில் தமிழ் அரச மரபின் தோற்றத்தை அடையாளப்படுத்திக் காட்டும் பிராமிச் சாசனங்கள்</t>
        </is>
      </c>
      <c r="F336" s="9" t="inlineStr">
        <is>
          <t>பரமு புஷ்பரட்ணம்</t>
        </is>
      </c>
      <c r="G336" s="9" t="inlineStr">
        <is>
          <t>Ezhuna (எழுநா)</t>
        </is>
      </c>
      <c r="H336" s="7" t="inlineStr">
        <is>
          <t>Online magazine article</t>
        </is>
      </c>
      <c r="I336" s="7" t="inlineStr">
        <is>
          <t>Tamil</t>
        </is>
      </c>
      <c r="J336" s="9" t="inlineStr">
        <is>
          <t>Inscriptions / கல்வெட்டு; Brahmi / பிராமி</t>
        </is>
      </c>
      <c r="K336" s="9" t="inlineStr">
        <is>
          <t>பிராமி</t>
        </is>
      </c>
      <c r="L336" s="7" t="inlineStr">
        <is>
          <t>Yes</t>
        </is>
      </c>
      <c r="M336" s="9" t="inlineStr">
        <is>
          <t>Auto-collected 2026-10-14 (ezhuna); review.</t>
        </is>
      </c>
      <c r="N336" s="10" t="inlineStr">
        <is>
          <t>https://www.ezhunaonline.com/brahmi-inscription-about-sri-lankan-kingdoms/</t>
        </is>
      </c>
    </row>
    <row r="337">
      <c r="A337" s="11" t="inlineStr">
        <is>
          <t>ALL-0336</t>
        </is>
      </c>
      <c r="B337" s="11" t="inlineStr">
        <is>
          <t>Magazines/Journals</t>
        </is>
      </c>
      <c r="C337" s="12" t="inlineStr">
        <is>
          <t>2024</t>
        </is>
      </c>
      <c r="D337" s="11" t="inlineStr">
        <is>
          <t>2024-06-27</t>
        </is>
      </c>
      <c r="E337" s="13" t="inlineStr">
        <is>
          <t>பொற்கொல்லன் நாகன் பற்றிக் கூறும் அனுராதபுரம் – வெஸ்ஸகிரி கல்வெட்டுகள்</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Vessagiri; Anuradhapura</t>
        </is>
      </c>
      <c r="L337" s="11" t="inlineStr">
        <is>
          <t>Yes</t>
        </is>
      </c>
      <c r="M337" s="13" t="inlineStr">
        <is>
          <t>Series: Naga people in Sri Lankan Brahmi inscriptions</t>
        </is>
      </c>
      <c r="N337" s="14" t="inlineStr">
        <is>
          <t>https://www.ezhunaonline.com/vessagiriya-inscription-that-tells-about-naga-blacksmith/</t>
        </is>
      </c>
    </row>
    <row r="338">
      <c r="A338" s="7" t="inlineStr">
        <is>
          <t>ALL-0337</t>
        </is>
      </c>
      <c r="B338" s="7" t="inlineStr">
        <is>
          <t>Magazines/Journals</t>
        </is>
      </c>
      <c r="C338" s="8" t="inlineStr">
        <is>
          <t>2024</t>
        </is>
      </c>
      <c r="D338" s="7" t="inlineStr">
        <is>
          <t>2024-06-28</t>
        </is>
      </c>
      <c r="E338" s="9" t="inlineStr">
        <is>
          <t>அக்கபோதியின் மனைவி : அக்கபோதி கவர்ந்து சென்ற அக்கபோதியின் மகள்</t>
        </is>
      </c>
      <c r="F338" s="9" t="inlineStr">
        <is>
          <t>Vivekanantharaja Thulanchanan</t>
        </is>
      </c>
      <c r="G338" s="9" t="inlineStr">
        <is>
          <t>Ezhuna (எழுநா)</t>
        </is>
      </c>
      <c r="H338" s="7" t="inlineStr">
        <is>
          <t>Online magazine article</t>
        </is>
      </c>
      <c r="I338" s="7" t="inlineStr">
        <is>
          <t>Tamil</t>
        </is>
      </c>
      <c r="J338" s="9" t="n"/>
      <c r="K338" s="9" t="inlineStr">
        <is>
          <t>East coast; history</t>
        </is>
      </c>
      <c r="L338" s="7" t="inlineStr">
        <is>
          <t>Yes</t>
        </is>
      </c>
      <c r="M338" s="9" t="inlineStr">
        <is>
          <t>Series: East coast of Sri Lanka - a historical perspective</t>
        </is>
      </c>
      <c r="N338" s="10" t="inlineStr">
        <is>
          <t>https://www.ezhunaonline.com/the-wife-of-akkapothi-sri-lankan-eastern-history/</t>
        </is>
      </c>
    </row>
    <row r="339">
      <c r="A339" s="11" t="inlineStr">
        <is>
          <t>ALL-0338</t>
        </is>
      </c>
      <c r="B339" s="11" t="inlineStr">
        <is>
          <t>Magazines/Journals</t>
        </is>
      </c>
      <c r="C339" s="12" t="inlineStr">
        <is>
          <t>2024</t>
        </is>
      </c>
      <c r="D339" s="11" t="inlineStr">
        <is>
          <t>2024-07-14</t>
        </is>
      </c>
      <c r="E339" s="13" t="inlineStr">
        <is>
          <t>தமிழ் மன்னன் திரிதரனின் மகன் மகாநாகன் பொறித்த கதிர்காமக் கல்வெட்டு</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Kataragama</t>
        </is>
      </c>
      <c r="L339" s="11" t="inlineStr">
        <is>
          <t>Yes</t>
        </is>
      </c>
      <c r="M339" s="13" t="inlineStr">
        <is>
          <t>Series: Naga people in Sri Lankan Brahmi inscriptions</t>
        </is>
      </c>
      <c r="N339" s="14" t="inlineStr">
        <is>
          <t>https://www.ezhunaonline.com/kathirgamam-inscription-by-tamil-king-maha-nagan/</t>
        </is>
      </c>
    </row>
    <row r="340">
      <c r="A340" s="7" t="inlineStr">
        <is>
          <t>ALL-0339</t>
        </is>
      </c>
      <c r="B340" s="7" t="inlineStr">
        <is>
          <t>Magazines/Journals</t>
        </is>
      </c>
      <c r="C340" s="8" t="inlineStr">
        <is>
          <t>2024</t>
        </is>
      </c>
      <c r="D340" s="7" t="inlineStr">
        <is>
          <t>2024-07-29</t>
        </is>
      </c>
      <c r="E340" s="9" t="inlineStr">
        <is>
          <t>சித்தர் மலைப்பகுதியில் நாக மகாராஜன் செய்த பணிகள் பற்றிக் குறிப்பிடும்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Siththar malai</t>
        </is>
      </c>
      <c r="L340" s="7" t="inlineStr">
        <is>
          <t>Yes</t>
        </is>
      </c>
      <c r="M340" s="9" t="inlineStr">
        <is>
          <t>Series: Naga people in Sri Lankan Brahmi inscriptions</t>
        </is>
      </c>
      <c r="N340" s="10" t="inlineStr">
        <is>
          <t>https://www.ezhunaonline.com/siththar-rock-inscription-which-tell-about-maharajan/</t>
        </is>
      </c>
    </row>
    <row r="341">
      <c r="A341" s="11" t="inlineStr">
        <is>
          <t>ALL-0340</t>
        </is>
      </c>
      <c r="B341" s="11" t="inlineStr">
        <is>
          <t>Magazines/Journals</t>
        </is>
      </c>
      <c r="C341" s="12" t="inlineStr">
        <is>
          <t>2024</t>
        </is>
      </c>
      <c r="D341" s="11" t="inlineStr">
        <is>
          <t>2024-07-30</t>
        </is>
      </c>
      <c r="E341" s="13" t="inlineStr">
        <is>
          <t>இறக்காமம் : அனுராதபுரச் சேனாதிபதி அரக்கனுக்காக வரி விலக்கப்பட்ட ஊர்</t>
        </is>
      </c>
      <c r="F341" s="13" t="inlineStr">
        <is>
          <t>Vivekanantharaja Thulanchanan</t>
        </is>
      </c>
      <c r="G341" s="13" t="inlineStr">
        <is>
          <t>Ezhuna (எழுநா)</t>
        </is>
      </c>
      <c r="H341" s="11" t="inlineStr">
        <is>
          <t>Online magazine article</t>
        </is>
      </c>
      <c r="I341" s="11" t="inlineStr">
        <is>
          <t>Tamil</t>
        </is>
      </c>
      <c r="J341" s="13" t="inlineStr">
        <is>
          <t>Inscriptions / கல்வெட்டு</t>
        </is>
      </c>
      <c r="K341" s="13" t="inlineStr">
        <is>
          <t>கல்வெட்டு; Irakkamam</t>
        </is>
      </c>
      <c r="L341" s="11" t="inlineStr">
        <is>
          <t>Yes</t>
        </is>
      </c>
      <c r="M341" s="13" t="inlineStr">
        <is>
          <t>Series: East coast of Sri Lanka - a historical perspective</t>
        </is>
      </c>
      <c r="N341" s="14" t="inlineStr">
        <is>
          <t>https://www.ezhunaonline.com/irakkamam-a-tax-free-village-for-anuradhapura-commander/</t>
        </is>
      </c>
    </row>
    <row r="342">
      <c r="A342" s="7" t="inlineStr">
        <is>
          <t>ALL-0341</t>
        </is>
      </c>
      <c r="B342" s="7" t="inlineStr">
        <is>
          <t>Magazines/Journals</t>
        </is>
      </c>
      <c r="C342" s="8" t="inlineStr">
        <is>
          <t>2024</t>
        </is>
      </c>
      <c r="D342" s="7" t="inlineStr">
        <is>
          <t>2024-08-04</t>
        </is>
      </c>
      <c r="E342" s="9" t="inlineStr">
        <is>
          <t>தொல்லியல் நோக்கில் கதிரமலை அரசு</t>
        </is>
      </c>
      <c r="F342" s="9" t="inlineStr">
        <is>
          <t>பரமு புஷ்பரட்ணம்</t>
        </is>
      </c>
      <c r="G342" s="9" t="inlineStr">
        <is>
          <t>Ezhuna (எழுநா)</t>
        </is>
      </c>
      <c r="H342" s="7" t="inlineStr">
        <is>
          <t>Online magazine article</t>
        </is>
      </c>
      <c r="I342" s="7" t="inlineStr">
        <is>
          <t>Tamil</t>
        </is>
      </c>
      <c r="J342" s="9" t="inlineStr">
        <is>
          <t>Archaeology / தொல்லியல்</t>
        </is>
      </c>
      <c r="K342" s="9" t="inlineStr">
        <is>
          <t>தொல்லியல்</t>
        </is>
      </c>
      <c r="L342" s="7" t="inlineStr">
        <is>
          <t>Yes</t>
        </is>
      </c>
      <c r="M342" s="9" t="inlineStr">
        <is>
          <t>Auto-collected 2026-10-14 (ezhuna); review.</t>
        </is>
      </c>
      <c r="N342" s="10" t="inlineStr">
        <is>
          <t>https://www.ezhunaonline.com/archaeological-view-of-kathiramalai-kingdom/</t>
        </is>
      </c>
    </row>
    <row r="343">
      <c r="A343" s="11" t="inlineStr">
        <is>
          <t>ALL-0342</t>
        </is>
      </c>
      <c r="B343" s="11" t="inlineStr">
        <is>
          <t>Magazines/Journals</t>
        </is>
      </c>
      <c r="C343" s="12" t="inlineStr">
        <is>
          <t>2024</t>
        </is>
      </c>
      <c r="D343" s="11" t="inlineStr">
        <is>
          <t>2024-08-13</t>
        </is>
      </c>
      <c r="E343" s="13" t="inlineStr">
        <is>
          <t>நாகசிவன், நாகவிய, நாகப்ப சவிய ஆகியவை பற்றிக் குறிப்பிடும் பண்டகிரிய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Pandagiriya</t>
        </is>
      </c>
      <c r="L343" s="11" t="inlineStr">
        <is>
          <t>Yes</t>
        </is>
      </c>
      <c r="M343" s="13" t="inlineStr">
        <is>
          <t>Series: Naga people in Sri Lankan Brahmi inscriptions</t>
        </is>
      </c>
      <c r="N343" s="14" t="inlineStr">
        <is>
          <t>https://www.ezhunaonline.com/pandakiriya-inscription/</t>
        </is>
      </c>
    </row>
    <row r="344">
      <c r="A344" s="7" t="inlineStr">
        <is>
          <t>ALL-0343</t>
        </is>
      </c>
      <c r="B344" s="7" t="inlineStr">
        <is>
          <t>Magazines/Journals</t>
        </is>
      </c>
      <c r="C344" s="8" t="inlineStr">
        <is>
          <t>2024</t>
        </is>
      </c>
      <c r="D344" s="7" t="inlineStr">
        <is>
          <t>2024-08-23</t>
        </is>
      </c>
      <c r="E344" s="9" t="inlineStr">
        <is>
          <t>யுவராஜன் நாகனின் கொள்ளுப் பேரன் இளவரசன் நாகன் பற்றிக் குறிப்பிடும் படர்கல் மலைக்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Padarkal malai</t>
        </is>
      </c>
      <c r="L344" s="7" t="inlineStr">
        <is>
          <t>Yes</t>
        </is>
      </c>
      <c r="M344" s="9" t="inlineStr">
        <is>
          <t>Series: Naga people in Sri Lankan Brahmi inscriptions</t>
        </is>
      </c>
      <c r="N344" s="10" t="inlineStr">
        <is>
          <t>https://www.ezhunaonline.com/padarkal-malai-inscrption/</t>
        </is>
      </c>
    </row>
    <row r="345">
      <c r="A345" s="11" t="inlineStr">
        <is>
          <t>ALL-0344</t>
        </is>
      </c>
      <c r="B345" s="11" t="inlineStr">
        <is>
          <t>Magazines/Journals</t>
        </is>
      </c>
      <c r="C345" s="12" t="inlineStr">
        <is>
          <t>2024</t>
        </is>
      </c>
      <c r="D345" s="11" t="inlineStr">
        <is>
          <t>2024-09-11</t>
        </is>
      </c>
      <c r="E345" s="13" t="inlineStr">
        <is>
          <t>மகா நாக மன்னன் பற்றிக் குறிப்பிடும் வேலோடும் மலை – நாகமலைக்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Velodum malai</t>
        </is>
      </c>
      <c r="L345" s="11" t="inlineStr">
        <is>
          <t>Yes</t>
        </is>
      </c>
      <c r="M345" s="13" t="inlineStr">
        <is>
          <t>Series: Naga people in Sri Lankan Brahmi inscriptions</t>
        </is>
      </c>
      <c r="N345" s="14" t="inlineStr">
        <is>
          <t>https://www.ezhunaonline.com/velodum-malai-nagamalai-inscription-mentions-maha-naga-king/</t>
        </is>
      </c>
    </row>
    <row r="346">
      <c r="A346" s="7" t="inlineStr">
        <is>
          <t>ALL-0345</t>
        </is>
      </c>
      <c r="B346" s="7" t="inlineStr">
        <is>
          <t>Magazines/Journals</t>
        </is>
      </c>
      <c r="C346" s="8" t="inlineStr">
        <is>
          <t>2024</t>
        </is>
      </c>
      <c r="D346" s="7" t="inlineStr">
        <is>
          <t>2024-09-22</t>
        </is>
      </c>
      <c r="E346" s="9" t="inlineStr">
        <is>
          <t>நாகபர்வத மலை எனும் பம்பரகஸ்தலாவ மலையில் நாகர் பற்றிய கல்வெட்டுகள்</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Bambaragastalawa</t>
        </is>
      </c>
      <c r="L346" s="7" t="inlineStr">
        <is>
          <t>Yes</t>
        </is>
      </c>
      <c r="M346" s="9" t="inlineStr">
        <is>
          <t>Series: Naga people in Sri Lankan Brahmi inscriptions</t>
        </is>
      </c>
      <c r="N346" s="10" t="inlineStr">
        <is>
          <t>https://www.ezhunaonline.com/inscriptions-about-nagar-on-pambarakasthalava-hill-nagaparvata-hill/</t>
        </is>
      </c>
    </row>
    <row r="347">
      <c r="A347" s="11" t="inlineStr">
        <is>
          <t>ALL-0346</t>
        </is>
      </c>
      <c r="B347" s="11" t="inlineStr">
        <is>
          <t>Magazines/Journals</t>
        </is>
      </c>
      <c r="C347" s="12" t="inlineStr">
        <is>
          <t>2024</t>
        </is>
      </c>
      <c r="D347" s="11" t="inlineStr">
        <is>
          <t>2024-10-08</t>
        </is>
      </c>
      <c r="E347" s="13" t="inlineStr">
        <is>
          <t>பூநகரிப் பிராந்தியத்தில் அண்மையில் கண்டுபிடிக்கப்பட்ட வேள், ஈழம் பற்றிய தமிழ்ப் பிராமிச் சாசனங்கள்</t>
        </is>
      </c>
      <c r="F347" s="13" t="inlineStr">
        <is>
          <t>பரமு புஷ்பரட்ணம்</t>
        </is>
      </c>
      <c r="G347" s="13" t="inlineStr">
        <is>
          <t>Ezhuna (எழுநா)</t>
        </is>
      </c>
      <c r="H347" s="11" t="inlineStr">
        <is>
          <t>Online magazine article</t>
        </is>
      </c>
      <c r="I347" s="11" t="inlineStr">
        <is>
          <t>Tamil</t>
        </is>
      </c>
      <c r="J347" s="13" t="inlineStr">
        <is>
          <t>Inscriptions / கல்வெட்டு; Brahmi / பிராமி</t>
        </is>
      </c>
      <c r="K347" s="13" t="inlineStr">
        <is>
          <t>பிராமி</t>
        </is>
      </c>
      <c r="L347" s="11" t="inlineStr">
        <is>
          <t>Yes</t>
        </is>
      </c>
      <c r="M347" s="13" t="inlineStr">
        <is>
          <t>Auto-collected 2026-10-14 (ezhuna); review.</t>
        </is>
      </c>
      <c r="N347" s="14" t="inlineStr">
        <is>
          <t>https://www.ezhunaonline.com/tamil-brahmic-charters-of-vel-eelam-recently-discovered-in-poonagri-region/</t>
        </is>
      </c>
    </row>
    <row r="348">
      <c r="A348" s="7" t="inlineStr">
        <is>
          <t>ALL-0347</t>
        </is>
      </c>
      <c r="B348" s="7" t="inlineStr">
        <is>
          <t>Magazines/Journals</t>
        </is>
      </c>
      <c r="C348" s="8" t="inlineStr">
        <is>
          <t>2024</t>
        </is>
      </c>
      <c r="D348" s="7" t="inlineStr">
        <is>
          <t>2024-10-15</t>
        </is>
      </c>
      <c r="E348" s="9" t="inlineStr">
        <is>
          <t>நாக மன்னன் பற்றியும், நாகக் கால்வாய் பற்றியும் குறிப்பிடும் இலங்கைத்துறை, கல்லடி நீலியம்மன் மலைக் கல்வெட்டுகள்</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Ilankaithurai; Trincomalee</t>
        </is>
      </c>
      <c r="L348" s="7" t="inlineStr">
        <is>
          <t>Yes</t>
        </is>
      </c>
      <c r="M348" s="9" t="inlineStr">
        <is>
          <t>Series: Naga people in Sri Lankan Brahmi inscriptions</t>
        </is>
      </c>
      <c r="N348" s="10" t="inlineStr">
        <is>
          <t>https://www.ezhunaonline.com/kalladi-niliyamman-hill-inscriptions-sri-lanka-mentions-the-naga-king-and-the-naga-canal/</t>
        </is>
      </c>
    </row>
    <row r="349">
      <c r="A349" s="11" t="inlineStr">
        <is>
          <t>ALL-0348</t>
        </is>
      </c>
      <c r="B349" s="11" t="inlineStr">
        <is>
          <t>Magazines/Journals</t>
        </is>
      </c>
      <c r="C349" s="12" t="inlineStr">
        <is>
          <t>2024</t>
        </is>
      </c>
      <c r="D349" s="11" t="inlineStr">
        <is>
          <t>2024-10-27</t>
        </is>
      </c>
      <c r="E349" s="13" t="inlineStr">
        <is>
          <t>நாகர் பற்றிக் குறிப்பிடும் ரஜகல எனும் ராசமலைக்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Rajagala</t>
        </is>
      </c>
      <c r="L349" s="11" t="inlineStr">
        <is>
          <t>Yes</t>
        </is>
      </c>
      <c r="M349" s="13" t="inlineStr">
        <is>
          <t>Series: Naga people in Sri Lankan Brahmi inscriptions</t>
        </is>
      </c>
      <c r="N349" s="14" t="inlineStr">
        <is>
          <t>https://www.ezhunaonline.com/the-rajagala-inscriptions-refer-to-nagar/</t>
        </is>
      </c>
    </row>
    <row r="350">
      <c r="A350" s="7" t="inlineStr">
        <is>
          <t>ALL-0349</t>
        </is>
      </c>
      <c r="B350" s="7" t="inlineStr">
        <is>
          <t>Magazines/Journals</t>
        </is>
      </c>
      <c r="C350" s="8" t="inlineStr">
        <is>
          <t>2024</t>
        </is>
      </c>
      <c r="D350" s="7" t="inlineStr">
        <is>
          <t>2024-11-14</t>
        </is>
      </c>
      <c r="E350" s="9" t="inlineStr">
        <is>
          <t>கிராம அதிகாரி நாகன் பற்றிக் குறிப்பிடும் குடும்பிகல மலைக் கல்வெட்டு</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Kudumbigala</t>
        </is>
      </c>
      <c r="L350" s="7" t="inlineStr">
        <is>
          <t>Yes</t>
        </is>
      </c>
      <c r="M350" s="9" t="inlineStr">
        <is>
          <t>Series: Naga people in Sri Lankan Brahmi inscriptions</t>
        </is>
      </c>
      <c r="N350" s="10" t="inlineStr">
        <is>
          <t>https://www.ezhunaonline.com/the-kudumbigala-hill-inscription-mentions-the-village-officer-nagan/</t>
        </is>
      </c>
    </row>
    <row r="351">
      <c r="A351" s="11" t="inlineStr">
        <is>
          <t>ALL-0350</t>
        </is>
      </c>
      <c r="B351" s="11" t="inlineStr">
        <is>
          <t>Magazines/Journals</t>
        </is>
      </c>
      <c r="C351" s="12" t="inlineStr">
        <is>
          <t>2024</t>
        </is>
      </c>
      <c r="D351" s="11" t="inlineStr">
        <is>
          <t>2024-11-15</t>
        </is>
      </c>
      <c r="E351" s="13" t="inlineStr">
        <is>
          <t>கீழைக்கரையில் சோழர்</t>
        </is>
      </c>
      <c r="F351" s="13" t="inlineStr">
        <is>
          <t>Vivekanantharaja Thulanchanan</t>
        </is>
      </c>
      <c r="G351" s="13" t="inlineStr">
        <is>
          <t>Ezhuna (எழுநா)</t>
        </is>
      </c>
      <c r="H351" s="11" t="inlineStr">
        <is>
          <t>Online magazine article</t>
        </is>
      </c>
      <c r="I351" s="11" t="inlineStr">
        <is>
          <t>Tamil</t>
        </is>
      </c>
      <c r="J351" s="13" t="inlineStr">
        <is>
          <t>Inscriptions / கல்வெட்டு</t>
        </is>
      </c>
      <c r="K351" s="13" t="inlineStr">
        <is>
          <t>Chola; East coast; inscriptions</t>
        </is>
      </c>
      <c r="L351" s="11" t="inlineStr">
        <is>
          <t>Yes</t>
        </is>
      </c>
      <c r="M351" s="13" t="inlineStr">
        <is>
          <t>Series: East coast of Sri Lanka - a historical perspective</t>
        </is>
      </c>
      <c r="N351" s="14" t="inlineStr">
        <is>
          <t>https://www.ezhunaonline.com/chola-in-keekhagarai/</t>
        </is>
      </c>
    </row>
    <row r="352">
      <c r="A352" s="7" t="inlineStr">
        <is>
          <t>ALL-0351</t>
        </is>
      </c>
      <c r="B352" s="7" t="inlineStr">
        <is>
          <t>Magazines/Journals</t>
        </is>
      </c>
      <c r="C352" s="8" t="inlineStr">
        <is>
          <t>2024</t>
        </is>
      </c>
      <c r="D352" s="7" t="inlineStr">
        <is>
          <t>2024-11-28</t>
        </is>
      </c>
      <c r="E352" s="9" t="inlineStr">
        <is>
          <t>நாகர் பற்றிக் குறிப்பிடும் முத்துக்கல் மலைக்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Naga; Muthukal</t>
        </is>
      </c>
      <c r="L352" s="7" t="inlineStr">
        <is>
          <t>Yes</t>
        </is>
      </c>
      <c r="M352" s="9" t="inlineStr">
        <is>
          <t>Series: Naga people in Sri Lankan Brahmi inscriptions</t>
        </is>
      </c>
      <c r="N352" s="10" t="inlineStr">
        <is>
          <t>https://www.ezhunaonline.com/muthukal-hill-inscriptions-mention-nagar/</t>
        </is>
      </c>
    </row>
    <row r="353">
      <c r="A353" s="11" t="inlineStr">
        <is>
          <t>ALL-0352</t>
        </is>
      </c>
      <c r="B353" s="11" t="inlineStr">
        <is>
          <t>Magazines/Journals</t>
        </is>
      </c>
      <c r="C353" s="12" t="inlineStr">
        <is>
          <t>2024</t>
        </is>
      </c>
      <c r="D353" s="11" t="inlineStr">
        <is>
          <t>2024-12-11</t>
        </is>
      </c>
      <c r="E353" s="13" t="inlineStr">
        <is>
          <t>கிழக்கிலங்கையின் துணை அரசன் சோணையன், அவனின் மகன் அமைச்சர் தேவநாகன் ஆகியோர் பற்றிய காயங்குடா – கூமாச்சோலை கல்வெட்டு</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Kayankudah; Batticaloa</t>
        </is>
      </c>
      <c r="L353" s="11" t="inlineStr">
        <is>
          <t>Yes</t>
        </is>
      </c>
      <c r="M353" s="13" t="inlineStr">
        <is>
          <t>Series: Naga people in Sri Lankan Brahmi inscriptions</t>
        </is>
      </c>
      <c r="N353" s="14" t="inlineStr">
        <is>
          <t>https://www.ezhunaonline.com/kayanguda-kumacholai-inscription-of-eastern-ceylon-viceroy/</t>
        </is>
      </c>
    </row>
    <row r="354">
      <c r="A354" s="7" t="inlineStr">
        <is>
          <t>ALL-0353</t>
        </is>
      </c>
      <c r="B354" s="7" t="inlineStr">
        <is>
          <t>Magazines/Journals</t>
        </is>
      </c>
      <c r="C354" s="8" t="inlineStr">
        <is>
          <t>2024</t>
        </is>
      </c>
      <c r="D354" s="7" t="inlineStr">
        <is>
          <t>2024-12-27</t>
        </is>
      </c>
      <c r="E354" s="9" t="inlineStr">
        <is>
          <t>நாகர் பற்றிக் குறிப்பிடும் ஹந்தகல பிராமிக் கல்வெட்டுகள்</t>
        </is>
      </c>
      <c r="F354" s="9" t="inlineStr">
        <is>
          <t>N. K. S. Thiruchelvam</t>
        </is>
      </c>
      <c r="G354" s="9" t="inlineStr">
        <is>
          <t>Ezhuna (எழுநா)</t>
        </is>
      </c>
      <c r="H354" s="7" t="inlineStr">
        <is>
          <t>Online magazine article</t>
        </is>
      </c>
      <c r="I354" s="7" t="inlineStr">
        <is>
          <t>Tamil</t>
        </is>
      </c>
      <c r="J354" s="9" t="inlineStr">
        <is>
          <t>Inscriptions / கல்வெட்டு; Brahmi / பிராமி</t>
        </is>
      </c>
      <c r="K354" s="9" t="inlineStr">
        <is>
          <t>பிராமி; கல்வெட்டு; Handagala</t>
        </is>
      </c>
      <c r="L354" s="7" t="inlineStr">
        <is>
          <t>Yes</t>
        </is>
      </c>
      <c r="M354" s="9" t="inlineStr">
        <is>
          <t>Series: Naga people in Sri Lankan Brahmi inscriptions</t>
        </is>
      </c>
      <c r="N354" s="10" t="inlineStr">
        <is>
          <t>https://www.ezhunaonline.com/handagala-brahmic-inscriptions-refer-to-nagar/</t>
        </is>
      </c>
    </row>
    <row r="355">
      <c r="A355" s="11" t="inlineStr">
        <is>
          <t>ALL-0354</t>
        </is>
      </c>
      <c r="B355" s="11" t="inlineStr">
        <is>
          <t>Magazines/Journals</t>
        </is>
      </c>
      <c r="C355" s="12" t="inlineStr">
        <is>
          <t>2023</t>
        </is>
      </c>
      <c r="D355" s="11" t="inlineStr">
        <is>
          <t>2023-01-13</t>
        </is>
      </c>
      <c r="E355" s="13" t="inlineStr">
        <is>
          <t>தமிழர் பற்றிக் குறிப்பிடும் பிற்காலக் கல்வெட்டுக்கள் (சோழர் காலத்திற்கு முன்பு)</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pre-Chola</t>
        </is>
      </c>
      <c r="L355" s="11" t="inlineStr">
        <is>
          <t>Yes</t>
        </is>
      </c>
      <c r="M355" s="13" t="inlineStr">
        <is>
          <t>Series: Tamils in Brahmi &amp; Sinhala inscriptions</t>
        </is>
      </c>
      <c r="N355" s="14" t="inlineStr">
        <is>
          <t>https://www.ezhunaonline.com/later-inscriptions-refer-to-tamils/</t>
        </is>
      </c>
    </row>
    <row r="356">
      <c r="A356" s="7" t="inlineStr">
        <is>
          <t>ALL-0355</t>
        </is>
      </c>
      <c r="B356" s="7" t="inlineStr">
        <is>
          <t>Magazines/Journals</t>
        </is>
      </c>
      <c r="C356" s="8" t="inlineStr">
        <is>
          <t>2023</t>
        </is>
      </c>
      <c r="D356" s="7" t="inlineStr">
        <is>
          <t>2023-01-16</t>
        </is>
      </c>
      <c r="E356" s="9" t="inlineStr">
        <is>
          <t>கிழார்களின் வம்ப வேந்தர்</t>
        </is>
      </c>
      <c r="F356" s="9" t="inlineStr">
        <is>
          <t>நடேசன் இரவீந்திரன்</t>
        </is>
      </c>
      <c r="G356" s="9" t="inlineStr">
        <is>
          <t>Ezhuna (எழுநா)</t>
        </is>
      </c>
      <c r="H356" s="7" t="inlineStr">
        <is>
          <t>Online magazine article</t>
        </is>
      </c>
      <c r="I356" s="7" t="inlineStr">
        <is>
          <t>Tamil</t>
        </is>
      </c>
      <c r="J356" s="9" t="n"/>
      <c r="K356" s="9" t="n"/>
      <c r="L356" s="7" t="inlineStr">
        <is>
          <t>Yes</t>
        </is>
      </c>
      <c r="M356" s="9" t="inlineStr">
        <is>
          <t>Auto-collected 2026-10-14 (ezhuna); review.</t>
        </is>
      </c>
      <c r="N356" s="10" t="inlineStr">
        <is>
          <t>https://www.ezhunaonline.com/kizhargalin-vampa-vendar/</t>
        </is>
      </c>
    </row>
    <row r="357">
      <c r="A357" s="11" t="inlineStr">
        <is>
          <t>ALL-0356</t>
        </is>
      </c>
      <c r="B357" s="11" t="inlineStr">
        <is>
          <t>Magazines/Journals</t>
        </is>
      </c>
      <c r="C357" s="12" t="inlineStr">
        <is>
          <t>2023</t>
        </is>
      </c>
      <c r="D357" s="11" t="inlineStr">
        <is>
          <t>2023-02-16</t>
        </is>
      </c>
      <c r="E357" s="13" t="inlineStr">
        <is>
          <t>தமிழ் அதிகாரி மகாசாத்தான் பற்றி குறிப்பிடும் தாமரவெவ தூண் கல்வெட்டு</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Tamaravewa pillar</t>
        </is>
      </c>
      <c r="L357" s="11" t="inlineStr">
        <is>
          <t>Yes</t>
        </is>
      </c>
      <c r="M357" s="13" t="inlineStr">
        <is>
          <t>Series: Tamils in Brahmi &amp; Sinhala inscriptions</t>
        </is>
      </c>
      <c r="N357" s="14" t="inlineStr">
        <is>
          <t>https://www.ezhunaonline.com/tamaraveva-pillar-inscription-referring-to-the-tamil-official-mahasathan/</t>
        </is>
      </c>
    </row>
    <row r="358">
      <c r="A358" s="7" t="inlineStr">
        <is>
          <t>ALL-0357</t>
        </is>
      </c>
      <c r="B358" s="7" t="inlineStr">
        <is>
          <t>Magazines/Journals</t>
        </is>
      </c>
      <c r="C358" s="8" t="inlineStr">
        <is>
          <t>2023</t>
        </is>
      </c>
      <c r="D358" s="7" t="inlineStr">
        <is>
          <t>2023-03-10</t>
        </is>
      </c>
      <c r="E358" s="9" t="inlineStr">
        <is>
          <t>தமிழர்களுக்கு மாகாண தலைப்பட்டினத்தைக் கொடுக்கக் கூடாது எனக் குறிப்பிடும் பதுளைக்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Badulla pillar</t>
        </is>
      </c>
      <c r="L358" s="7" t="inlineStr">
        <is>
          <t>Yes</t>
        </is>
      </c>
      <c r="M358" s="9" t="inlineStr">
        <is>
          <t>Series: Tamils in Brahmi &amp; Sinhala inscriptions</t>
        </is>
      </c>
      <c r="N358" s="10" t="inlineStr">
        <is>
          <t>https://www.ezhunaonline.com/badulla-inscription/</t>
        </is>
      </c>
    </row>
    <row r="359">
      <c r="A359" s="11" t="inlineStr">
        <is>
          <t>ALL-0358</t>
        </is>
      </c>
      <c r="B359" s="11" t="inlineStr">
        <is>
          <t>Magazines/Journals</t>
        </is>
      </c>
      <c r="C359" s="12" t="inlineStr">
        <is>
          <t>2023</t>
        </is>
      </c>
      <c r="D359" s="11" t="inlineStr">
        <is>
          <t>2023-03-31</t>
        </is>
      </c>
      <c r="E359" s="13" t="inlineStr">
        <is>
          <t>பல ஆண்டுகளுக்குப் பின்னர் வரலாற்று வெளிச்சத்திற்கு வந்திருக்கும் அரிய தமிழ்க் கல்வெட்டு தம்பலகாமத்தில் மீளவும் கண்டுபிடிப்பு</t>
        </is>
      </c>
      <c r="F359" s="13" t="inlineStr">
        <is>
          <t>பரமு புஷ்பரட்ணம்</t>
        </is>
      </c>
      <c r="G359" s="13" t="inlineStr">
        <is>
          <t>Ezhuna (எழுநா)</t>
        </is>
      </c>
      <c r="H359" s="11" t="inlineStr">
        <is>
          <t>Online magazine article</t>
        </is>
      </c>
      <c r="I359" s="11" t="inlineStr">
        <is>
          <t>Tamil</t>
        </is>
      </c>
      <c r="J359" s="13" t="inlineStr">
        <is>
          <t>Inscriptions / கல்வெட்டு</t>
        </is>
      </c>
      <c r="K359" s="13" t="inlineStr">
        <is>
          <t>கல்வெட்டு</t>
        </is>
      </c>
      <c r="L359" s="11" t="inlineStr">
        <is>
          <t>Yes</t>
        </is>
      </c>
      <c r="M359" s="13" t="inlineStr">
        <is>
          <t>Auto-collected 2026-10-14 (ezhuna); review.</t>
        </is>
      </c>
      <c r="N359" s="14" t="inlineStr">
        <is>
          <t>https://www.ezhunaonline.com/rediscovery-of-tamil-inscription-at-tambalagama/</t>
        </is>
      </c>
    </row>
    <row r="360">
      <c r="A360" s="7" t="inlineStr">
        <is>
          <t>ALL-0359</t>
        </is>
      </c>
      <c r="B360" s="7" t="inlineStr">
        <is>
          <t>Magazines/Journals</t>
        </is>
      </c>
      <c r="C360" s="8" t="inlineStr">
        <is>
          <t>2023</t>
        </is>
      </c>
      <c r="D360" s="7" t="inlineStr">
        <is>
          <t>2023-04-04</t>
        </is>
      </c>
      <c r="E360" s="9" t="inlineStr">
        <is>
          <t>தமிழர் கிராமங்கள் மற்றும் காணிகள் பற்றிக் கூறும் அநுராதபுரம் கல் தோணிக்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Anuradhapura</t>
        </is>
      </c>
      <c r="L360" s="7" t="inlineStr">
        <is>
          <t>Yes</t>
        </is>
      </c>
      <c r="M360" s="9" t="inlineStr">
        <is>
          <t>Series: Tamils in Brahmi &amp; Sinhala inscriptions</t>
        </is>
      </c>
      <c r="N360" s="10" t="inlineStr">
        <is>
          <t>https://www.ezhunaonline.com/anuradhapura-inscription/</t>
        </is>
      </c>
    </row>
    <row r="361">
      <c r="A361" s="11" t="inlineStr">
        <is>
          <t>ALL-0360</t>
        </is>
      </c>
      <c r="B361" s="11" t="inlineStr">
        <is>
          <t>Magazines/Journals</t>
        </is>
      </c>
      <c r="C361" s="12" t="inlineStr">
        <is>
          <t>2023</t>
        </is>
      </c>
      <c r="D361" s="11" t="inlineStr">
        <is>
          <t>2023-04-15</t>
        </is>
      </c>
      <c r="E361" s="13" t="inlineStr">
        <is>
          <t>பிரித்தெடுக்கப்பட்ட தமிழரின் நிலம் பற்றிக் கூறும் ரன்கொத் விகாரை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Rankoth Vihara</t>
        </is>
      </c>
      <c r="L361" s="11" t="inlineStr">
        <is>
          <t>Yes</t>
        </is>
      </c>
      <c r="M361" s="13" t="inlineStr">
        <is>
          <t>Series: Tamils in Brahmi &amp; Sinhala inscriptions</t>
        </is>
      </c>
      <c r="N361" s="14" t="inlineStr">
        <is>
          <t>https://www.ezhunaonline.com/rankoth-viharai-inscription/</t>
        </is>
      </c>
    </row>
    <row r="362">
      <c r="A362" s="7" t="inlineStr">
        <is>
          <t>ALL-0361</t>
        </is>
      </c>
      <c r="B362" s="7" t="inlineStr">
        <is>
          <t>Magazines/Journals</t>
        </is>
      </c>
      <c r="C362" s="8" t="inlineStr">
        <is>
          <t>2023</t>
        </is>
      </c>
      <c r="D362" s="7" t="inlineStr">
        <is>
          <t>2023-04-22</t>
        </is>
      </c>
      <c r="E362" s="9" t="inlineStr">
        <is>
          <t>தமிழரின் பெளத்தப் பள்ளி பற்றிக் கூறும் வெஸ்ஸகிரி கற்பலகைக்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Vessagiri</t>
        </is>
      </c>
      <c r="L362" s="7" t="inlineStr">
        <is>
          <t>Yes</t>
        </is>
      </c>
      <c r="M362" s="9" t="inlineStr">
        <is>
          <t>Series: Tamils in Brahmi &amp; Sinhala inscriptions</t>
        </is>
      </c>
      <c r="N362" s="10" t="inlineStr">
        <is>
          <t>https://www.ezhunaonline.com/wessagiri-inscription/</t>
        </is>
      </c>
    </row>
    <row r="363">
      <c r="A363" s="11" t="inlineStr">
        <is>
          <t>ALL-0362</t>
        </is>
      </c>
      <c r="B363" s="11" t="inlineStr">
        <is>
          <t>Magazines/Journals</t>
        </is>
      </c>
      <c r="C363" s="12" t="inlineStr">
        <is>
          <t>2023</t>
        </is>
      </c>
      <c r="D363" s="11" t="inlineStr">
        <is>
          <t>2023-04-25</t>
        </is>
      </c>
      <c r="E363" s="13" t="inlineStr">
        <is>
          <t>கீழைக்கரைக்கான எழுத்துச் சான்றுகள் : நாடுகாட்டுப் பரவணிக் கல்வெட்டு III</t>
        </is>
      </c>
      <c r="F363" s="13" t="inlineStr">
        <is>
          <t>Vivekanantharaja Thulanchanan</t>
        </is>
      </c>
      <c r="G363" s="13" t="inlineStr">
        <is>
          <t>Ezhuna (எழுநா)</t>
        </is>
      </c>
      <c r="H363" s="11" t="inlineStr">
        <is>
          <t>Online magazine article</t>
        </is>
      </c>
      <c r="I363" s="11" t="inlineStr">
        <is>
          <t>Tamil</t>
        </is>
      </c>
      <c r="J363" s="13" t="inlineStr">
        <is>
          <t>Inscriptions / கல்வெட்டு</t>
        </is>
      </c>
      <c r="K363" s="13" t="inlineStr">
        <is>
          <t>கல்வெட்டு; Nadukadu Paravani</t>
        </is>
      </c>
      <c r="L363" s="11" t="inlineStr">
        <is>
          <t>Yes</t>
        </is>
      </c>
      <c r="M363" s="13" t="inlineStr">
        <is>
          <t>Series: East coast of Sri Lanka - a historical perspective</t>
        </is>
      </c>
      <c r="N363" s="14" t="inlineStr">
        <is>
          <t>https://www.ezhunaonline.com/keekhakarai-paravani-inscriptioniii/</t>
        </is>
      </c>
    </row>
    <row r="364">
      <c r="A364" s="7" t="inlineStr">
        <is>
          <t>ALL-0363</t>
        </is>
      </c>
      <c r="B364" s="7" t="inlineStr">
        <is>
          <t>Magazines/Journals</t>
        </is>
      </c>
      <c r="C364" s="8" t="inlineStr">
        <is>
          <t>2023</t>
        </is>
      </c>
      <c r="D364" s="7" t="inlineStr">
        <is>
          <t>2023-05-18</t>
        </is>
      </c>
      <c r="E364" s="9" t="inlineStr">
        <is>
          <t>வன்னியில் வெளிச்சத்திற்கு வராத மிகப்பிரமாண்டமான சுற்றுலாத்தலம்</t>
        </is>
      </c>
      <c r="F364" s="9" t="inlineStr">
        <is>
          <t>பரமு புஷ்பரட்ணம்</t>
        </is>
      </c>
      <c r="G364" s="9" t="inlineStr">
        <is>
          <t>Ezhuna (எழுநா)</t>
        </is>
      </c>
      <c r="H364" s="7" t="inlineStr">
        <is>
          <t>Online magazine article</t>
        </is>
      </c>
      <c r="I364" s="7" t="inlineStr">
        <is>
          <t>Tamil</t>
        </is>
      </c>
      <c r="J364" s="9" t="n"/>
      <c r="K364" s="9" t="n"/>
      <c r="L364" s="7" t="inlineStr">
        <is>
          <t>Yes</t>
        </is>
      </c>
      <c r="M364" s="9" t="inlineStr">
        <is>
          <t>Auto-collected 2026-10-14 (ezhuna); review.</t>
        </is>
      </c>
      <c r="N364" s="10" t="inlineStr">
        <is>
          <t>https://www.ezhunaonline.com/the-biggest-undiscovered-tourist-destination-in-vanni/</t>
        </is>
      </c>
    </row>
    <row r="365">
      <c r="A365" s="11" t="inlineStr">
        <is>
          <t>ALL-0364</t>
        </is>
      </c>
      <c r="B365" s="11" t="inlineStr">
        <is>
          <t>Magazines/Journals</t>
        </is>
      </c>
      <c r="C365" s="12" t="inlineStr">
        <is>
          <t>2023</t>
        </is>
      </c>
      <c r="D365" s="11" t="inlineStr">
        <is>
          <t>2023-06-23</t>
        </is>
      </c>
      <c r="E365" s="13" t="inlineStr">
        <is>
          <t>யாழ்ப்பாணக் கோட்டையின் அண்மைக்காலத் தொல்லியல் ஆய்வுகள் - ஒரு புதிய பார்வை - பகுதி 1</t>
        </is>
      </c>
      <c r="F365" s="13" t="inlineStr">
        <is>
          <t>பரமு புஷ்பரட்ணம்</t>
        </is>
      </c>
      <c r="G365" s="13" t="inlineStr">
        <is>
          <t>Ezhuna (எழுநா)</t>
        </is>
      </c>
      <c r="H365" s="11" t="inlineStr">
        <is>
          <t>Online magazine article</t>
        </is>
      </c>
      <c r="I365" s="11" t="inlineStr">
        <is>
          <t>Tamil</t>
        </is>
      </c>
      <c r="J365" s="13" t="inlineStr">
        <is>
          <t>Archaeology / தொல்லியல்</t>
        </is>
      </c>
      <c r="K365" s="13" t="inlineStr">
        <is>
          <t>தொல்லியல்; Jaffna Fort</t>
        </is>
      </c>
      <c r="L365" s="11" t="inlineStr">
        <is>
          <t>Yes</t>
        </is>
      </c>
      <c r="M365" s="13" t="n"/>
      <c r="N365" s="14" t="inlineStr">
        <is>
          <t>https://www.ezhunaonline.com/jaffna-fort/</t>
        </is>
      </c>
    </row>
    <row r="366">
      <c r="A366" s="7" t="inlineStr">
        <is>
          <t>ALL-0365</t>
        </is>
      </c>
      <c r="B366" s="7" t="inlineStr">
        <is>
          <t>Magazines/Journals</t>
        </is>
      </c>
      <c r="C366" s="8" t="inlineStr">
        <is>
          <t>2023</t>
        </is>
      </c>
      <c r="D366" s="7" t="inlineStr">
        <is>
          <t>2023-07-05</t>
        </is>
      </c>
      <c r="E366" s="9" t="inlineStr">
        <is>
          <t>யாழ்ப்பாண நகரம் தோன்றிய காலத்தை மீளாய்வு செய்யும் யாழ்ப்பாணக் கோட்டை அகழ்வாய்வு</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அகழ்வாய்வு</t>
        </is>
      </c>
      <c r="L366" s="7" t="inlineStr">
        <is>
          <t>Yes</t>
        </is>
      </c>
      <c r="M366" s="9" t="inlineStr">
        <is>
          <t>Auto-collected 2026-10-14 (ezhuna); review.</t>
        </is>
      </c>
      <c r="N366" s="10" t="inlineStr">
        <is>
          <t>https://www.ezhunaonline.com/archaeological-research-of-jaffna-fort/</t>
        </is>
      </c>
    </row>
    <row r="367">
      <c r="A367" s="11" t="inlineStr">
        <is>
          <t>ALL-0366</t>
        </is>
      </c>
      <c r="B367" s="11" t="inlineStr">
        <is>
          <t>Magazines/Journals</t>
        </is>
      </c>
      <c r="C367" s="12" t="inlineStr">
        <is>
          <t>2023</t>
        </is>
      </c>
      <c r="D367" s="11" t="inlineStr">
        <is>
          <t>2023-08-16</t>
        </is>
      </c>
      <c r="E367" s="13" t="inlineStr">
        <is>
          <t>யாழ்ப்பாண அரசில் ஆட்சிபுரிந்த புவனேகபாகு வெளியிட்ட முருகப் பெருமானைக் குறிக்கும் அரிய நாணயங்கள்</t>
        </is>
      </c>
      <c r="F367" s="13" t="inlineStr">
        <is>
          <t>பரமு புஷ்பரட்ணம்</t>
        </is>
      </c>
      <c r="G367" s="13" t="inlineStr">
        <is>
          <t>Ezhuna (எழுநா)</t>
        </is>
      </c>
      <c r="H367" s="11" t="inlineStr">
        <is>
          <t>Online magazine article</t>
        </is>
      </c>
      <c r="I367" s="11" t="inlineStr">
        <is>
          <t>Tamil</t>
        </is>
      </c>
      <c r="J367" s="13" t="inlineStr">
        <is>
          <t>Coins / நாணயம்</t>
        </is>
      </c>
      <c r="K367" s="13" t="n"/>
      <c r="L367" s="11" t="inlineStr">
        <is>
          <t>Yes</t>
        </is>
      </c>
      <c r="M367" s="13" t="inlineStr">
        <is>
          <t>Auto-collected 2026-10-14 (ezhuna); review.</t>
        </is>
      </c>
      <c r="N367" s="14" t="inlineStr">
        <is>
          <t>https://www.ezhunaonline.com/the-coins-of-bhuvanaikabahu/</t>
        </is>
      </c>
    </row>
    <row r="368">
      <c r="A368" s="7" t="inlineStr">
        <is>
          <t>ALL-0367</t>
        </is>
      </c>
      <c r="B368" s="7" t="inlineStr">
        <is>
          <t>Magazines/Journals</t>
        </is>
      </c>
      <c r="C368" s="8" t="inlineStr">
        <is>
          <t>2023</t>
        </is>
      </c>
      <c r="D368" s="7" t="inlineStr">
        <is>
          <t>2023-08-31</t>
        </is>
      </c>
      <c r="E368" s="9" t="inlineStr">
        <is>
          <t>கீழைக்கரைக்கான எழுத்துச் சான்றுகள் : மட்டக்களப்புப் பூர்வ சரித்திரம் III</t>
        </is>
      </c>
      <c r="F368" s="9" t="inlineStr">
        <is>
          <t>Vivekanantharaja Thulanchanan</t>
        </is>
      </c>
      <c r="G368" s="9" t="inlineStr">
        <is>
          <t>Ezhuna (எழுநா)</t>
        </is>
      </c>
      <c r="H368" s="7" t="inlineStr">
        <is>
          <t>Online magazine article</t>
        </is>
      </c>
      <c r="I368" s="7" t="inlineStr">
        <is>
          <t>Tamil</t>
        </is>
      </c>
      <c r="J368" s="9" t="n"/>
      <c r="K368" s="9" t="inlineStr">
        <is>
          <t>Batticaloa; sources</t>
        </is>
      </c>
      <c r="L368" s="7" t="inlineStr">
        <is>
          <t>Yes</t>
        </is>
      </c>
      <c r="M368" s="9" t="inlineStr">
        <is>
          <t>Series: East coast of Sri Lanka - a historical perspective</t>
        </is>
      </c>
      <c r="N368" s="10" t="inlineStr">
        <is>
          <t>https://www.ezhunaonline.com/batticaloa-history-iii/</t>
        </is>
      </c>
    </row>
    <row r="369">
      <c r="A369" s="11" t="inlineStr">
        <is>
          <t>ALL-0368</t>
        </is>
      </c>
      <c r="B369" s="11" t="inlineStr">
        <is>
          <t>Magazines/Journals</t>
        </is>
      </c>
      <c r="C369" s="12" t="inlineStr">
        <is>
          <t>2023</t>
        </is>
      </c>
      <c r="D369" s="11" t="inlineStr">
        <is>
          <t>2023-09-06</t>
        </is>
      </c>
      <c r="E369" s="13" t="inlineStr">
        <is>
          <t>அநுராதபுர இராசதானி காலத்தில் எல்லாள மன்னன் வெளியிட்ட தமிழ் நாணயம்</t>
        </is>
      </c>
      <c r="F369" s="13" t="inlineStr">
        <is>
          <t>பரமு புஷ்பரட்ணம்</t>
        </is>
      </c>
      <c r="G369" s="13" t="inlineStr">
        <is>
          <t>Ezhuna (எழுநா)</t>
        </is>
      </c>
      <c r="H369" s="11" t="inlineStr">
        <is>
          <t>Online magazine article</t>
        </is>
      </c>
      <c r="I369" s="11" t="inlineStr">
        <is>
          <t>Tamil</t>
        </is>
      </c>
      <c r="J369" s="13" t="inlineStr">
        <is>
          <t>Coins / நாணயம்</t>
        </is>
      </c>
      <c r="K369" s="13" t="inlineStr">
        <is>
          <t>நாணயம்</t>
        </is>
      </c>
      <c r="L369" s="11" t="inlineStr">
        <is>
          <t>Yes</t>
        </is>
      </c>
      <c r="M369" s="13" t="inlineStr">
        <is>
          <t>Auto-collected 2026-10-14 (ezhuna); review.</t>
        </is>
      </c>
      <c r="N369" s="14" t="inlineStr">
        <is>
          <t>https://www.ezhunaonline.com/tamil-coin-of-ellalan/</t>
        </is>
      </c>
    </row>
    <row r="370">
      <c r="A370" s="7" t="inlineStr">
        <is>
          <t>ALL-0369</t>
        </is>
      </c>
      <c r="B370" s="7" t="inlineStr">
        <is>
          <t>Magazines/Journals</t>
        </is>
      </c>
      <c r="C370" s="8" t="inlineStr">
        <is>
          <t>2023</t>
        </is>
      </c>
      <c r="D370" s="7" t="inlineStr">
        <is>
          <t>2023-10-04</t>
        </is>
      </c>
      <c r="E370" s="9" t="inlineStr">
        <is>
          <t>பெரிய புளியங்குளம் தமிழ்க் கல்வெட்டும் முள்ளியான் குடிமனை அழிபாடுகளும்</t>
        </is>
      </c>
      <c r="F370" s="9" t="inlineStr">
        <is>
          <t>பரமு புஷ்பரட்ணம்</t>
        </is>
      </c>
      <c r="G370" s="9" t="inlineStr">
        <is>
          <t>Ezhuna (எழுநா)</t>
        </is>
      </c>
      <c r="H370" s="7" t="inlineStr">
        <is>
          <t>Online magazine article</t>
        </is>
      </c>
      <c r="I370" s="7" t="inlineStr">
        <is>
          <t>Tamil</t>
        </is>
      </c>
      <c r="J370" s="9" t="inlineStr">
        <is>
          <t>Inscriptions / கல்வெட்டு</t>
        </is>
      </c>
      <c r="K370" s="9" t="inlineStr">
        <is>
          <t>கல்வெட்டு</t>
        </is>
      </c>
      <c r="L370" s="7" t="inlineStr">
        <is>
          <t>Yes</t>
        </is>
      </c>
      <c r="M370" s="9" t="inlineStr">
        <is>
          <t>Auto-collected 2026-10-14 (ezhuna); review.</t>
        </is>
      </c>
      <c r="N370" s="10" t="inlineStr">
        <is>
          <t>https://www.ezhunaonline.com/an-inscription-and-a-ruined-house-in-vanni/</t>
        </is>
      </c>
    </row>
    <row r="371">
      <c r="A371" s="11" t="inlineStr">
        <is>
          <t>ALL-0370</t>
        </is>
      </c>
      <c r="B371" s="11" t="inlineStr">
        <is>
          <t>Magazines/Journals</t>
        </is>
      </c>
      <c r="C371" s="12" t="inlineStr">
        <is>
          <t>2023</t>
        </is>
      </c>
      <c r="D371" s="11" t="inlineStr">
        <is>
          <t>2023-10-20</t>
        </is>
      </c>
      <c r="E371" s="13" t="inlineStr">
        <is>
          <t>கீழைக்கரைக்கான வேறு தொன்மச் சான்றுகள் II</t>
        </is>
      </c>
      <c r="F371" s="13" t="inlineStr">
        <is>
          <t>Vivekanantharaja Thulanchanan</t>
        </is>
      </c>
      <c r="G371" s="13" t="inlineStr">
        <is>
          <t>Ezhuna (எழுநா)</t>
        </is>
      </c>
      <c r="H371" s="11" t="inlineStr">
        <is>
          <t>Online magazine article</t>
        </is>
      </c>
      <c r="I371" s="11" t="inlineStr">
        <is>
          <t>Tamil</t>
        </is>
      </c>
      <c r="J371" s="13" t="n"/>
      <c r="K371" s="13" t="inlineStr">
        <is>
          <t>Batticaloa; myths</t>
        </is>
      </c>
      <c r="L371" s="11" t="inlineStr">
        <is>
          <t>Yes</t>
        </is>
      </c>
      <c r="M371" s="13" t="inlineStr">
        <is>
          <t>Series: East coast of Sri Lanka - a historical perspective</t>
        </is>
      </c>
      <c r="N371" s="14" t="inlineStr">
        <is>
          <t>https://www.ezhunaonline.com/the-other-myths-of-batticaloa-2/</t>
        </is>
      </c>
    </row>
    <row r="372">
      <c r="A372" s="7" t="inlineStr">
        <is>
          <t>ALL-0371</t>
        </is>
      </c>
      <c r="B372" s="7" t="inlineStr">
        <is>
          <t>Magazines/Journals</t>
        </is>
      </c>
      <c r="C372" s="8" t="inlineStr">
        <is>
          <t>2023</t>
        </is>
      </c>
      <c r="D372" s="7" t="inlineStr">
        <is>
          <t>2023-11-22</t>
        </is>
      </c>
      <c r="E372" s="9" t="inlineStr">
        <is>
          <t>வரலாற்றுக்கு முற்பட்ட இலங்கை</t>
        </is>
      </c>
      <c r="F372" s="9" t="inlineStr">
        <is>
          <t>Vivekanantharaja Thulanchanan</t>
        </is>
      </c>
      <c r="G372" s="9" t="inlineStr">
        <is>
          <t>Ezhuna (எழுநா)</t>
        </is>
      </c>
      <c r="H372" s="7" t="inlineStr">
        <is>
          <t>Online magazine article</t>
        </is>
      </c>
      <c r="I372" s="7" t="inlineStr">
        <is>
          <t>Tamil</t>
        </is>
      </c>
      <c r="J372" s="9" t="n"/>
      <c r="K372" s="9" t="inlineStr">
        <is>
          <t>prehistory</t>
        </is>
      </c>
      <c r="L372" s="7" t="inlineStr">
        <is>
          <t>Yes</t>
        </is>
      </c>
      <c r="M372" s="9" t="inlineStr">
        <is>
          <t>Series: East coast of Sri Lanka - a historical perspective</t>
        </is>
      </c>
      <c r="N372" s="10" t="inlineStr">
        <is>
          <t>https://www.ezhunaonline.com/timeline-of-sri-lankan-pre-history/</t>
        </is>
      </c>
    </row>
    <row r="373">
      <c r="A373" s="11" t="inlineStr">
        <is>
          <t>ALL-0372</t>
        </is>
      </c>
      <c r="B373" s="11" t="inlineStr">
        <is>
          <t>Magazines/Journals</t>
        </is>
      </c>
      <c r="C373" s="12" t="inlineStr">
        <is>
          <t>2023</t>
        </is>
      </c>
      <c r="D373" s="11" t="inlineStr">
        <is>
          <t>2023-12-31</t>
        </is>
      </c>
      <c r="E373" s="13" t="inlineStr">
        <is>
          <t>இயக்கர் அல்லது பத்தர் : இலங்கை வரலாற்றுக் காலத்தின் துவக்கம்</t>
        </is>
      </c>
      <c r="F373" s="13" t="inlineStr">
        <is>
          <t>Vivekanantharaja Thulanchanan</t>
        </is>
      </c>
      <c r="G373" s="13" t="inlineStr">
        <is>
          <t>Ezhuna (எழுநா)</t>
        </is>
      </c>
      <c r="H373" s="11" t="inlineStr">
        <is>
          <t>Online magazine article</t>
        </is>
      </c>
      <c r="I373" s="11" t="inlineStr">
        <is>
          <t>Tamil</t>
        </is>
      </c>
      <c r="J373" s="13" t="n"/>
      <c r="K373" s="13" t="inlineStr">
        <is>
          <t>early history</t>
        </is>
      </c>
      <c r="L373" s="11" t="inlineStr">
        <is>
          <t>Yes</t>
        </is>
      </c>
      <c r="M373" s="13" t="inlineStr">
        <is>
          <t>Series: East coast of Sri Lanka - a historical perspective</t>
        </is>
      </c>
      <c r="N373" s="14" t="inlineStr">
        <is>
          <t>https://www.ezhunaonline.com/the-initial-stage-of-sri-lankan-history-period/</t>
        </is>
      </c>
    </row>
    <row r="374">
      <c r="A374" s="7" t="inlineStr">
        <is>
          <t>ALL-0373</t>
        </is>
      </c>
      <c r="B374" s="7" t="inlineStr">
        <is>
          <t>Magazines/Journals</t>
        </is>
      </c>
      <c r="C374" s="8" t="inlineStr">
        <is>
          <t>2022</t>
        </is>
      </c>
      <c r="D374" s="7" t="inlineStr">
        <is>
          <t>2022-05-04</t>
        </is>
      </c>
      <c r="E374" s="9" t="inlineStr">
        <is>
          <t>இலங்கையில் அகழ்வாய்வு ஒரு அறிவியல் ஒழுக்கமா?</t>
        </is>
      </c>
      <c r="F374" s="9" t="inlineStr">
        <is>
          <t>பாக்கியநாதன் அகிலன்</t>
        </is>
      </c>
      <c r="G374" s="9" t="inlineStr">
        <is>
          <t>Ezhuna (எழுநா)</t>
        </is>
      </c>
      <c r="H374" s="7" t="inlineStr">
        <is>
          <t>Online magazine article</t>
        </is>
      </c>
      <c r="I374" s="7" t="inlineStr">
        <is>
          <t>Tamil</t>
        </is>
      </c>
      <c r="J374" s="9" t="inlineStr">
        <is>
          <t>Archaeology / தொல்லியல்</t>
        </is>
      </c>
      <c r="K374" s="9" t="inlineStr">
        <is>
          <t>அகழ்வாய்வு</t>
        </is>
      </c>
      <c r="L374" s="7" t="inlineStr">
        <is>
          <t>Yes</t>
        </is>
      </c>
      <c r="M374" s="9" t="inlineStr">
        <is>
          <t>Auto-collected 2026-10-14 (ezhuna); review.</t>
        </is>
      </c>
      <c r="N374" s="10" t="inlineStr">
        <is>
          <t>https://www.ezhunaonline.com/%e0%ae%ae%e0%ae%b0%e0%ae%aa%e0%af%81%e0%ae%b0%e0%ae%bf%e0%ae%ae%e0%af%88%e0%ae%95%e0%ae%b3%e0%af%88%e0%ae%aa%e0%af%8d-%e0%ae%aa%e0%ae%b1%e0%af%88%e0%ae%a4%e0%ae%b2%e0%af%8d-%e0%ae%87%e0%ae%b2/</t>
        </is>
      </c>
    </row>
    <row r="375">
      <c r="A375" s="11" t="inlineStr">
        <is>
          <t>ALL-0374</t>
        </is>
      </c>
      <c r="B375" s="11" t="inlineStr">
        <is>
          <t>Magazines/Journals</t>
        </is>
      </c>
      <c r="C375" s="12" t="inlineStr">
        <is>
          <t>2022</t>
        </is>
      </c>
      <c r="D375" s="11" t="inlineStr">
        <is>
          <t>2022-09-28</t>
        </is>
      </c>
      <c r="E375" s="13" t="inlineStr">
        <is>
          <t>இலங்கையில் தமிழர் பற்றிய பிராமிக் கல்வெட்டுக்கள் – ஓர் அறிமுகம்</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கல்வெட்டு; introduction</t>
        </is>
      </c>
      <c r="L375" s="11" t="inlineStr">
        <is>
          <t>Yes</t>
        </is>
      </c>
      <c r="M375" s="13" t="inlineStr">
        <is>
          <t>Series: Tamils in Brahmi &amp; Sinhala inscriptions</t>
        </is>
      </c>
      <c r="N375" s="14" t="inlineStr">
        <is>
          <t>https://www.ezhunaonline.com/brahmic-inscriptions-on-tamils-in-ceylon-an-introduction/</t>
        </is>
      </c>
    </row>
    <row r="376">
      <c r="A376" s="7" t="inlineStr">
        <is>
          <t>ALL-0375</t>
        </is>
      </c>
      <c r="B376" s="7" t="inlineStr">
        <is>
          <t>Magazines/Journals</t>
        </is>
      </c>
      <c r="C376" s="8" t="inlineStr">
        <is>
          <t>2022</t>
        </is>
      </c>
      <c r="D376" s="7" t="inlineStr">
        <is>
          <t>2022-10-05</t>
        </is>
      </c>
      <c r="E376" s="9" t="inlineStr">
        <is>
          <t>இலங்கைத் தமிழரின் பூர்வீக வரலாற்றையும், பண்பாட்டையும் அடையாளப்படுத்திக் காட்டும் கட்டுக்கரைத் தொல்லியல் அகழ்வாய்வுகள்</t>
        </is>
      </c>
      <c r="F376" s="9" t="inlineStr">
        <is>
          <t>P. Pushparatnam</t>
        </is>
      </c>
      <c r="G376" s="9" t="inlineStr">
        <is>
          <t>Ezhuna (எழுநா)</t>
        </is>
      </c>
      <c r="H376" s="7" t="inlineStr">
        <is>
          <t>Online magazine article</t>
        </is>
      </c>
      <c r="I376" s="7" t="inlineStr">
        <is>
          <t>Tamil</t>
        </is>
      </c>
      <c r="J376" s="9" t="inlineStr">
        <is>
          <t>Archaeology / தொல்லியல்</t>
        </is>
      </c>
      <c r="K376" s="9" t="inlineStr">
        <is>
          <t>தொல்லியல்; Kattukarai excavation</t>
        </is>
      </c>
      <c r="L376" s="7" t="inlineStr">
        <is>
          <t>Yes</t>
        </is>
      </c>
      <c r="M376" s="9" t="inlineStr">
        <is>
          <t>Author to verify</t>
        </is>
      </c>
      <c r="N376" s="10" t="inlineStr">
        <is>
          <t>https://www.ezhunaonline.com/history-and-culture-of-srilankan-tamils-part-3/</t>
        </is>
      </c>
    </row>
    <row r="377">
      <c r="A377" s="11" t="inlineStr">
        <is>
          <t>ALL-0376</t>
        </is>
      </c>
      <c r="B377" s="11" t="inlineStr">
        <is>
          <t>Magazines/Journals</t>
        </is>
      </c>
      <c r="C377" s="12" t="inlineStr">
        <is>
          <t>2022</t>
        </is>
      </c>
      <c r="D377" s="11" t="inlineStr">
        <is>
          <t>2022-10-10</t>
        </is>
      </c>
      <c r="E377" s="13" t="inlineStr">
        <is>
          <t>தமிழர் தொடர்பாக பலரும் அறிந்திருந்த 5 பிராமிக் கல்வெட்டுக்கள்</t>
        </is>
      </c>
      <c r="F377" s="13" t="inlineStr">
        <is>
          <t>N. K. S. Thiruchelvam</t>
        </is>
      </c>
      <c r="G377" s="13" t="inlineStr">
        <is>
          <t>Ezhuna (எழுநா)</t>
        </is>
      </c>
      <c r="H377" s="11" t="inlineStr">
        <is>
          <t>Online magazine article</t>
        </is>
      </c>
      <c r="I377" s="11" t="inlineStr">
        <is>
          <t>Tamil</t>
        </is>
      </c>
      <c r="J377" s="13" t="inlineStr">
        <is>
          <t>Inscriptions / கல்வெட்டு; Brahmi / பிராமி</t>
        </is>
      </c>
      <c r="K377" s="13" t="inlineStr">
        <is>
          <t>பிராமி; கல்வெட்டு</t>
        </is>
      </c>
      <c r="L377" s="11" t="inlineStr">
        <is>
          <t>Yes</t>
        </is>
      </c>
      <c r="M377" s="13" t="inlineStr">
        <is>
          <t>Series: Tamils in Brahmi &amp; Sinhala inscriptions</t>
        </is>
      </c>
      <c r="N377" s="14" t="inlineStr">
        <is>
          <t>https://www.ezhunaonline.com/5brahmic-in-icriptions-tamils/</t>
        </is>
      </c>
    </row>
    <row r="378">
      <c r="A378" s="7" t="inlineStr">
        <is>
          <t>ALL-0377</t>
        </is>
      </c>
      <c r="B378" s="7" t="inlineStr">
        <is>
          <t>Magazines/Journals</t>
        </is>
      </c>
      <c r="C378" s="8" t="inlineStr">
        <is>
          <t>2022</t>
        </is>
      </c>
      <c r="D378" s="7" t="inlineStr">
        <is>
          <t>2022-10-26</t>
        </is>
      </c>
      <c r="E378" s="9" t="inlineStr">
        <is>
          <t>கீழைக்கரைக்கான வரலாற்றுச் சான்றுகள் : கல்வெட்டுக்களும் பொறிப்புகளும்</t>
        </is>
      </c>
      <c r="F378" s="9" t="inlineStr">
        <is>
          <t>விவேகானந்தராஜா துலாஞ்சனன்</t>
        </is>
      </c>
      <c r="G378" s="9" t="inlineStr">
        <is>
          <t>Ezhuna (எழுநா)</t>
        </is>
      </c>
      <c r="H378" s="7" t="inlineStr">
        <is>
          <t>Online magazine article</t>
        </is>
      </c>
      <c r="I378" s="7" t="inlineStr">
        <is>
          <t>Tamil</t>
        </is>
      </c>
      <c r="J378" s="9" t="inlineStr">
        <is>
          <t>Inscriptions / கல்வெட்டு</t>
        </is>
      </c>
      <c r="K378" s="9" t="inlineStr">
        <is>
          <t>கல்வெட்டு</t>
        </is>
      </c>
      <c r="L378" s="7" t="inlineStr">
        <is>
          <t>Yes</t>
        </is>
      </c>
      <c r="M378" s="9" t="inlineStr">
        <is>
          <t>Auto-collected 2026-10-14 (ezhuna); review.</t>
        </is>
      </c>
      <c r="N378" s="10" t="inlineStr">
        <is>
          <t>https://www.ezhunaonline.com/historical-evidence-of-keekhakarai/</t>
        </is>
      </c>
    </row>
    <row r="379">
      <c r="A379" s="11" t="inlineStr">
        <is>
          <t>ALL-0378</t>
        </is>
      </c>
      <c r="B379" s="11" t="inlineStr">
        <is>
          <t>Magazines/Journals</t>
        </is>
      </c>
      <c r="C379" s="12" t="inlineStr">
        <is>
          <t>2022</t>
        </is>
      </c>
      <c r="D379" s="11" t="inlineStr">
        <is>
          <t>2022-11-07</t>
        </is>
      </c>
      <c r="E379" s="13" t="inlineStr">
        <is>
          <t>தமிழ் வணிகன் பற்றிக் கூறும் பெரிய புளியங்குளம் கல்வெட்டுக்கள்</t>
        </is>
      </c>
      <c r="F379" s="13" t="inlineStr">
        <is>
          <t>N. K. S. Thiruchelvam</t>
        </is>
      </c>
      <c r="G379" s="13" t="inlineStr">
        <is>
          <t>Ezhuna (எழுநா)</t>
        </is>
      </c>
      <c r="H379" s="11" t="inlineStr">
        <is>
          <t>Online magazine article</t>
        </is>
      </c>
      <c r="I379" s="11" t="inlineStr">
        <is>
          <t>Tamil</t>
        </is>
      </c>
      <c r="J379" s="13" t="inlineStr">
        <is>
          <t>Inscriptions / கல்வெட்டு</t>
        </is>
      </c>
      <c r="K379" s="13" t="inlineStr">
        <is>
          <t>கல்வெட்டு; Periya Puliyankulam</t>
        </is>
      </c>
      <c r="L379" s="11" t="inlineStr">
        <is>
          <t>Yes</t>
        </is>
      </c>
      <c r="M379" s="13" t="inlineStr">
        <is>
          <t>Series: Tamils in Brahmi &amp; Sinhala inscriptions</t>
        </is>
      </c>
      <c r="N379" s="14" t="inlineStr">
        <is>
          <t>https://www.ezhunaonline.com/tamil-vanikan-puliankulam-inscriptions/</t>
        </is>
      </c>
    </row>
    <row r="380">
      <c r="A380" s="7" t="inlineStr">
        <is>
          <t>ALL-0379</t>
        </is>
      </c>
      <c r="B380" s="7" t="inlineStr">
        <is>
          <t>Magazines/Journals</t>
        </is>
      </c>
      <c r="C380" s="8" t="inlineStr">
        <is>
          <t>2022</t>
        </is>
      </c>
      <c r="D380" s="7" t="inlineStr">
        <is>
          <t>2022-11-20</t>
        </is>
      </c>
      <c r="E380" s="9" t="inlineStr">
        <is>
          <t>தமிழர் வீரத்தை பறைசாற்றும் நடுகல்</t>
        </is>
      </c>
      <c r="F380" s="9" t="inlineStr">
        <is>
          <t>Aingaran Vigneswara</t>
        </is>
      </c>
      <c r="G380" s="9" t="inlineStr">
        <is>
          <t>Vanakkam London</t>
        </is>
      </c>
      <c r="H380" s="7" t="inlineStr">
        <is>
          <t>Online magazine article</t>
        </is>
      </c>
      <c r="I380" s="7" t="inlineStr">
        <is>
          <t>Tamil</t>
        </is>
      </c>
      <c r="J380" s="9" t="inlineStr">
        <is>
          <t>Hero stones / நடுகல்</t>
        </is>
      </c>
      <c r="K380" s="9" t="inlineStr">
        <is>
          <t>நடுகல்; hero stone; memorial</t>
        </is>
      </c>
      <c r="L380" s="7" t="inlineStr">
        <is>
          <t>Yes</t>
        </is>
      </c>
      <c r="M380" s="9" t="inlineStr">
        <is>
          <t>Covers Sangam-era hero stones to Eelam war memorials</t>
        </is>
      </c>
      <c r="N380" s="10" t="inlineStr">
        <is>
          <t>https://vanakkamlondon.com/stories/featured-story/2022/11/178155/</t>
        </is>
      </c>
    </row>
    <row r="381">
      <c r="A381" s="11" t="inlineStr">
        <is>
          <t>ALL-0380</t>
        </is>
      </c>
      <c r="B381" s="11" t="inlineStr">
        <is>
          <t>Magazines/Journals</t>
        </is>
      </c>
      <c r="C381" s="12" t="inlineStr">
        <is>
          <t>2022</t>
        </is>
      </c>
      <c r="D381" s="11" t="inlineStr">
        <is>
          <t>2022-11-28</t>
        </is>
      </c>
      <c r="E381" s="13" t="inlineStr">
        <is>
          <t>தமிழ் குடும்பத் தலைவன் குட்டன் பற்றிய சேருவில கல்வெட்டு</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Seruvila</t>
        </is>
      </c>
      <c r="L381" s="11" t="inlineStr">
        <is>
          <t>Yes</t>
        </is>
      </c>
      <c r="M381" s="13" t="inlineStr">
        <is>
          <t>Series: Tamils in Brahmi &amp; Sinhala inscriptions</t>
        </is>
      </c>
      <c r="N381" s="14" t="inlineStr">
        <is>
          <t>https://www.ezhunaonline.com/seruvila-inscription-on-tamil-family-leader-guttan/</t>
        </is>
      </c>
    </row>
    <row r="382">
      <c r="A382" s="7" t="inlineStr">
        <is>
          <t>ALL-0381</t>
        </is>
      </c>
      <c r="B382" s="7" t="inlineStr">
        <is>
          <t>Magazines/Journals</t>
        </is>
      </c>
      <c r="C382" s="8" t="inlineStr">
        <is>
          <t>2022</t>
        </is>
      </c>
      <c r="D382" s="7" t="inlineStr">
        <is>
          <t>2022-12-15</t>
        </is>
      </c>
      <c r="E382" s="9" t="inlineStr">
        <is>
          <t>வன்னிப் பெருநிலப்பரப்பில் மீண்டும் அரியதொரு தமிழ்க் கல்வெட்டு கண்டுபிடிப்பு</t>
        </is>
      </c>
      <c r="F382" s="9" t="inlineStr">
        <is>
          <t>பரமு புஷ்பரட்ணம்</t>
        </is>
      </c>
      <c r="G382" s="9" t="inlineStr">
        <is>
          <t>Ezhuna (எழுநா)</t>
        </is>
      </c>
      <c r="H382" s="7" t="inlineStr">
        <is>
          <t>Online magazine article</t>
        </is>
      </c>
      <c r="I382" s="7" t="inlineStr">
        <is>
          <t>Tamil</t>
        </is>
      </c>
      <c r="J382" s="9" t="inlineStr">
        <is>
          <t>Inscriptions / கல்வெட்டு</t>
        </is>
      </c>
      <c r="K382" s="9" t="inlineStr">
        <is>
          <t>கல்வெட்டு</t>
        </is>
      </c>
      <c r="L382" s="7" t="inlineStr">
        <is>
          <t>Yes</t>
        </is>
      </c>
      <c r="M382" s="9" t="inlineStr">
        <is>
          <t>Auto-collected 2026-10-14 (ezhuna); review.</t>
        </is>
      </c>
      <c r="N382" s="10" t="inlineStr">
        <is>
          <t>https://www.ezhunaonline.com/tamil-inscription-found-in-the-vanni/</t>
        </is>
      </c>
    </row>
    <row r="383">
      <c r="A383" s="11" t="inlineStr">
        <is>
          <t>ALL-0382</t>
        </is>
      </c>
      <c r="B383" s="11" t="inlineStr">
        <is>
          <t>Magazines/Journals</t>
        </is>
      </c>
      <c r="C383" s="12" t="inlineStr">
        <is>
          <t>2022</t>
        </is>
      </c>
      <c r="D383" s="11" t="inlineStr">
        <is>
          <t>2022-12-19</t>
        </is>
      </c>
      <c r="E383" s="13" t="inlineStr">
        <is>
          <t>தீகவாபியின் குடிமகனான தமிழ் வணிகன் பற்றிய குடிவில் கல்வெட்டு</t>
        </is>
      </c>
      <c r="F383" s="13" t="inlineStr">
        <is>
          <t>N. K. S. Thiruchelvam</t>
        </is>
      </c>
      <c r="G383" s="13" t="inlineStr">
        <is>
          <t>Ezhuna (எழுநா)</t>
        </is>
      </c>
      <c r="H383" s="11" t="inlineStr">
        <is>
          <t>Online magazine article</t>
        </is>
      </c>
      <c r="I383" s="11" t="inlineStr">
        <is>
          <t>Tamil</t>
        </is>
      </c>
      <c r="J383" s="13" t="inlineStr">
        <is>
          <t>Inscriptions / கல்வெட்டு</t>
        </is>
      </c>
      <c r="K383" s="13" t="inlineStr">
        <is>
          <t>கல்வெட்டு; Kudivil; merchant</t>
        </is>
      </c>
      <c r="L383" s="11" t="inlineStr">
        <is>
          <t>Yes</t>
        </is>
      </c>
      <c r="M383" s="13" t="inlineStr">
        <is>
          <t>Series: Tamils in Brahmi &amp; Sinhala inscriptions</t>
        </is>
      </c>
      <c r="N383" s="14" t="inlineStr">
        <is>
          <t>https://www.ezhunaonline.com/gudvil-inscription-about-a-tamil-merchant-who-was-a-resident-of-dikavapi/</t>
        </is>
      </c>
    </row>
    <row r="384">
      <c r="A384" s="7" t="inlineStr">
        <is>
          <t>ALL-0383</t>
        </is>
      </c>
      <c r="B384" s="7" t="inlineStr">
        <is>
          <t>Magazines/Journals</t>
        </is>
      </c>
      <c r="C384" s="8" t="inlineStr">
        <is>
          <t>2022</t>
        </is>
      </c>
      <c r="D384" s="7" t="inlineStr">
        <is>
          <t>2022-12-28</t>
        </is>
      </c>
      <c r="E384" s="9" t="inlineStr">
        <is>
          <t>கீழைக்கரைக்கான எழுத்துச் சான்றுகள் : தமிழ் இலக்கியங்கள்</t>
        </is>
      </c>
      <c r="F384" s="9" t="inlineStr">
        <is>
          <t>Vivekanantharaja Thulanchanan</t>
        </is>
      </c>
      <c r="G384" s="9" t="inlineStr">
        <is>
          <t>Ezhuna (எழுநா)</t>
        </is>
      </c>
      <c r="H384" s="7" t="inlineStr">
        <is>
          <t>Online magazine article</t>
        </is>
      </c>
      <c r="I384" s="7" t="inlineStr">
        <is>
          <t>Tamil</t>
        </is>
      </c>
      <c r="J384" s="9" t="n"/>
      <c r="K384" s="9" t="inlineStr">
        <is>
          <t>East coast; sources</t>
        </is>
      </c>
      <c r="L384" s="7" t="inlineStr">
        <is>
          <t>Yes</t>
        </is>
      </c>
      <c r="M384" s="9" t="inlineStr">
        <is>
          <t>Series: East coast of Sri Lanka - a historical perspective</t>
        </is>
      </c>
      <c r="N384" s="10" t="inlineStr">
        <is>
          <t>https://www.ezhunaonline.com/evidence-for-keekhakarai-tamil-literature/</t>
        </is>
      </c>
    </row>
    <row r="385">
      <c r="A385" s="11" t="inlineStr">
        <is>
          <t>ALL-0384</t>
        </is>
      </c>
      <c r="B385" s="11" t="inlineStr">
        <is>
          <t>Magazines/Journals</t>
        </is>
      </c>
      <c r="C385" s="12" t="inlineStr">
        <is>
          <t>2021</t>
        </is>
      </c>
      <c r="D385" s="11" t="inlineStr">
        <is>
          <t>2021-01-29</t>
        </is>
      </c>
      <c r="E385" s="13" t="inlineStr">
        <is>
          <t>அழிந்துவரும் மரபுரிமைச் சின்னங்கள்</t>
        </is>
      </c>
      <c r="F385" s="13" t="inlineStr">
        <is>
          <t>இரத்தினவேலுப்பிள்ளை மயூரநாதன்</t>
        </is>
      </c>
      <c r="G385" s="13" t="inlineStr">
        <is>
          <t>Ezhuna (எழுநா)</t>
        </is>
      </c>
      <c r="H385" s="11" t="inlineStr">
        <is>
          <t>Online magazine article</t>
        </is>
      </c>
      <c r="I385" s="11" t="inlineStr">
        <is>
          <t>Tamil</t>
        </is>
      </c>
      <c r="J385" s="13" t="n"/>
      <c r="K385" s="13" t="n"/>
      <c r="L385" s="11" t="inlineStr">
        <is>
          <t>Yes</t>
        </is>
      </c>
      <c r="M385" s="13" t="inlineStr">
        <is>
          <t>Auto-collected 2026-10-14 (ezhuna); review.</t>
        </is>
      </c>
      <c r="N385" s="14" t="inlineStr">
        <is>
          <t>https://www.ezhunaonline.com/alinthu-varum-maraburimai-sinnangal/</t>
        </is>
      </c>
    </row>
    <row r="386">
      <c r="A386" s="7" t="inlineStr">
        <is>
          <t>ALL-0385</t>
        </is>
      </c>
      <c r="B386" s="7" t="inlineStr">
        <is>
          <t>Magazines/Journals</t>
        </is>
      </c>
      <c r="C386" s="8" t="inlineStr">
        <is>
          <t>2021</t>
        </is>
      </c>
      <c r="D386" s="7" t="inlineStr">
        <is>
          <t>2021-01-29</t>
        </is>
      </c>
      <c r="E386" s="9" t="inlineStr">
        <is>
          <t>யாழ்ப்பாண நகருக்கு முந்திய தலைநகரங்கள்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https://www.ezhunaonline.com/yaalpana-nagarukku-mundhiya-thalainagarangal/</t>
        </is>
      </c>
    </row>
    <row r="387">
      <c r="A387" s="11" t="inlineStr">
        <is>
          <t>ALL-0386</t>
        </is>
      </c>
      <c r="B387" s="11" t="inlineStr">
        <is>
          <t>Magazines/Journals</t>
        </is>
      </c>
      <c r="C387" s="12" t="inlineStr">
        <is>
          <t>2012</t>
        </is>
      </c>
      <c r="D387" s="11" t="n"/>
      <c r="E387" s="13" t="inlineStr">
        <is>
          <t>The Avuranchchi Stones and Resting Stones (Sumaithankikkal) in the Cultural Life of Tamils</t>
        </is>
      </c>
      <c r="F387" s="13" t="inlineStr">
        <is>
          <t>S. Sajitharan</t>
        </is>
      </c>
      <c r="G387" s="13" t="inlineStr">
        <is>
          <t>Life Style of Jaffna, Express Newspapers (Ceylon)</t>
        </is>
      </c>
      <c r="H387" s="11" t="inlineStr">
        <is>
          <t>Book chapter</t>
        </is>
      </c>
      <c r="I387" s="11" t="inlineStr">
        <is>
          <t>Tamil</t>
        </is>
      </c>
      <c r="J387" s="13" t="n"/>
      <c r="K387" s="13" t="inlineStr">
        <is>
          <t>stones; material culture</t>
        </is>
      </c>
      <c r="L387" s="11" t="inlineStr">
        <is>
          <t>Yes</t>
        </is>
      </c>
      <c r="M387" s="13" t="n"/>
      <c r="N387" s="14" t="inlineStr">
        <is>
          <t>https://www.his.jfn.ac.lk/?p=791</t>
        </is>
      </c>
    </row>
    <row r="388">
      <c r="A388" s="7" t="inlineStr">
        <is>
          <t>ALL-0387</t>
        </is>
      </c>
      <c r="B388" s="7" t="inlineStr">
        <is>
          <t>Magazines/Journals</t>
        </is>
      </c>
      <c r="C388" s="8" t="inlineStr">
        <is>
          <t>2012</t>
        </is>
      </c>
      <c r="D388" s="7" t="n"/>
      <c r="E388" s="9" t="inlineStr">
        <is>
          <t>The Dutch Church of Chankanai: one of the most important archaeological sites in the Jaffna Peninsula</t>
        </is>
      </c>
      <c r="F388" s="9" t="inlineStr">
        <is>
          <t>S. Sajitharan</t>
        </is>
      </c>
      <c r="G388" s="9" t="inlineStr">
        <is>
          <t>Kalasurapi (Historical Society journal)</t>
        </is>
      </c>
      <c r="H388" s="7" t="inlineStr">
        <is>
          <t>Magazine article</t>
        </is>
      </c>
      <c r="I388" s="7" t="inlineStr">
        <is>
          <t>Tamil</t>
        </is>
      </c>
      <c r="J388" s="9" t="inlineStr">
        <is>
          <t>Archaeology / தொல்லியல்</t>
        </is>
      </c>
      <c r="K388" s="9" t="inlineStr">
        <is>
          <t>archaeology; heritage</t>
        </is>
      </c>
      <c r="L388" s="7" t="inlineStr">
        <is>
          <t>Yes</t>
        </is>
      </c>
      <c r="M388" s="9" t="n"/>
      <c r="N388" s="10" t="inlineStr">
        <is>
          <t>https://www.his.jfn.ac.lk/?p=791</t>
        </is>
      </c>
    </row>
    <row r="389">
      <c r="A389" s="11" t="inlineStr">
        <is>
          <t>ALL-0388</t>
        </is>
      </c>
      <c r="B389" s="11" t="inlineStr">
        <is>
          <t>Magazines/Journals</t>
        </is>
      </c>
      <c r="C389" s="12" t="inlineStr">
        <is>
          <t>2008</t>
        </is>
      </c>
      <c r="D389" s="11" t="n"/>
      <c r="E389" s="13" t="inlineStr">
        <is>
          <t>Amazing Discovery of Archaeological Artifact by Dept. of Archaeology, Tamil University, Thanjavur</t>
        </is>
      </c>
      <c r="F389" s="13" t="inlineStr">
        <is>
          <t>S. Sajitharan</t>
        </is>
      </c>
      <c r="G389" s="13" t="inlineStr">
        <is>
          <t>Thedal (Archaeological Study Circle, Dept. of History, University of Jaffna)</t>
        </is>
      </c>
      <c r="H389" s="11" t="inlineStr">
        <is>
          <t>Magazine article</t>
        </is>
      </c>
      <c r="I389" s="11" t="inlineStr">
        <is>
          <t>Tamil</t>
        </is>
      </c>
      <c r="J389" s="13" t="inlineStr">
        <is>
          <t>Archaeology / தொல்லியல்</t>
        </is>
      </c>
      <c r="K389" s="13" t="inlineStr">
        <is>
          <t>தொல்லியல்</t>
        </is>
      </c>
      <c r="L389" s="11" t="inlineStr">
        <is>
          <t>Yes</t>
        </is>
      </c>
      <c r="M389" s="13" t="n"/>
      <c r="N389" s="14" t="inlineStr">
        <is>
          <t>https://www.his.jfn.ac.lk/?p=791</t>
        </is>
      </c>
    </row>
    <row r="390">
      <c r="A390" s="7" t="inlineStr">
        <is>
          <t>ALL-0389</t>
        </is>
      </c>
      <c r="B390" s="7" t="inlineStr">
        <is>
          <t>Magazines/Journals</t>
        </is>
      </c>
      <c r="C390" s="8" t="inlineStr">
        <is>
          <t>2003</t>
        </is>
      </c>
      <c r="D390" s="7" t="inlineStr">
        <is>
          <t>2003-04-11</t>
        </is>
      </c>
      <c r="E390" s="9" t="inlineStr">
        <is>
          <t>A magnum opus on Tamil-Brahmi inscriptions</t>
        </is>
      </c>
      <c r="F390" s="9" t="inlineStr">
        <is>
          <t>R. Champakalakshmi</t>
        </is>
      </c>
      <c r="G390" s="9" t="inlineStr">
        <is>
          <t>Frontline</t>
        </is>
      </c>
      <c r="H390" s="7" t="inlineStr">
        <is>
          <t>Book review</t>
        </is>
      </c>
      <c r="I390" s="7" t="inlineStr">
        <is>
          <t>English</t>
        </is>
      </c>
      <c r="J390" s="9" t="inlineStr">
        <is>
          <t>Inscriptions / கல்வெட்டு; Brahmi / பிராமி</t>
        </is>
      </c>
      <c r="K390" s="9" t="inlineStr">
        <is>
          <t>Tamil Brahmi; Mahadevan; Sinhala Brahmi</t>
        </is>
      </c>
      <c r="L390" s="7" t="inlineStr">
        <is>
          <t>Yes</t>
        </is>
      </c>
      <c r="M390" s="9" t="n"/>
      <c r="N390" s="10" t="inlineStr">
        <is>
          <t>https://www.worldgenweb.org/lkawgw/tamil-brahmi.htm</t>
        </is>
      </c>
    </row>
    <row r="391">
      <c r="A391" s="11" t="inlineStr">
        <is>
          <t>ALL-0390</t>
        </is>
      </c>
      <c r="B391" s="11" t="inlineStr">
        <is>
          <t>Magazines/Journals</t>
        </is>
      </c>
      <c r="C391" s="12" t="n"/>
      <c r="D391" s="11" t="n"/>
      <c r="E391" s="13" t="inlineStr">
        <is>
          <t>இலங்கைத் தமிழ்க் கல்வெட்டுகளில் பிராமணரும் பிரமதேயமும்</t>
        </is>
      </c>
      <c r="F391" s="13" t="n"/>
      <c r="G391" s="13" t="inlineStr">
        <is>
          <t>Ezhuna (எழுநா)</t>
        </is>
      </c>
      <c r="H391" s="11" t="inlineStr">
        <is>
          <t>Online magazine article</t>
        </is>
      </c>
      <c r="I391" s="11" t="inlineStr">
        <is>
          <t>Tamil</t>
        </is>
      </c>
      <c r="J391" s="13" t="inlineStr">
        <is>
          <t>Inscriptions / கல்வெட்டு</t>
        </is>
      </c>
      <c r="K391" s="13" t="inlineStr">
        <is>
          <t>கல்வெட்டு; Brahmadeya</t>
        </is>
      </c>
      <c r="L391" s="11" t="inlineStr">
        <is>
          <t>Unknown</t>
        </is>
      </c>
      <c r="M391" s="13" t="n"/>
      <c r="N391" s="14" t="inlineStr">
        <is>
          <t>https://www.ezhunaonline.com/article/brahmin-and-brahmatheya-in-sri-lankan-tamil-inscriptions/</t>
        </is>
      </c>
    </row>
    <row r="392">
      <c r="A392" s="7" t="inlineStr">
        <is>
          <t>ALL-0391</t>
        </is>
      </c>
      <c r="B392" s="7" t="inlineStr">
        <is>
          <t>Magazines/Journals</t>
        </is>
      </c>
      <c r="C392" s="8" t="n"/>
      <c r="D392" s="7" t="n"/>
      <c r="E392" s="9" t="inlineStr">
        <is>
          <t>இலங்கைப் பிராமிக் கல்வெட்டுக்களில் சங்ககால வேள்</t>
        </is>
      </c>
      <c r="F392" s="9" t="inlineStr">
        <is>
          <t>N. K. S. Thiruchelvam</t>
        </is>
      </c>
      <c r="G392" s="9" t="inlineStr">
        <is>
          <t>Ezhuna (எழுநா)</t>
        </is>
      </c>
      <c r="H392" s="7" t="inlineStr">
        <is>
          <t>Online magazine article</t>
        </is>
      </c>
      <c r="I392" s="7" t="inlineStr">
        <is>
          <t>Tamil</t>
        </is>
      </c>
      <c r="J392" s="9" t="inlineStr">
        <is>
          <t>Inscriptions / கல்வெட்டு; Brahmi / பிராமி</t>
        </is>
      </c>
      <c r="K392" s="9" t="inlineStr">
        <is>
          <t>பிராமி; Sangam; Vel</t>
        </is>
      </c>
      <c r="L392" s="7" t="inlineStr">
        <is>
          <t>Unknown</t>
        </is>
      </c>
      <c r="M392" s="9" t="n"/>
      <c r="N392" s="10" t="inlineStr">
        <is>
          <t>https://www.ezhunaonline.com/sangam-age-in-sri-lankan-brahmic-inscriptions/</t>
        </is>
      </c>
    </row>
    <row r="393">
      <c r="A393" s="11" t="inlineStr">
        <is>
          <t>ALL-0392</t>
        </is>
      </c>
      <c r="B393" s="11" t="inlineStr">
        <is>
          <t>Magazines/Journals</t>
        </is>
      </c>
      <c r="C393" s="12" t="n"/>
      <c r="D393" s="11" t="n"/>
      <c r="E393" s="13" t="inlineStr">
        <is>
          <t>இலங்கையில் கண்ணகி வழிபாடு புகுந்த முறை</t>
        </is>
      </c>
      <c r="F393" s="13" t="n"/>
      <c r="G393" s="13" t="inlineStr">
        <is>
          <t>Ezhuna (எழுநா)</t>
        </is>
      </c>
      <c r="H393" s="11" t="inlineStr">
        <is>
          <t>Online magazine article</t>
        </is>
      </c>
      <c r="I393" s="11" t="inlineStr">
        <is>
          <t>Tamil</t>
        </is>
      </c>
      <c r="J393" s="13" t="n"/>
      <c r="K393" s="13" t="inlineStr">
        <is>
          <t>Kannagi worship</t>
        </is>
      </c>
      <c r="L393" s="11" t="inlineStr">
        <is>
          <t>Unknown</t>
        </is>
      </c>
      <c r="M393" s="13" t="n"/>
      <c r="N393" s="14" t="inlineStr">
        <is>
          <t>https://www.ezhunaonline.com/how-kannagi-worship-entered-sri-lanka/</t>
        </is>
      </c>
    </row>
    <row r="394">
      <c r="A394" s="7" t="inlineStr">
        <is>
          <t>ALL-0393</t>
        </is>
      </c>
      <c r="B394" s="7" t="inlineStr">
        <is>
          <t>Magazines/Journals</t>
        </is>
      </c>
      <c r="C394" s="8" t="n"/>
      <c r="D394" s="7" t="n"/>
      <c r="E394" s="9" t="inlineStr">
        <is>
          <t>செட்டிகுளம் : தமிழரின் பூர்வீக வரலாற்றை வெளிச்சத்திற்கு கொண்டுவரும் சில தொல்லியற் சான்றுகள்</t>
        </is>
      </c>
      <c r="F394" s="9" t="n"/>
      <c r="G394" s="9" t="inlineStr">
        <is>
          <t>Ezhuna (எழுநா)</t>
        </is>
      </c>
      <c r="H394" s="7" t="inlineStr">
        <is>
          <t>Online magazine article</t>
        </is>
      </c>
      <c r="I394" s="7" t="inlineStr">
        <is>
          <t>Tamil</t>
        </is>
      </c>
      <c r="J394" s="9" t="inlineStr">
        <is>
          <t>Archaeology / தொல்லியல்</t>
        </is>
      </c>
      <c r="K394" s="9" t="inlineStr">
        <is>
          <t>தொல்லியல்; Cheddikulam</t>
        </is>
      </c>
      <c r="L394" s="7" t="inlineStr">
        <is>
          <t>Unknown</t>
        </is>
      </c>
      <c r="M394" s="9" t="n"/>
      <c r="N394" s="10" t="inlineStr">
        <is>
          <t>https://www.ezhunaonline.com/the-archaeological-value-of-cheddikulam/</t>
        </is>
      </c>
    </row>
    <row r="395">
      <c r="A395" s="11" t="inlineStr">
        <is>
          <t>ALL-0394</t>
        </is>
      </c>
      <c r="B395" s="11" t="inlineStr">
        <is>
          <t>Magazines/Journals</t>
        </is>
      </c>
      <c r="C395" s="12" t="n"/>
      <c r="D395" s="11" t="n"/>
      <c r="E395" s="13" t="inlineStr">
        <is>
          <t>நாட்டார் சமயங்களும் இந்து மதமும்</t>
        </is>
      </c>
      <c r="F395" s="13" t="n"/>
      <c r="G395" s="13" t="inlineStr">
        <is>
          <t>Ezhuna (எழுநா)</t>
        </is>
      </c>
      <c r="H395" s="11" t="inlineStr">
        <is>
          <t>Online magazine article</t>
        </is>
      </c>
      <c r="I395" s="11" t="inlineStr">
        <is>
          <t>Tamil</t>
        </is>
      </c>
      <c r="J395" s="13" t="inlineStr">
        <is>
          <t>Hero stones / நடுகல்</t>
        </is>
      </c>
      <c r="K395" s="13" t="inlineStr">
        <is>
          <t>folk religion; நடுகல்</t>
        </is>
      </c>
      <c r="L395" s="11" t="inlineStr">
        <is>
          <t>Unknown</t>
        </is>
      </c>
      <c r="M395" s="13" t="n"/>
      <c r="N395" s="14" t="inlineStr">
        <is>
          <t>https://www.ezhunaonline.com/folk-religion-and-hinduism/</t>
        </is>
      </c>
    </row>
    <row r="396">
      <c r="A396" s="7" t="inlineStr">
        <is>
          <t>ALL-0395</t>
        </is>
      </c>
      <c r="B396" s="7" t="inlineStr">
        <is>
          <t>Magazines/Journals</t>
        </is>
      </c>
      <c r="C396" s="8" t="n"/>
      <c r="D396" s="7" t="n"/>
      <c r="E396" s="9" t="inlineStr">
        <is>
          <t>பண்டைத் தமிழர் வழிபாட்டு மரபில் கண்ணகி</t>
        </is>
      </c>
      <c r="F396" s="9" t="n"/>
      <c r="G396" s="9" t="inlineStr">
        <is>
          <t>Ezhuna (எழுநா)</t>
        </is>
      </c>
      <c r="H396" s="7" t="inlineStr">
        <is>
          <t>Online magazine article</t>
        </is>
      </c>
      <c r="I396" s="7" t="inlineStr">
        <is>
          <t>Tamil</t>
        </is>
      </c>
      <c r="J396" s="9" t="n"/>
      <c r="K396" s="9" t="inlineStr">
        <is>
          <t>Kannagi worship</t>
        </is>
      </c>
      <c r="L396" s="7" t="inlineStr">
        <is>
          <t>Unknown</t>
        </is>
      </c>
      <c r="M396" s="9" t="n"/>
      <c r="N396" s="10" t="inlineStr">
        <is>
          <t>https://www.ezhunaonline.com/kanaki-worship-in-ancient-tamil-culture/</t>
        </is>
      </c>
    </row>
    <row r="397">
      <c r="A397" s="11" t="inlineStr">
        <is>
          <t>ALL-0396</t>
        </is>
      </c>
      <c r="B397" s="11" t="inlineStr">
        <is>
          <t>Magazines/Journals</t>
        </is>
      </c>
      <c r="C397" s="12" t="n"/>
      <c r="D397" s="11" t="n"/>
      <c r="E397" s="13" t="inlineStr">
        <is>
          <t>பிராமி எழுத்து வடிவமும் தொடக்ககால எழுத்தறிவும்</t>
        </is>
      </c>
      <c r="F397" s="13" t="n"/>
      <c r="G397" s="13" t="inlineStr">
        <is>
          <t>Ezhuna (எழுநா)</t>
        </is>
      </c>
      <c r="H397" s="11" t="inlineStr">
        <is>
          <t>Online magazine article</t>
        </is>
      </c>
      <c r="I397" s="11" t="inlineStr">
        <is>
          <t>Tamil</t>
        </is>
      </c>
      <c r="J397" s="13" t="inlineStr">
        <is>
          <t>Brahmi / பிராமி</t>
        </is>
      </c>
      <c r="K397" s="13" t="inlineStr">
        <is>
          <t>பிராமி; literacy</t>
        </is>
      </c>
      <c r="L397" s="11" t="inlineStr">
        <is>
          <t>Unknown</t>
        </is>
      </c>
      <c r="M397" s="13" t="n"/>
      <c r="N397" s="14" t="inlineStr">
        <is>
          <t>https://www.ezhunaonline.com/article/brahmi-script-and-early-literacy/</t>
        </is>
      </c>
    </row>
    <row r="398">
      <c r="A398" s="7" t="inlineStr">
        <is>
          <t>ALL-0397</t>
        </is>
      </c>
      <c r="B398" s="7" t="inlineStr">
        <is>
          <t>Magazines/Journals</t>
        </is>
      </c>
      <c r="C398" s="8" t="n"/>
      <c r="D398" s="7" t="n"/>
      <c r="E398" s="9" t="inlineStr">
        <is>
          <t>பெருங்கற்பண்பாட்டுக் கால இலங்கையில் தமிழரும் பௌத்தமும்</t>
        </is>
      </c>
      <c r="F398" s="9" t="n"/>
      <c r="G398" s="9" t="inlineStr">
        <is>
          <t>Ezhuna (எழுநா)</t>
        </is>
      </c>
      <c r="H398" s="7" t="inlineStr">
        <is>
          <t>Online magazine article</t>
        </is>
      </c>
      <c r="I398" s="7" t="inlineStr">
        <is>
          <t>Tamil</t>
        </is>
      </c>
      <c r="J398" s="9" t="inlineStr">
        <is>
          <t>Archaeology / தொல்லியல்</t>
        </is>
      </c>
      <c r="K398" s="9" t="inlineStr">
        <is>
          <t>megalithic; Buddhism; Tamils</t>
        </is>
      </c>
      <c r="L398" s="7" t="inlineStr">
        <is>
          <t>Unknown</t>
        </is>
      </c>
      <c r="M398" s="9" t="n"/>
      <c r="N398" s="10" t="inlineStr">
        <is>
          <t>https://www.ezhunaonline.com/compilation/buddhism-and-tamils-during-megalith-of-srilanka/</t>
        </is>
      </c>
    </row>
    <row r="399">
      <c r="A399" s="11" t="inlineStr">
        <is>
          <t>ALL-0398</t>
        </is>
      </c>
      <c r="B399" s="11" t="inlineStr">
        <is>
          <t>Magazines/Journals</t>
        </is>
      </c>
      <c r="C399" s="12" t="n"/>
      <c r="D399" s="11" t="n"/>
      <c r="E399" s="13" t="inlineStr">
        <is>
          <t>மீளுருவாக்கப்பட்ட ஆரியகுளமும் ஆரியச்சக்கரவர்த்திகளும்</t>
        </is>
      </c>
      <c r="F399" s="13" t="n"/>
      <c r="G399" s="13" t="inlineStr">
        <is>
          <t>Ezhuna (எழுநா)</t>
        </is>
      </c>
      <c r="H399" s="11" t="inlineStr">
        <is>
          <t>Online magazine article</t>
        </is>
      </c>
      <c r="I399" s="11" t="inlineStr">
        <is>
          <t>Tamil</t>
        </is>
      </c>
      <c r="J399" s="13" t="n"/>
      <c r="K399" s="13" t="inlineStr">
        <is>
          <t>history; Jaffna kingdom</t>
        </is>
      </c>
      <c r="L399" s="11" t="inlineStr">
        <is>
          <t>Unknown</t>
        </is>
      </c>
      <c r="M399" s="13" t="n"/>
      <c r="N399" s="14" t="inlineStr">
        <is>
          <t>https://www.ezhunaonline.com/history-of-ariya-kulam-jaffna/</t>
        </is>
      </c>
    </row>
    <row r="400">
      <c r="A400" s="7" t="inlineStr">
        <is>
          <t>ALL-0399</t>
        </is>
      </c>
      <c r="B400" s="7" t="inlineStr">
        <is>
          <t>Magazines/Journals</t>
        </is>
      </c>
      <c r="C400" s="8" t="n"/>
      <c r="D400" s="7" t="n"/>
      <c r="E400" s="9" t="inlineStr">
        <is>
          <t>யாழ்ப்பாணஅரசு தோன்ற முன்னர் வன்னிப் பெருநிலப்பரப்பில் தமிழ் இராசதானி இருந்ததை உறுதிப்படுத்தும் குருந்தன்குள ஆலய அழிபாடுகள்</t>
        </is>
      </c>
      <c r="F400" s="9" t="n"/>
      <c r="G400" s="9" t="inlineStr">
        <is>
          <t>Ezhuna (எழுநா)</t>
        </is>
      </c>
      <c r="H400" s="7" t="inlineStr">
        <is>
          <t>Online magazine article</t>
        </is>
      </c>
      <c r="I400" s="7" t="inlineStr">
        <is>
          <t>Tamil</t>
        </is>
      </c>
      <c r="J400" s="9" t="inlineStr">
        <is>
          <t>Archaeology / தொல்லியல்</t>
        </is>
      </c>
      <c r="K400" s="9" t="inlineStr">
        <is>
          <t>தொல்லியல்; Kurundankulam; Vanni</t>
        </is>
      </c>
      <c r="L400" s="7" t="inlineStr">
        <is>
          <t>Unknown</t>
        </is>
      </c>
      <c r="M400" s="9" t="n"/>
      <c r="N400" s="10" t="inlineStr">
        <is>
          <t>https://www.ezhunaonline.com/tamil-rasathani-in-vanni-kurundankula-temple/</t>
        </is>
      </c>
    </row>
    <row r="401">
      <c r="A401" s="11" t="inlineStr">
        <is>
          <t>ALL-0400</t>
        </is>
      </c>
      <c r="B401" s="11" t="inlineStr">
        <is>
          <t>Magazines/Journals</t>
        </is>
      </c>
      <c r="C401" s="12" t="n"/>
      <c r="D401" s="11" t="n"/>
      <c r="E401" s="13" t="inlineStr">
        <is>
          <t>வேலணை, சாட்டியில் பெருங்கற்காலப் பண்பாடு</t>
        </is>
      </c>
      <c r="F401" s="13" t="n"/>
      <c r="G401" s="13" t="inlineStr">
        <is>
          <t>Ezhuna (எழுநா)</t>
        </is>
      </c>
      <c r="H401" s="11" t="inlineStr">
        <is>
          <t>Online magazine article</t>
        </is>
      </c>
      <c r="I401" s="11" t="inlineStr">
        <is>
          <t>Tamil</t>
        </is>
      </c>
      <c r="J401" s="13" t="inlineStr">
        <is>
          <t>Archaeology / தொல்லியல்</t>
        </is>
      </c>
      <c r="K401" s="13" t="inlineStr">
        <is>
          <t>தொல்லியல்; megalithic; Chatti</t>
        </is>
      </c>
      <c r="L401" s="11" t="inlineStr">
        <is>
          <t>Unknown</t>
        </is>
      </c>
      <c r="M401" s="13" t="n"/>
      <c r="N401" s="14" t="inlineStr">
        <is>
          <t>https://www.ezhunaonline.com/velana-palaeolithic-culture-at-chatti/</t>
        </is>
      </c>
    </row>
    <row r="402">
      <c r="A402" s="7" t="inlineStr">
        <is>
          <t>ALL-0401</t>
        </is>
      </c>
      <c r="B402" s="7" t="inlineStr">
        <is>
          <t>Web Articles</t>
        </is>
      </c>
      <c r="C402" s="8" t="inlineStr">
        <is>
          <t>2026</t>
        </is>
      </c>
      <c r="D402" s="7" t="inlineStr">
        <is>
          <t>2026-07-27</t>
        </is>
      </c>
      <c r="E402" s="9" t="inlineStr">
        <is>
          <t>யாழ்ப்பாண இராச்சியத்தின் வரலாறு</t>
        </is>
      </c>
      <c r="F402" s="9" t="inlineStr">
        <is>
          <t>Wikipedia contributors</t>
        </is>
      </c>
      <c r="G402" s="9" t="inlineStr">
        <is>
          <t>Wikipedia (ta)</t>
        </is>
      </c>
      <c r="H402" s="7" t="inlineStr">
        <is>
          <t>Encyclopedia article</t>
        </is>
      </c>
      <c r="I402" s="7" t="inlineStr">
        <is>
          <t>Tamil</t>
        </is>
      </c>
      <c r="J402" s="9" t="n"/>
      <c r="K402" s="9" t="n"/>
      <c r="L402" s="7" t="inlineStr">
        <is>
          <t>Yes</t>
        </is>
      </c>
      <c r="M402" s="9" t="inlineStr">
        <is>
          <t>Date = page creation. Auto-collected 2026-10-14 (wikipedia); review.</t>
        </is>
      </c>
      <c r="N402" s="10" t="inlineStr">
        <is>
          <t>https://ta.wikipedia.org/wiki/%E0%AE%AF%E0%AE%BE%E0%AE%B4%E0%AF%8D%E0%AE%AA%E0%AF%8D%E0%AE%AA%E0%AE%BE%E0%AE%A3_%E0%AE%87%E0%AE%B0%E0%AE%BE%E0%AE%9A%E0%AF%8D%E0%AE%9A%E0%AE%BF%E0%AE%AF%E0%AE%A4%E0%AF%8D%E0%AE%A4%E0%AE%BF%E0%AE%A9%E0%AF%8D_%E0%AE%B5%E0%AE%B0%E0%AE%B2%E0%AE%BE%E0%AE%B1%E0%AF%81</t>
        </is>
      </c>
    </row>
    <row r="403">
      <c r="A403" s="11" t="inlineStr">
        <is>
          <t>ALL-0402</t>
        </is>
      </c>
      <c r="B403" s="11" t="inlineStr">
        <is>
          <t>Web Articles</t>
        </is>
      </c>
      <c r="C403" s="12" t="inlineStr">
        <is>
          <t>2026</t>
        </is>
      </c>
      <c r="D403" s="11" t="inlineStr">
        <is>
          <t>2026-08-07</t>
        </is>
      </c>
      <c r="E403" s="13" t="inlineStr">
        <is>
          <t>இலங்கையில் உள்ள தமிழ்க் கல்வெட்டுகள்</t>
        </is>
      </c>
      <c r="F403" s="13" t="inlineStr">
        <is>
          <t>Wikipedia contributors</t>
        </is>
      </c>
      <c r="G403" s="13" t="inlineStr">
        <is>
          <t>Wikipedia (ta)</t>
        </is>
      </c>
      <c r="H403" s="11" t="inlineStr">
        <is>
          <t>Encyclopedia article</t>
        </is>
      </c>
      <c r="I403" s="11" t="inlineStr">
        <is>
          <t>Tamil</t>
        </is>
      </c>
      <c r="J403" s="13" t="inlineStr">
        <is>
          <t>Inscriptions / கல்வெட்டு</t>
        </is>
      </c>
      <c r="K403" s="13" t="inlineStr">
        <is>
          <t>கல்வெட்டு; கல்வெட்டுகள்</t>
        </is>
      </c>
      <c r="L403" s="11" t="inlineStr">
        <is>
          <t>Yes</t>
        </is>
      </c>
      <c r="M403" s="13" t="inlineStr">
        <is>
          <t>Date = page creation. Auto-collected 2026-10-14 (wikipedia); review.</t>
        </is>
      </c>
      <c r="N403" s="14" t="inlineStr">
        <is>
          <t>https://ta.wikipedia.org/wiki/%E0%AE%87%E0%AE%B2%E0%AE%99%E0%AF%8D%E0%AE%95%E0%AF%88%E0%AE%AF%E0%AE%BF%E0%AE%B2%E0%AF%8D_%E0%AE%89%E0%AE%B3%E0%AF%8D%E0%AE%B3_%E0%AE%A4%E0%AE%AE%E0%AE%BF%E0%AE%B4%E0%AF%8D%E0%AE%95%E0%AF%8D_%E0%AE%95%E0%AE%B2%E0%AF%8D%E0%AE%B5%E0%AF%86%E0%AE%9F%E0%AF%8D%E0%AE%9F%E0%AF%81%E0%AE%95%E0%AE%B3%E0%AF%8D</t>
        </is>
      </c>
    </row>
    <row r="404">
      <c r="A404" s="7" t="inlineStr">
        <is>
          <t>ALL-0403</t>
        </is>
      </c>
      <c r="B404" s="7" t="inlineStr">
        <is>
          <t>Web Articles</t>
        </is>
      </c>
      <c r="C404" s="8" t="inlineStr">
        <is>
          <t>2026</t>
        </is>
      </c>
      <c r="D404" s="7" t="inlineStr">
        <is>
          <t>2026-10-14</t>
        </is>
      </c>
      <c r="E404" s="9" t="inlineStr">
        <is>
          <t>Jaffna - Wikipedia</t>
        </is>
      </c>
      <c r="F404" s="9" t="n"/>
      <c r="G404" s="9" t="inlineStr">
        <is>
          <t>en.wikipedia.org</t>
        </is>
      </c>
      <c r="H404" s="7" t="inlineStr">
        <is>
          <t>Web page</t>
        </is>
      </c>
      <c r="I404" s="7" t="inlineStr">
        <is>
          <t>English</t>
        </is>
      </c>
      <c r="J404" s="9" t="n"/>
      <c r="K404" s="9" t="n"/>
      <c r="L404" s="7" t="inlineStr">
        <is>
          <t>Yes</t>
        </is>
      </c>
      <c r="M404" s="9" t="inlineStr">
        <is>
          <t>Web search: Jaffna archaeology. Auto-collected 2026-10-15 (web); review.</t>
        </is>
      </c>
      <c r="N404" s="10" t="inlineStr">
        <is>
          <t>https://en.wikipedia.org/wiki/Jaffna</t>
        </is>
      </c>
    </row>
    <row r="405">
      <c r="A405" s="11" t="inlineStr">
        <is>
          <t>ALL-0404</t>
        </is>
      </c>
      <c r="B405" s="11" t="inlineStr">
        <is>
          <t>Web Articles</t>
        </is>
      </c>
      <c r="C405" s="12" t="inlineStr">
        <is>
          <t>2025</t>
        </is>
      </c>
      <c r="D405" s="11" t="n"/>
      <c r="E405" s="13" t="inlineStr">
        <is>
          <t>Carved for Glory - Ceylon Today</t>
        </is>
      </c>
      <c r="F405" s="13" t="n"/>
      <c r="G405" s="13" t="inlineStr">
        <is>
          <t>ceylontoday.lk</t>
        </is>
      </c>
      <c r="H405" s="11" t="inlineStr">
        <is>
          <t>Web page</t>
        </is>
      </c>
      <c r="I405" s="11" t="inlineStr">
        <is>
          <t>English</t>
        </is>
      </c>
      <c r="J405" s="13" t="n"/>
      <c r="K405" s="13" t="n"/>
      <c r="L405" s="11" t="inlineStr">
        <is>
          <t>Yes</t>
        </is>
      </c>
      <c r="M405" s="13" t="inlineStr">
        <is>
          <t>Web search: Sri Lanka hero stone. Auto-collected 2026-10-18 (ddg); review.</t>
        </is>
      </c>
      <c r="N405" s="14" t="inlineStr">
        <is>
          <t>https://ceylontoday.lk/2025/10/04/carved-for-glory/</t>
        </is>
      </c>
    </row>
    <row r="406">
      <c r="A406" s="7" t="inlineStr">
        <is>
          <t>ALL-0405</t>
        </is>
      </c>
      <c r="B406" s="7" t="inlineStr">
        <is>
          <t>Web Articles</t>
        </is>
      </c>
      <c r="C406" s="8" t="inlineStr">
        <is>
          <t>2025</t>
        </is>
      </c>
      <c r="D406" s="7" t="n"/>
      <c r="E406" s="9" t="inlineStr">
        <is>
          <t>Hero Stones in Sri Lanka's Past | Thuppahi's Blog</t>
        </is>
      </c>
      <c r="F406" s="9" t="n"/>
      <c r="G406" s="9" t="inlineStr">
        <is>
          <t>thuppahis.com</t>
        </is>
      </c>
      <c r="H406" s="7" t="inlineStr">
        <is>
          <t>Web page</t>
        </is>
      </c>
      <c r="I406" s="7" t="inlineStr">
        <is>
          <t>English</t>
        </is>
      </c>
      <c r="J406" s="9" t="inlineStr">
        <is>
          <t>Hero stones / நடுகல்</t>
        </is>
      </c>
      <c r="K406" s="9" t="inlineStr">
        <is>
          <t>hero stone</t>
        </is>
      </c>
      <c r="L406" s="7" t="inlineStr">
        <is>
          <t>Yes</t>
        </is>
      </c>
      <c r="M406" s="9" t="inlineStr">
        <is>
          <t>Web search: Sri Lanka hero stone. Auto-collected 2026-10-15 (ddg); review.</t>
        </is>
      </c>
      <c r="N406" s="10" t="inlineStr">
        <is>
          <t>https://thuppahis.com/2025/02/16/hero-stones-in-sri-lankas-past/</t>
        </is>
      </c>
    </row>
    <row r="407">
      <c r="A407" s="11" t="inlineStr">
        <is>
          <t>ALL-0406</t>
        </is>
      </c>
      <c r="B407" s="11" t="inlineStr">
        <is>
          <t>Web Articles</t>
        </is>
      </c>
      <c r="C407" s="12" t="inlineStr">
        <is>
          <t>2025</t>
        </is>
      </c>
      <c r="D407" s="11" t="n"/>
      <c r="E407" s="13" t="inlineStr">
        <is>
          <t>PDF Pre historic Life in the Jaffna Peninsula - A Preliminary ...</t>
        </is>
      </c>
      <c r="F407" s="13" t="n"/>
      <c r="G407" s="13" t="inlineStr">
        <is>
          <t>fhss.niibs.lk</t>
        </is>
      </c>
      <c r="H407" s="11" t="inlineStr">
        <is>
          <t>Web page</t>
        </is>
      </c>
      <c r="I407" s="11" t="inlineStr">
        <is>
          <t>English</t>
        </is>
      </c>
      <c r="J407" s="13" t="n"/>
      <c r="K407" s="13" t="n"/>
      <c r="L407" s="11" t="inlineStr">
        <is>
          <t>Yes</t>
        </is>
      </c>
      <c r="M407" s="13" t="inlineStr">
        <is>
          <t>Web search: Jaffna archaeology. Auto-collected 2026-10-15 (ddg); review.</t>
        </is>
      </c>
      <c r="N407" s="14" t="inlineStr">
        <is>
          <t>https://fhss.niibs.lk/wp-content/uploads/2025/02/Prehistoric-Life-in-the-Jaffna-Peninsula-A-Preliminary-Investigations-for-the-study-of-Stone-Age-culture-base-on-Archaeological-Evidences.pdf</t>
        </is>
      </c>
    </row>
    <row r="408">
      <c r="A408" s="7" t="inlineStr">
        <is>
          <t>ALL-0407</t>
        </is>
      </c>
      <c r="B408" s="7" t="inlineStr">
        <is>
          <t>Web Articles</t>
        </is>
      </c>
      <c r="C408" s="8" t="inlineStr">
        <is>
          <t>2025</t>
        </is>
      </c>
      <c r="D408" s="7" t="n"/>
      <c r="E408" s="9" t="inlineStr">
        <is>
          <t>Sri Lankan Rock Art: Ancient Stories Carved in Stone</t>
        </is>
      </c>
      <c r="F408" s="9" t="n"/>
      <c r="G408" s="9" t="inlineStr">
        <is>
          <t>ceylonvibesonline.blogspot.com</t>
        </is>
      </c>
      <c r="H408" s="7" t="inlineStr">
        <is>
          <t>Web page</t>
        </is>
      </c>
      <c r="I408" s="7" t="inlineStr">
        <is>
          <t>English</t>
        </is>
      </c>
      <c r="J408" s="9" t="inlineStr">
        <is>
          <t>Rock art / பாறை ஓவியம்</t>
        </is>
      </c>
      <c r="K408" s="9" t="inlineStr">
        <is>
          <t>rock art</t>
        </is>
      </c>
      <c r="L408" s="7" t="inlineStr">
        <is>
          <t>Yes</t>
        </is>
      </c>
      <c r="M408" s="9" t="inlineStr">
        <is>
          <t>Web search: Sri Lanka rock art cave painting. Auto-collected 2026-10-15 (ddg); review.</t>
        </is>
      </c>
      <c r="N408" s="10" t="inlineStr">
        <is>
          <t>https://ceylonvibesonline.blogspot.com/2025/12/sri-lankan-rock-art-ancient-stories.html</t>
        </is>
      </c>
    </row>
    <row r="409">
      <c r="A409" s="11" t="inlineStr">
        <is>
          <t>ALL-0408</t>
        </is>
      </c>
      <c r="B409" s="11" t="inlineStr">
        <is>
          <t>Web Articles</t>
        </is>
      </c>
      <c r="C409" s="12" t="inlineStr">
        <is>
          <t>2025</t>
        </is>
      </c>
      <c r="D409" s="11" t="n"/>
      <c r="E409" s="13" t="inlineStr">
        <is>
          <t>யாழ்ப்பாணம். கோட்டையை சுற்றி எல்லைக்கல் நாட்டுப் பணியில் தொல்லியல் ...</t>
        </is>
      </c>
      <c r="F409" s="13" t="n"/>
      <c r="G409" s="13" t="inlineStr">
        <is>
          <t>uthayannews.ca</t>
        </is>
      </c>
      <c r="H409" s="11" t="inlineStr">
        <is>
          <t>Web page</t>
        </is>
      </c>
      <c r="I409" s="11" t="inlineStr">
        <is>
          <t>Tamil</t>
        </is>
      </c>
      <c r="J409" s="13" t="inlineStr">
        <is>
          <t>Archaeology / தொல்லியல்</t>
        </is>
      </c>
      <c r="K409" s="13" t="inlineStr">
        <is>
          <t>தொல்லியல்</t>
        </is>
      </c>
      <c r="L409" s="11" t="inlineStr">
        <is>
          <t>Yes</t>
        </is>
      </c>
      <c r="M409" s="13" t="inlineStr">
        <is>
          <t>Web search: யாழ்ப்பாணம் தொல்லியல். Auto-collected 2026-10-14 (ddg); review.</t>
        </is>
      </c>
      <c r="N409" s="14" t="inlineStr">
        <is>
          <t>https://uthayannews.ca/2025/12/19/%E0%AE%AF%E0%AE%BE%E0%AE%B4%E0%AF%8D%E0%AE%AA%E0%AF%8D%E0%AE%AA%E0%AE%BE%E0%AE%A3%E0%AE%AE%E0%AF%8D-%E0%AE%95%E0%AF%8B%E0%AE%9F%E0%AF%8D%E0%AE%9F%E0%AF%88%E0%AE%AF%E0%AF%88-%E0%AE%9A%E0%AF%81/</t>
        </is>
      </c>
    </row>
    <row r="410">
      <c r="A410" s="7" t="inlineStr">
        <is>
          <t>ALL-0409</t>
        </is>
      </c>
      <c r="B410" s="7" t="inlineStr">
        <is>
          <t>Web Articles</t>
        </is>
      </c>
      <c r="C410" s="8" t="inlineStr">
        <is>
          <t>2024</t>
        </is>
      </c>
      <c r="D410" s="7" t="n"/>
      <c r="E410" s="9" t="inlineStr">
        <is>
          <t>PDF Ancient crucible-steel production of Sri Lanka: Special reference to ...</t>
        </is>
      </c>
      <c r="F410" s="9" t="n"/>
      <c r="G410" s="9" t="inlineStr">
        <is>
          <t>fssh.rjt.ac.lk</t>
        </is>
      </c>
      <c r="H410" s="7" t="inlineStr">
        <is>
          <t>Web page</t>
        </is>
      </c>
      <c r="I410" s="7" t="inlineStr">
        <is>
          <t>English</t>
        </is>
      </c>
      <c r="J410" s="9" t="n"/>
      <c r="K410" s="9" t="n"/>
      <c r="L410" s="7" t="inlineStr">
        <is>
          <t>Yes</t>
        </is>
      </c>
      <c r="M410" s="9" t="inlineStr">
        <is>
          <t>Web search: Sri Lanka Tamil Brahmi. Auto-collected 2026-10-15 (ddg); review.</t>
        </is>
      </c>
      <c r="N410" s="10" t="inlineStr">
        <is>
          <t>https://fssh.rjt.ac.lk/wp-content/uploads/2024/08/JAHS-10II-122-128-pp.pdf</t>
        </is>
      </c>
    </row>
    <row r="411">
      <c r="A411" s="11" t="inlineStr">
        <is>
          <t>ALL-0410</t>
        </is>
      </c>
      <c r="B411" s="11" t="inlineStr">
        <is>
          <t>Web Articles</t>
        </is>
      </c>
      <c r="C411" s="12" t="inlineStr">
        <is>
          <t>2022</t>
        </is>
      </c>
      <c r="D411" s="11" t="n"/>
      <c r="E411" s="13" t="inlineStr">
        <is>
          <t>PDF A Tamil Inscription - sethuramanepigraphist.com</t>
        </is>
      </c>
      <c r="F411" s="13" t="n"/>
      <c r="G411" s="13" t="inlineStr">
        <is>
          <t>sethuramanepigraphist.com</t>
        </is>
      </c>
      <c r="H411" s="11" t="inlineStr">
        <is>
          <t>Web page</t>
        </is>
      </c>
      <c r="I411" s="11" t="inlineStr">
        <is>
          <t>English</t>
        </is>
      </c>
      <c r="J411" s="13" t="inlineStr">
        <is>
          <t>Inscriptions / கல்வெட்டு</t>
        </is>
      </c>
      <c r="K411" s="13" t="inlineStr">
        <is>
          <t>inscription</t>
        </is>
      </c>
      <c r="L411" s="11" t="inlineStr">
        <is>
          <t>Yes</t>
        </is>
      </c>
      <c r="M411" s="13" t="inlineStr">
        <is>
          <t>Web search: Trincomalee Tamil inscription. Auto-collected 2026-10-15 (ddg); review.</t>
        </is>
      </c>
      <c r="N411" s="14" t="inlineStr">
        <is>
          <t>https://sethuramanepigraphist.com/wp-content/uploads/2022/07/A-Tamil-Inscription-fromFrederick-Trincomalee-Sri-Lanka-by-N.-Sethuraman-12th-Annual-Congress-of-The-Epigraphical-society-of-india-10-12-June-1994.pdf</t>
        </is>
      </c>
    </row>
    <row r="412">
      <c r="A412" s="7" t="inlineStr">
        <is>
          <t>ALL-0411</t>
        </is>
      </c>
      <c r="B412" s="7" t="inlineStr">
        <is>
          <t>Web Articles</t>
        </is>
      </c>
      <c r="C412" s="8" t="inlineStr">
        <is>
          <t>2021</t>
        </is>
      </c>
      <c r="D412" s="7" t="n"/>
      <c r="E412" s="9" t="inlineStr">
        <is>
          <t>PDF COINS OF ANCIENT JAFFNA - telo.org</t>
        </is>
      </c>
      <c r="F412" s="9" t="n"/>
      <c r="G412" s="9" t="inlineStr">
        <is>
          <t>telo.org</t>
        </is>
      </c>
      <c r="H412" s="7" t="inlineStr">
        <is>
          <t>Web page</t>
        </is>
      </c>
      <c r="I412" s="7" t="inlineStr">
        <is>
          <t>English</t>
        </is>
      </c>
      <c r="J412" s="9" t="inlineStr">
        <is>
          <t>Coins / நாணயம்</t>
        </is>
      </c>
      <c r="K412" s="9" t="n"/>
      <c r="L412" s="7" t="inlineStr">
        <is>
          <t>Yes</t>
        </is>
      </c>
      <c r="M412" s="9" t="inlineStr">
        <is>
          <t>Web search: Tamil coins Sri Lanka archaeology. Auto-collected 2026-10-19 (ddg); review.</t>
        </is>
      </c>
      <c r="N412" s="10" t="inlineStr">
        <is>
          <t>https://telo.org/wp-content/uploads/2021/01/COINS-OF-ANCIENT-JAFFNA-REVISED-PDF.pdf</t>
        </is>
      </c>
    </row>
    <row r="413">
      <c r="A413" s="11" t="inlineStr">
        <is>
          <t>ALL-0412</t>
        </is>
      </c>
      <c r="B413" s="11" t="inlineStr">
        <is>
          <t>Web Articles</t>
        </is>
      </c>
      <c r="C413" s="12" t="inlineStr">
        <is>
          <t>2021</t>
        </is>
      </c>
      <c r="D413" s="11" t="n"/>
      <c r="E413" s="13" t="inlineStr">
        <is>
          <t>Rock Paintings and Engraving Sites in Sri Lanka - Lankapradeepa</t>
        </is>
      </c>
      <c r="F413" s="13" t="n"/>
      <c r="G413" s="13" t="inlineStr">
        <is>
          <t>lankapradeepa.com</t>
        </is>
      </c>
      <c r="H413" s="11" t="inlineStr">
        <is>
          <t>Web page</t>
        </is>
      </c>
      <c r="I413" s="11" t="inlineStr">
        <is>
          <t>English</t>
        </is>
      </c>
      <c r="J413" s="13" t="inlineStr">
        <is>
          <t>Rock art / பாறை ஓவியம்</t>
        </is>
      </c>
      <c r="K413" s="13" t="inlineStr">
        <is>
          <t>rock painting</t>
        </is>
      </c>
      <c r="L413" s="11" t="inlineStr">
        <is>
          <t>Yes</t>
        </is>
      </c>
      <c r="M413" s="13" t="inlineStr">
        <is>
          <t>Web search: Sri Lanka rock art cave painting. Auto-collected 2026-10-15 (ddg); review.</t>
        </is>
      </c>
      <c r="N413" s="14" t="inlineStr">
        <is>
          <t>https://www.lankapradeepa.com/2021/06/rock-paintings-and-engraving-sites-in.html</t>
        </is>
      </c>
    </row>
    <row r="414">
      <c r="A414" s="7" t="inlineStr">
        <is>
          <t>ALL-0413</t>
        </is>
      </c>
      <c r="B414" s="7" t="inlineStr">
        <is>
          <t>Web Articles</t>
        </is>
      </c>
      <c r="C414" s="8" t="inlineStr">
        <is>
          <t>2021</t>
        </is>
      </c>
      <c r="D414" s="7" t="n"/>
      <c r="E414" s="9" t="inlineStr">
        <is>
          <t>Sankiliyatital Archaeological Site in Jaffna</t>
        </is>
      </c>
      <c r="F414" s="9" t="inlineStr">
        <is>
          <t>Nishan Weerasooriya</t>
        </is>
      </c>
      <c r="G414" s="9" t="inlineStr">
        <is>
          <t>AmazingLanka.com</t>
        </is>
      </c>
      <c r="H414" s="7" t="inlineStr">
        <is>
          <t>Web article</t>
        </is>
      </c>
      <c r="I414" s="7" t="inlineStr">
        <is>
          <t>English</t>
        </is>
      </c>
      <c r="J414" s="9" t="inlineStr">
        <is>
          <t>Archaeology / தொல்லியல்</t>
        </is>
      </c>
      <c r="K414" s="9" t="inlineStr">
        <is>
          <t>தொல்லியல்; Jaffna</t>
        </is>
      </c>
      <c r="L414" s="7" t="inlineStr">
        <is>
          <t>Yes</t>
        </is>
      </c>
      <c r="M414" s="9" t="n"/>
      <c r="N414" s="10" t="inlineStr">
        <is>
          <t>https://amazinglanka.com/wp/sankiliyatital/</t>
        </is>
      </c>
    </row>
    <row r="415">
      <c r="A415" s="11" t="inlineStr">
        <is>
          <t>ALL-0414</t>
        </is>
      </c>
      <c r="B415" s="11" t="inlineStr">
        <is>
          <t>Web Articles</t>
        </is>
      </c>
      <c r="C415" s="12" t="inlineStr">
        <is>
          <t>2021</t>
        </is>
      </c>
      <c r="D415" s="11" t="inlineStr">
        <is>
          <t>2021-11-13</t>
        </is>
      </c>
      <c r="E415" s="13" t="inlineStr">
        <is>
          <t>தேவனாம்பிரியா</t>
        </is>
      </c>
      <c r="F415" s="13" t="inlineStr">
        <is>
          <t>Wikipedia contributors</t>
        </is>
      </c>
      <c r="G415" s="13" t="inlineStr">
        <is>
          <t>Wikipedia (ta)</t>
        </is>
      </c>
      <c r="H415" s="11" t="inlineStr">
        <is>
          <t>Encyclopedia article</t>
        </is>
      </c>
      <c r="I415" s="11" t="inlineStr">
        <is>
          <t>Tamil</t>
        </is>
      </c>
      <c r="J415" s="13" t="n"/>
      <c r="K415" s="13" t="n"/>
      <c r="L415" s="11" t="inlineStr">
        <is>
          <t>Yes</t>
        </is>
      </c>
      <c r="M415" s="13" t="inlineStr">
        <is>
          <t>Date = page creation. Auto-collected 2026-10-14 (wikipedia); review.</t>
        </is>
      </c>
      <c r="N415" s="14" t="inlineStr">
        <is>
          <t>https://ta.wikipedia.org/wiki/%E0%AE%A4%E0%AF%87%E0%AE%B5%E0%AE%A9%E0%AE%BE%E0%AE%AE%E0%AF%8D%E0%AE%AA%E0%AE%BF%E0%AE%B0%E0%AE%BF%E0%AE%AF%E0%AE%BE</t>
        </is>
      </c>
    </row>
    <row r="416">
      <c r="A416" s="7" t="inlineStr">
        <is>
          <t>ALL-0415</t>
        </is>
      </c>
      <c r="B416" s="7" t="inlineStr">
        <is>
          <t>Web Articles</t>
        </is>
      </c>
      <c r="C416" s="8" t="inlineStr">
        <is>
          <t>2021</t>
        </is>
      </c>
      <c r="D416" s="7" t="inlineStr">
        <is>
          <t>2021-12-01</t>
        </is>
      </c>
      <c r="E416" s="9" t="inlineStr">
        <is>
          <t>கோமரங்கடவலை கல்வெட்டு</t>
        </is>
      </c>
      <c r="F416" s="9" t="inlineStr">
        <is>
          <t>Wikipedia contributors</t>
        </is>
      </c>
      <c r="G416" s="9" t="inlineStr">
        <is>
          <t>Wikipedia (ta)</t>
        </is>
      </c>
      <c r="H416" s="7" t="inlineStr">
        <is>
          <t>Encyclopedia article</t>
        </is>
      </c>
      <c r="I416" s="7" t="inlineStr">
        <is>
          <t>Tamil</t>
        </is>
      </c>
      <c r="J416" s="9" t="inlineStr">
        <is>
          <t>Inscriptions / கல்வெட்டு</t>
        </is>
      </c>
      <c r="K416" s="9" t="inlineStr">
        <is>
          <t>கல்வெட்டு</t>
        </is>
      </c>
      <c r="L416" s="7" t="inlineStr">
        <is>
          <t>Yes</t>
        </is>
      </c>
      <c r="M416" s="9" t="inlineStr">
        <is>
          <t>Date = page creation. Auto-collected 2026-10-14 (wikipedia); review.</t>
        </is>
      </c>
      <c r="N416" s="10" t="inlineStr">
        <is>
          <t>https://ta.wikipedia.org/wiki/%E0%AE%95%E0%AF%8B%E0%AE%AE%E0%AE%B0%E0%AE%99%E0%AF%8D%E0%AE%95%E0%AE%9F%E0%AE%B5%E0%AE%B2%E0%AF%88_%E0%AE%95%E0%AE%B2%E0%AF%8D%E0%AE%B5%E0%AF%86%E0%AE%9F%E0%AF%8D%E0%AE%9F%E0%AF%81</t>
        </is>
      </c>
    </row>
    <row r="417">
      <c r="A417" s="11" t="inlineStr">
        <is>
          <t>ALL-0416</t>
        </is>
      </c>
      <c r="B417" s="11" t="inlineStr">
        <is>
          <t>Web Articles</t>
        </is>
      </c>
      <c r="C417" s="12" t="inlineStr">
        <is>
          <t>2020</t>
        </is>
      </c>
      <c r="D417" s="11" t="n"/>
      <c r="E417" s="13" t="inlineStr">
        <is>
          <t>ஈழத்துத் தொல்லியல் ஆய்வுக்களங்கள் - நிமிர்வு</t>
        </is>
      </c>
      <c r="F417" s="13" t="n"/>
      <c r="G417" s="13" t="inlineStr">
        <is>
          <t>nimirvu.org</t>
        </is>
      </c>
      <c r="H417" s="11" t="inlineStr">
        <is>
          <t>Web page</t>
        </is>
      </c>
      <c r="I417" s="11" t="inlineStr">
        <is>
          <t>Tamil</t>
        </is>
      </c>
      <c r="J417" s="13" t="inlineStr">
        <is>
          <t>Archaeology / தொல்லியல்</t>
        </is>
      </c>
      <c r="K417" s="13" t="inlineStr">
        <is>
          <t>தொல்லியல்</t>
        </is>
      </c>
      <c r="L417" s="11" t="inlineStr">
        <is>
          <t>Yes</t>
        </is>
      </c>
      <c r="M417" s="13" t="inlineStr">
        <is>
          <t>Web search: ஈழம் தொல்லியல் பிராமி. Auto-collected 2026-10-22 (ddg); review.</t>
        </is>
      </c>
      <c r="N417" s="14" t="inlineStr">
        <is>
          <t>https://www.nimirvu.org/2020/01/blog-post_14.html</t>
        </is>
      </c>
    </row>
    <row r="418">
      <c r="A418" s="7" t="inlineStr">
        <is>
          <t>ALL-0417</t>
        </is>
      </c>
      <c r="B418" s="7" t="inlineStr">
        <is>
          <t>Web Articles</t>
        </is>
      </c>
      <c r="C418" s="8" t="inlineStr">
        <is>
          <t>2020</t>
        </is>
      </c>
      <c r="D418" s="7" t="inlineStr">
        <is>
          <t>2020-04</t>
        </is>
      </c>
      <c r="E418" s="9" t="inlineStr">
        <is>
          <t>Tamil Inscriptions in Sri Lanka (list)</t>
        </is>
      </c>
      <c r="F418" s="9" t="inlineStr">
        <is>
          <t>Lanka Pradeepa</t>
        </is>
      </c>
      <c r="G418" s="9" t="inlineStr">
        <is>
          <t>Lanka Pradeepa (lankapradeepa.com)</t>
        </is>
      </c>
      <c r="H418" s="7" t="inlineStr">
        <is>
          <t>Web article</t>
        </is>
      </c>
      <c r="I418" s="7" t="inlineStr">
        <is>
          <t>English</t>
        </is>
      </c>
      <c r="J418" s="9" t="inlineStr">
        <is>
          <t>Inscriptions / கல்வெட்டு</t>
        </is>
      </c>
      <c r="K418" s="9" t="inlineStr">
        <is>
          <t>கல்வெட்டு; list; bibliography</t>
        </is>
      </c>
      <c r="L418" s="7" t="inlineStr">
        <is>
          <t>Yes</t>
        </is>
      </c>
      <c r="M418" s="9" t="inlineStr">
        <is>
          <t>Updated May 2023; 27 references</t>
        </is>
      </c>
      <c r="N418" s="10" t="inlineStr">
        <is>
          <t>https://www.lankapradeepa.com/2020/04/tamil-inscriptions-in-sri-lanka_16.html</t>
        </is>
      </c>
    </row>
    <row r="419">
      <c r="A419" s="11" t="inlineStr">
        <is>
          <t>ALL-0418</t>
        </is>
      </c>
      <c r="B419" s="11" t="inlineStr">
        <is>
          <t>Web Articles</t>
        </is>
      </c>
      <c r="C419" s="12" t="inlineStr">
        <is>
          <t>2020</t>
        </is>
      </c>
      <c r="D419" s="11" t="inlineStr">
        <is>
          <t>2020-12-11</t>
        </is>
      </c>
      <c r="E419" s="13" t="inlineStr">
        <is>
          <t>Pottery of Sri Lanka</t>
        </is>
      </c>
      <c r="F419" s="13" t="inlineStr">
        <is>
          <t>Wikipedia contributors</t>
        </is>
      </c>
      <c r="G419" s="13" t="inlineStr">
        <is>
          <t>Wikipedia (en)</t>
        </is>
      </c>
      <c r="H419" s="11" t="inlineStr">
        <is>
          <t>Encyclopedia article</t>
        </is>
      </c>
      <c r="I419" s="11" t="inlineStr">
        <is>
          <t>English</t>
        </is>
      </c>
      <c r="J419" s="13" t="n"/>
      <c r="K419" s="13" t="n"/>
      <c r="L419" s="11" t="inlineStr">
        <is>
          <t>Yes</t>
        </is>
      </c>
      <c r="M419" s="13" t="inlineStr">
        <is>
          <t>Date = page creation. Auto-collected 2026-10-14 (wikipedia); review.</t>
        </is>
      </c>
      <c r="N419" s="14" t="inlineStr">
        <is>
          <t>https://en.wikipedia.org/wiki/Pottery_of_Sri_Lanka</t>
        </is>
      </c>
    </row>
    <row r="420">
      <c r="A420" s="7" t="inlineStr">
        <is>
          <t>ALL-0419</t>
        </is>
      </c>
      <c r="B420" s="7" t="inlineStr">
        <is>
          <t>Web Articles</t>
        </is>
      </c>
      <c r="C420" s="8" t="inlineStr">
        <is>
          <t>2019</t>
        </is>
      </c>
      <c r="D420" s="7" t="n"/>
      <c r="E420" s="9" t="inlineStr">
        <is>
          <t>Fort Fredrick (Trincomalee) - Gateway to Sri Lanka</t>
        </is>
      </c>
      <c r="F420" s="9" t="n"/>
      <c r="G420" s="9" t="inlineStr">
        <is>
          <t>lankapradeepa.com</t>
        </is>
      </c>
      <c r="H420" s="7" t="inlineStr">
        <is>
          <t>Web page</t>
        </is>
      </c>
      <c r="I420" s="7" t="inlineStr">
        <is>
          <t>English</t>
        </is>
      </c>
      <c r="J420" s="9" t="n"/>
      <c r="K420" s="9" t="n"/>
      <c r="L420" s="7" t="inlineStr">
        <is>
          <t>Yes</t>
        </is>
      </c>
      <c r="M420" s="9" t="inlineStr">
        <is>
          <t>Web search: Trincomalee Tamil inscription. Auto-collected 2026-10-15 (ddg); review.</t>
        </is>
      </c>
      <c r="N420" s="10" t="inlineStr">
        <is>
          <t>https://www.lankapradeepa.com/2019/04/fort-fredrick-trincomalee.html</t>
        </is>
      </c>
    </row>
    <row r="421">
      <c r="A421" s="11" t="inlineStr">
        <is>
          <t>ALL-0420</t>
        </is>
      </c>
      <c r="B421" s="11" t="inlineStr">
        <is>
          <t>Web Articles</t>
        </is>
      </c>
      <c r="C421" s="12" t="inlineStr">
        <is>
          <t>2019</t>
        </is>
      </c>
      <c r="D421" s="11" t="inlineStr">
        <is>
          <t>2019-01-10</t>
        </is>
      </c>
      <c r="E421" s="13" t="inlineStr">
        <is>
          <t>Tamil inscriptions</t>
        </is>
      </c>
      <c r="F421" s="13" t="inlineStr">
        <is>
          <t>Wikipedia contributors</t>
        </is>
      </c>
      <c r="G421" s="13" t="inlineStr">
        <is>
          <t>Wikipedia (en)</t>
        </is>
      </c>
      <c r="H421" s="11" t="inlineStr">
        <is>
          <t>Encyclopedia article</t>
        </is>
      </c>
      <c r="I421" s="11" t="inlineStr">
        <is>
          <t>English</t>
        </is>
      </c>
      <c r="J421" s="13" t="inlineStr">
        <is>
          <t>Inscriptions / கல்வெட்டு</t>
        </is>
      </c>
      <c r="K421" s="13" t="inlineStr">
        <is>
          <t>inscription; inscriptions</t>
        </is>
      </c>
      <c r="L421" s="11" t="inlineStr">
        <is>
          <t>Yes</t>
        </is>
      </c>
      <c r="M421" s="13" t="inlineStr">
        <is>
          <t>Date = page creation. Auto-collected 2026-10-14 (wikipedia); review.</t>
        </is>
      </c>
      <c r="N421" s="14" t="inlineStr">
        <is>
          <t>https://en.wikipedia.org/wiki/Tamil_inscriptions</t>
        </is>
      </c>
    </row>
    <row r="422">
      <c r="A422" s="7" t="inlineStr">
        <is>
          <t>ALL-0421</t>
        </is>
      </c>
      <c r="B422" s="7" t="inlineStr">
        <is>
          <t>Web Articles</t>
        </is>
      </c>
      <c r="C422" s="8" t="inlineStr">
        <is>
          <t>2019</t>
        </is>
      </c>
      <c r="D422" s="7" t="inlineStr">
        <is>
          <t>2019-09-08</t>
        </is>
      </c>
      <c r="E422" s="9" t="inlineStr">
        <is>
          <t>வெடுக்குநாறிமலை ஆதி லிங்கேஸ்வரர் ஆலயம்</t>
        </is>
      </c>
      <c r="F422" s="9" t="inlineStr">
        <is>
          <t>Wikipedia contributors</t>
        </is>
      </c>
      <c r="G422" s="9" t="inlineStr">
        <is>
          <t>Wikipedia (ta)</t>
        </is>
      </c>
      <c r="H422" s="7" t="inlineStr">
        <is>
          <t>Encyclopedia article</t>
        </is>
      </c>
      <c r="I422" s="7" t="inlineStr">
        <is>
          <t>Tamil</t>
        </is>
      </c>
      <c r="J422" s="9" t="n"/>
      <c r="K422" s="9" t="n"/>
      <c r="L422" s="7" t="inlineStr">
        <is>
          <t>Yes</t>
        </is>
      </c>
      <c r="M422" s="9" t="inlineStr">
        <is>
          <t>Date = page creation. Auto-collected 2026-10-14 (wikipedia); review.</t>
        </is>
      </c>
      <c r="N422" s="10" t="inlineStr">
        <is>
          <t>https://ta.wikipedia.org/wiki/%E0%AE%B5%E0%AF%86%E0%AE%9F%E0%AF%81%E0%AE%95%E0%AF%8D%E0%AE%95%E0%AF%81%E0%AE%A8%E0%AE%BE%E0%AE%B1%E0%AE%BF%E0%AE%AE%E0%AE%B2%E0%AF%88_%E0%AE%86%E0%AE%A4%E0%AE%BF_%E0%AE%B2%E0%AE%BF%E0%AE%99%E0%AF%8D%E0%AE%95%E0%AF%87%E0%AE%B8%E0%AF%8D%E0%AE%B5%E0%AE%B0%E0%AE%B0%E0%AF%8D_%E0%AE%86%E0%AE%B2%E0%AE%AF%E0%AE%AE%E0%AF%8D</t>
        </is>
      </c>
    </row>
    <row r="423">
      <c r="A423" s="11" t="inlineStr">
        <is>
          <t>ALL-0422</t>
        </is>
      </c>
      <c r="B423" s="11" t="inlineStr">
        <is>
          <t>Web Articles</t>
        </is>
      </c>
      <c r="C423" s="12" t="inlineStr">
        <is>
          <t>2017</t>
        </is>
      </c>
      <c r="D423" s="11" t="inlineStr">
        <is>
          <t>2017-01-15</t>
        </is>
      </c>
      <c r="E423" s="13" t="inlineStr">
        <is>
          <t>Mantri Manai</t>
        </is>
      </c>
      <c r="F423" s="13" t="inlineStr">
        <is>
          <t>Wikipedia contributors</t>
        </is>
      </c>
      <c r="G423" s="13" t="inlineStr">
        <is>
          <t>Wikipedia (en)</t>
        </is>
      </c>
      <c r="H423" s="11" t="inlineStr">
        <is>
          <t>Encyclopedia article</t>
        </is>
      </c>
      <c r="I423" s="11" t="inlineStr">
        <is>
          <t>English</t>
        </is>
      </c>
      <c r="J423" s="13" t="n"/>
      <c r="K423" s="13" t="n"/>
      <c r="L423" s="11" t="inlineStr">
        <is>
          <t>Yes</t>
        </is>
      </c>
      <c r="M423" s="13" t="inlineStr">
        <is>
          <t>Date = page creation. Auto-collected 2026-10-14 (wikipedia); review.</t>
        </is>
      </c>
      <c r="N423" s="14" t="inlineStr">
        <is>
          <t>https://en.wikipedia.org/wiki/Mantri_Manai</t>
        </is>
      </c>
    </row>
    <row r="424">
      <c r="A424" s="7" t="inlineStr">
        <is>
          <t>ALL-0423</t>
        </is>
      </c>
      <c r="B424" s="7" t="inlineStr">
        <is>
          <t>Web Articles</t>
        </is>
      </c>
      <c r="C424" s="8" t="inlineStr">
        <is>
          <t>2016</t>
        </is>
      </c>
      <c r="D424" s="7" t="inlineStr">
        <is>
          <t>2016-01-15</t>
        </is>
      </c>
      <c r="E424" s="9" t="inlineStr">
        <is>
          <t>நாடு காட்டுப் பரவணிக் கல்வெட்டு</t>
        </is>
      </c>
      <c r="F424" s="9" t="inlineStr">
        <is>
          <t>Wikipedia contributors</t>
        </is>
      </c>
      <c r="G424" s="9" t="inlineStr">
        <is>
          <t>Wikipedia (ta)</t>
        </is>
      </c>
      <c r="H424" s="7" t="inlineStr">
        <is>
          <t>Encyclopedia article</t>
        </is>
      </c>
      <c r="I424" s="7" t="inlineStr">
        <is>
          <t>Tamil</t>
        </is>
      </c>
      <c r="J424" s="9" t="inlineStr">
        <is>
          <t>Inscriptions / கல்வெட்டு</t>
        </is>
      </c>
      <c r="K424" s="9" t="inlineStr">
        <is>
          <t>கல்வெட்டு</t>
        </is>
      </c>
      <c r="L424" s="7" t="inlineStr">
        <is>
          <t>Yes</t>
        </is>
      </c>
      <c r="M424" s="9" t="inlineStr">
        <is>
          <t>Date = page creation. Auto-collected 2026-10-14 (wikipedia); review.</t>
        </is>
      </c>
      <c r="N424" s="10" t="inlineStr">
        <is>
          <t>https://ta.wikipedia.org/wiki/%E0%AE%A8%E0%AE%BE%E0%AE%9F%E0%AF%81_%E0%AE%95%E0%AE%BE%E0%AE%9F%E0%AF%8D%E0%AE%9F%E0%AF%81%E0%AE%AA%E0%AF%8D_%E0%AE%AA%E0%AE%B0%E0%AE%B5%E0%AE%A3%E0%AE%BF%E0%AE%95%E0%AF%8D_%E0%AE%95%E0%AE%B2%E0%AF%8D%E0%AE%B5%E0%AF%86%E0%AE%9F%E0%AF%8D%E0%AE%9F%E0%AF%81</t>
        </is>
      </c>
    </row>
    <row r="425">
      <c r="A425" s="11" t="inlineStr">
        <is>
          <t>ALL-0424</t>
        </is>
      </c>
      <c r="B425" s="11" t="inlineStr">
        <is>
          <t>Web Articles</t>
        </is>
      </c>
      <c r="C425" s="12" t="inlineStr">
        <is>
          <t>2016</t>
        </is>
      </c>
      <c r="D425" s="11" t="inlineStr">
        <is>
          <t>2016-02-21</t>
        </is>
      </c>
      <c r="E425" s="13" t="inlineStr">
        <is>
          <t>Velgam Vehera</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https://en.wikipedia.org/wiki/Velgam_Vehera</t>
        </is>
      </c>
    </row>
    <row r="426">
      <c r="A426" s="7" t="inlineStr">
        <is>
          <t>ALL-0425</t>
        </is>
      </c>
      <c r="B426" s="7" t="inlineStr">
        <is>
          <t>Web Articles</t>
        </is>
      </c>
      <c r="C426" s="8" t="inlineStr">
        <is>
          <t>2016</t>
        </is>
      </c>
      <c r="D426" s="7" t="inlineStr">
        <is>
          <t>2016-04-03</t>
        </is>
      </c>
      <c r="E426" s="9" t="inlineStr">
        <is>
          <t>Kulakkottan</t>
        </is>
      </c>
      <c r="F426" s="9" t="inlineStr">
        <is>
          <t>Wikipedia contributors</t>
        </is>
      </c>
      <c r="G426" s="9" t="inlineStr">
        <is>
          <t>Wikipedia (en)</t>
        </is>
      </c>
      <c r="H426" s="7" t="inlineStr">
        <is>
          <t>Encyclopedia article</t>
        </is>
      </c>
      <c r="I426" s="7" t="inlineStr">
        <is>
          <t>English</t>
        </is>
      </c>
      <c r="J426" s="9" t="n"/>
      <c r="K426" s="9" t="n"/>
      <c r="L426" s="7" t="inlineStr">
        <is>
          <t>Yes</t>
        </is>
      </c>
      <c r="M426" s="9" t="inlineStr">
        <is>
          <t>Date = page creation. Auto-collected 2026-10-14 (wikipedia); review.</t>
        </is>
      </c>
      <c r="N426" s="10" t="inlineStr">
        <is>
          <t>https://en.wikipedia.org/wiki/Kulakkottan</t>
        </is>
      </c>
    </row>
    <row r="427">
      <c r="A427" s="11" t="inlineStr">
        <is>
          <t>ALL-0426</t>
        </is>
      </c>
      <c r="B427" s="11" t="inlineStr">
        <is>
          <t>Web Articles</t>
        </is>
      </c>
      <c r="C427" s="12" t="inlineStr">
        <is>
          <t>2016</t>
        </is>
      </c>
      <c r="D427" s="11" t="inlineStr">
        <is>
          <t>2016-04-21</t>
        </is>
      </c>
      <c r="E427" s="13" t="inlineStr">
        <is>
          <t>யாழ்ப்பாண மாவட்டத்தில் தொல்லியல் ரீதியாக பாதுகாக்கப்பட்ட நினைவுச் சின்னங்களின் பட்டியல்</t>
        </is>
      </c>
      <c r="F427" s="13" t="inlineStr">
        <is>
          <t>Wikipedia contributors</t>
        </is>
      </c>
      <c r="G427" s="13" t="inlineStr">
        <is>
          <t>Wikipedia (ta)</t>
        </is>
      </c>
      <c r="H427" s="11" t="inlineStr">
        <is>
          <t>Encyclopedia article</t>
        </is>
      </c>
      <c r="I427" s="11" t="inlineStr">
        <is>
          <t>Tamil</t>
        </is>
      </c>
      <c r="J427" s="13" t="inlineStr">
        <is>
          <t>Archaeology / தொல்லியல்</t>
        </is>
      </c>
      <c r="K427" s="13" t="inlineStr">
        <is>
          <t>தொல்லியல்</t>
        </is>
      </c>
      <c r="L427" s="11" t="inlineStr">
        <is>
          <t>Yes</t>
        </is>
      </c>
      <c r="M427" s="13" t="inlineStr">
        <is>
          <t>Date = page creation. Auto-collected 2026-10-14 (wikipedia); review.</t>
        </is>
      </c>
      <c r="N427"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8">
      <c r="A428" s="7" t="inlineStr">
        <is>
          <t>ALL-0427</t>
        </is>
      </c>
      <c r="B428" s="7" t="inlineStr">
        <is>
          <t>Web Articles</t>
        </is>
      </c>
      <c r="C428" s="8" t="inlineStr">
        <is>
          <t>2016</t>
        </is>
      </c>
      <c r="D428" s="7" t="inlineStr">
        <is>
          <t>2016-12-31</t>
        </is>
      </c>
      <c r="E428" s="9" t="inlineStr">
        <is>
          <t>கந்தரோடை தொல்லியல் களம்</t>
        </is>
      </c>
      <c r="F428" s="9" t="inlineStr">
        <is>
          <t>Wikipedia contributors</t>
        </is>
      </c>
      <c r="G428" s="9" t="inlineStr">
        <is>
          <t>Wikipedia (ta)</t>
        </is>
      </c>
      <c r="H428" s="7" t="inlineStr">
        <is>
          <t>Encyclopedia article</t>
        </is>
      </c>
      <c r="I428" s="7" t="inlineStr">
        <is>
          <t>Tamil</t>
        </is>
      </c>
      <c r="J428" s="9" t="inlineStr">
        <is>
          <t>Archaeology / தொல்லியல்</t>
        </is>
      </c>
      <c r="K428" s="9" t="inlineStr">
        <is>
          <t>தொல்லியல்</t>
        </is>
      </c>
      <c r="L428" s="7" t="inlineStr">
        <is>
          <t>Yes</t>
        </is>
      </c>
      <c r="M428" s="9" t="inlineStr">
        <is>
          <t>Date = page creation. Auto-collected 2026-10-14 (wikipedia); review.</t>
        </is>
      </c>
      <c r="N428" s="10" t="inlineStr">
        <is>
          <t>https://ta.wikipedia.org/wiki/%E0%AE%95%E0%AE%A8%E0%AF%8D%E0%AE%A4%E0%AE%B0%E0%AF%8B%E0%AE%9F%E0%AF%88_%E0%AE%A4%E0%AF%8A%E0%AE%B2%E0%AF%8D%E0%AE%B2%E0%AE%BF%E0%AE%AF%E0%AE%B2%E0%AF%8D_%E0%AE%95%E0%AE%B3%E0%AE%AE%E0%AF%8D</t>
        </is>
      </c>
    </row>
    <row r="429">
      <c r="A429" s="11" t="inlineStr">
        <is>
          <t>ALL-0428</t>
        </is>
      </c>
      <c r="B429" s="11" t="inlineStr">
        <is>
          <t>Web Articles</t>
        </is>
      </c>
      <c r="C429" s="12" t="inlineStr">
        <is>
          <t>2015</t>
        </is>
      </c>
      <c r="D429" s="11" t="inlineStr">
        <is>
          <t>2015-02-22</t>
        </is>
      </c>
      <c r="E429" s="13" t="inlineStr">
        <is>
          <t>ஆ. வேலுப்பிள்ளை</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https://ta.wikipedia.org/wiki/%E0%AE%86._%E0%AE%B5%E0%AF%87%E0%AE%B2%E0%AF%81%E0%AE%AA%E0%AF%8D%E0%AE%AA%E0%AE%BF%E0%AE%B3%E0%AF%8D%E0%AE%B3%E0%AF%88</t>
        </is>
      </c>
    </row>
    <row r="430">
      <c r="A430" s="7" t="inlineStr">
        <is>
          <t>ALL-0429</t>
        </is>
      </c>
      <c r="B430" s="7" t="inlineStr">
        <is>
          <t>Web Articles</t>
        </is>
      </c>
      <c r="C430" s="8" t="inlineStr">
        <is>
          <t>2015</t>
        </is>
      </c>
      <c r="D430" s="7" t="inlineStr">
        <is>
          <t>2015-07-02</t>
        </is>
      </c>
      <c r="E430" s="9" t="inlineStr">
        <is>
          <t>Anuradhapura Museum</t>
        </is>
      </c>
      <c r="F430" s="9" t="inlineStr">
        <is>
          <t>Wikipedia contributors</t>
        </is>
      </c>
      <c r="G430" s="9" t="inlineStr">
        <is>
          <t>Wikipedia (en)</t>
        </is>
      </c>
      <c r="H430" s="7" t="inlineStr">
        <is>
          <t>Encyclopedia article</t>
        </is>
      </c>
      <c r="I430" s="7" t="inlineStr">
        <is>
          <t>English</t>
        </is>
      </c>
      <c r="J430" s="9" t="n"/>
      <c r="K430" s="9" t="n"/>
      <c r="L430" s="7" t="inlineStr">
        <is>
          <t>Yes</t>
        </is>
      </c>
      <c r="M430" s="9" t="inlineStr">
        <is>
          <t>Date = page creation. Auto-collected 2026-10-21 (wikipedia); review.</t>
        </is>
      </c>
      <c r="N430" s="10" t="inlineStr">
        <is>
          <t>https://en.wikipedia.org/wiki/Anuradhapura_Museum</t>
        </is>
      </c>
    </row>
    <row r="431">
      <c r="A431" s="11" t="inlineStr">
        <is>
          <t>ALL-0430</t>
        </is>
      </c>
      <c r="B431" s="11" t="inlineStr">
        <is>
          <t>Web Articles</t>
        </is>
      </c>
      <c r="C431" s="12" t="inlineStr">
        <is>
          <t>2015</t>
        </is>
      </c>
      <c r="D431" s="11" t="inlineStr">
        <is>
          <t>2015-07-17</t>
        </is>
      </c>
      <c r="E431" s="13" t="inlineStr">
        <is>
          <t>வெஸ்ஸகிரிய</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https://ta.wikipedia.org/wiki/%E0%AE%B5%E0%AF%86%E0%AE%B8%E0%AF%8D%E0%AE%B8%E0%AE%95%E0%AE%BF%E0%AE%B0%E0%AE%BF%E0%AE%AF</t>
        </is>
      </c>
    </row>
    <row r="432">
      <c r="A432" s="7" t="inlineStr">
        <is>
          <t>ALL-0431</t>
        </is>
      </c>
      <c r="B432" s="7" t="inlineStr">
        <is>
          <t>Web Articles</t>
        </is>
      </c>
      <c r="C432" s="8" t="inlineStr">
        <is>
          <t>2015</t>
        </is>
      </c>
      <c r="D432" s="7" t="inlineStr">
        <is>
          <t>2015-07-19</t>
        </is>
      </c>
      <c r="E432" s="9" t="inlineStr">
        <is>
          <t>அனுராதபுரம் அருங்காட்சியகம்</t>
        </is>
      </c>
      <c r="F432" s="9" t="inlineStr">
        <is>
          <t>Wikipedia contributors</t>
        </is>
      </c>
      <c r="G432" s="9" t="inlineStr">
        <is>
          <t>Wikipedia (ta)</t>
        </is>
      </c>
      <c r="H432" s="7" t="inlineStr">
        <is>
          <t>Encyclopedia article</t>
        </is>
      </c>
      <c r="I432" s="7" t="inlineStr">
        <is>
          <t>Tamil</t>
        </is>
      </c>
      <c r="J432" s="9" t="n"/>
      <c r="K432" s="9" t="n"/>
      <c r="L432" s="7" t="inlineStr">
        <is>
          <t>Yes</t>
        </is>
      </c>
      <c r="M432" s="9" t="inlineStr">
        <is>
          <t>Date = page creation. Auto-collected 2026-10-14 (wikipedia); review.</t>
        </is>
      </c>
      <c r="N432" s="10" t="inlineStr">
        <is>
          <t>https://ta.wikipedia.org/wiki/%E0%AE%85%E0%AE%A9%E0%AF%81%E0%AE%B0%E0%AE%BE%E0%AE%A4%E0%AE%AA%E0%AF%81%E0%AE%B0%E0%AE%AE%E0%AF%8D_%E0%AE%85%E0%AE%B0%E0%AF%81%E0%AE%99%E0%AF%8D%E0%AE%95%E0%AE%BE%E0%AE%9F%E0%AF%8D%E0%AE%9A%E0%AE%BF%E0%AE%AF%E0%AE%95%E0%AE%AE%E0%AF%8D</t>
        </is>
      </c>
    </row>
    <row r="433">
      <c r="A433" s="11" t="inlineStr">
        <is>
          <t>ALL-0432</t>
        </is>
      </c>
      <c r="B433" s="11" t="inlineStr">
        <is>
          <t>Web Articles</t>
        </is>
      </c>
      <c r="C433" s="12" t="inlineStr">
        <is>
          <t>2015</t>
        </is>
      </c>
      <c r="D433" s="11" t="inlineStr">
        <is>
          <t>2015-07-19</t>
        </is>
      </c>
      <c r="E433" s="13" t="inlineStr">
        <is>
          <t>சேனரத் பரணவிதான</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https://ta.wikipedia.org/wiki/%E0%AE%9A%E0%AF%87%E0%AE%A9%E0%AE%B0%E0%AE%A4%E0%AF%8D_%E0%AE%AA%E0%AE%B0%E0%AE%A3%E0%AE%B5%E0%AE%BF%E0%AE%A4%E0%AE%BE%E0%AE%A9</t>
        </is>
      </c>
    </row>
    <row r="434">
      <c r="A434" s="7" t="inlineStr">
        <is>
          <t>ALL-0433</t>
        </is>
      </c>
      <c r="B434" s="7" t="inlineStr">
        <is>
          <t>Web Articles</t>
        </is>
      </c>
      <c r="C434" s="8" t="inlineStr">
        <is>
          <t>2015</t>
        </is>
      </c>
      <c r="D434" s="7" t="inlineStr">
        <is>
          <t>2015-07-19</t>
        </is>
      </c>
      <c r="E434" s="9" t="inlineStr">
        <is>
          <t>தொல்பொருள் காட்சிச்சாலை, வவுனியா</t>
        </is>
      </c>
      <c r="F434" s="9" t="inlineStr">
        <is>
          <t>Wikipedia contributors</t>
        </is>
      </c>
      <c r="G434" s="9" t="inlineStr">
        <is>
          <t>Wikipedia (ta)</t>
        </is>
      </c>
      <c r="H434" s="7" t="inlineStr">
        <is>
          <t>Encyclopedia article</t>
        </is>
      </c>
      <c r="I434" s="7" t="inlineStr">
        <is>
          <t>Tamil</t>
        </is>
      </c>
      <c r="J434" s="9" t="inlineStr">
        <is>
          <t>Archaeology / தொல்லியல்</t>
        </is>
      </c>
      <c r="K434" s="9" t="inlineStr">
        <is>
          <t>தொல்பொருள்</t>
        </is>
      </c>
      <c r="L434" s="7" t="inlineStr">
        <is>
          <t>Yes</t>
        </is>
      </c>
      <c r="M434" s="9" t="inlineStr">
        <is>
          <t>Date = page creation. Auto-collected 2026-10-14 (wikipedia); review.</t>
        </is>
      </c>
      <c r="N434" s="10" t="inlineStr">
        <is>
          <t>https://ta.wikipedia.org/wiki/%E0%AE%A4%E0%AF%8A%E0%AE%B2%E0%AF%8D%E0%AE%AA%E0%AF%8A%E0%AE%B0%E0%AF%81%E0%AE%B3%E0%AF%8D_%E0%AE%95%E0%AE%BE%E0%AE%9F%E0%AF%8D%E0%AE%9A%E0%AE%BF%E0%AE%9A%E0%AF%8D%E0%AE%9A%E0%AE%BE%E0%AE%B2%E0%AF%88%2C_%E0%AE%B5%E0%AE%B5%E0%AF%81%E0%AE%A9%E0%AE%BF%E0%AE%AF%E0%AE%BE</t>
        </is>
      </c>
    </row>
    <row r="435">
      <c r="A435" s="11" t="inlineStr">
        <is>
          <t>ALL-0434</t>
        </is>
      </c>
      <c r="B435" s="11" t="inlineStr">
        <is>
          <t>Web Articles</t>
        </is>
      </c>
      <c r="C435" s="12" t="inlineStr">
        <is>
          <t>2015</t>
        </is>
      </c>
      <c r="D435" s="11" t="inlineStr">
        <is>
          <t>2015-07-23</t>
        </is>
      </c>
      <c r="E435" s="13" t="inlineStr">
        <is>
          <t>சிரான் உபேந்திர தெரணியகல</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https://ta.wikipedia.org/wiki/%E0%AE%9A%E0%AE%BF%E0%AE%B0%E0%AE%BE%E0%AE%A9%E0%AF%8D_%E0%AE%89%E0%AE%AA%E0%AF%87%E0%AE%A8%E0%AF%8D%E0%AE%A4%E0%AE%BF%E0%AE%B0_%E0%AE%A4%E0%AF%86%E0%AE%B0%E0%AE%A3%E0%AE%BF%E0%AE%AF%E0%AE%95%E0%AE%B2</t>
        </is>
      </c>
    </row>
    <row r="436">
      <c r="A436" s="7" t="inlineStr">
        <is>
          <t>ALL-0435</t>
        </is>
      </c>
      <c r="B436" s="7" t="inlineStr">
        <is>
          <t>Web Articles</t>
        </is>
      </c>
      <c r="C436" s="8" t="inlineStr">
        <is>
          <t>2015</t>
        </is>
      </c>
      <c r="D436" s="7" t="inlineStr">
        <is>
          <t>2015-07-24</t>
        </is>
      </c>
      <c r="E436" s="9" t="inlineStr">
        <is>
          <t>தொல்பொருளியல் திணைக்களம், இலங்கை</t>
        </is>
      </c>
      <c r="F436" s="9" t="inlineStr">
        <is>
          <t>Wikipedia contributors</t>
        </is>
      </c>
      <c r="G436" s="9" t="inlineStr">
        <is>
          <t>Wikipedia (ta)</t>
        </is>
      </c>
      <c r="H436" s="7" t="inlineStr">
        <is>
          <t>Encyclopedia article</t>
        </is>
      </c>
      <c r="I436" s="7" t="inlineStr">
        <is>
          <t>Tamil</t>
        </is>
      </c>
      <c r="J436" s="9" t="n"/>
      <c r="K436" s="9" t="n"/>
      <c r="L436" s="7" t="inlineStr">
        <is>
          <t>Yes</t>
        </is>
      </c>
      <c r="M436" s="9" t="inlineStr">
        <is>
          <t>Date = page creation. Auto-collected 2026-10-14 (wikipedia); review.</t>
        </is>
      </c>
      <c r="N436" s="10" t="inlineStr">
        <is>
          <t>https://ta.wikipedia.org/wiki/%E0%AE%A4%E0%AF%8A%E0%AE%B2%E0%AF%8D%E0%AE%AA%E0%AF%8A%E0%AE%B0%E0%AF%81%E0%AE%B3%E0%AE%BF%E0%AE%AF%E0%AE%B2%E0%AF%8D_%E0%AE%A4%E0%AE%BF%E0%AE%A3%E0%AF%88%E0%AE%95%E0%AF%8D%E0%AE%95%E0%AE%B3%E0%AE%AE%E0%AF%8D%2C_%E0%AE%87%E0%AE%B2%E0%AE%99%E0%AF%8D%E0%AE%95%E0%AF%88</t>
        </is>
      </c>
    </row>
    <row r="437">
      <c r="A437" s="11" t="inlineStr">
        <is>
          <t>ALL-0436</t>
        </is>
      </c>
      <c r="B437" s="11" t="inlineStr">
        <is>
          <t>Web Articles</t>
        </is>
      </c>
      <c r="C437" s="12" t="inlineStr">
        <is>
          <t>2015</t>
        </is>
      </c>
      <c r="D437" s="11" t="inlineStr">
        <is>
          <t>2015-10-07</t>
        </is>
      </c>
      <c r="E437" s="13" t="inlineStr">
        <is>
          <t>அபயகிரித் தமிழ்க் கல்வெட்டு</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https://ta.wikipedia.org/wiki/%E0%AE%85%E0%AE%AA%E0%AE%AF%E0%AE%95%E0%AE%BF%E0%AE%B0%E0%AE%BF%E0%AE%A4%E0%AF%8D_%E0%AE%A4%E0%AE%AE%E0%AE%BF%E0%AE%B4%E0%AF%8D%E0%AE%95%E0%AF%8D_%E0%AE%95%E0%AE%B2%E0%AF%8D%E0%AE%B5%E0%AF%86%E0%AE%9F%E0%AF%8D%E0%AE%9F%E0%AF%81</t>
        </is>
      </c>
    </row>
    <row r="438">
      <c r="A438" s="7" t="inlineStr">
        <is>
          <t>ALL-0437</t>
        </is>
      </c>
      <c r="B438" s="7" t="inlineStr">
        <is>
          <t>Web Articles</t>
        </is>
      </c>
      <c r="C438" s="8" t="inlineStr">
        <is>
          <t>2015</t>
        </is>
      </c>
      <c r="D438" s="7" t="inlineStr">
        <is>
          <t>2015-10-07</t>
        </is>
      </c>
      <c r="E438" s="9" t="inlineStr">
        <is>
          <t>இலங்கைத் தமிழ்க் கல்வெட்டுக்களின் பட்டியல்</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39">
      <c r="A439" s="11" t="inlineStr">
        <is>
          <t>ALL-0438</t>
        </is>
      </c>
      <c r="B439" s="11" t="inlineStr">
        <is>
          <t>Web Articles</t>
        </is>
      </c>
      <c r="C439" s="12" t="inlineStr">
        <is>
          <t>2015</t>
        </is>
      </c>
      <c r="D439" s="11" t="inlineStr">
        <is>
          <t>2015-10-09</t>
        </is>
      </c>
      <c r="E439" s="13" t="inlineStr">
        <is>
          <t>அனுராதபுரம் குமாரகணத்துப் பேரூரார் கல்வெட்டுக்கள்</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 கல்வெட்டுக்கள்</t>
        </is>
      </c>
      <c r="L439" s="11" t="inlineStr">
        <is>
          <t>Yes</t>
        </is>
      </c>
      <c r="M439" s="13" t="inlineStr">
        <is>
          <t>Date = page creation. Auto-collected 2026-10-14 (wikipedia); review.</t>
        </is>
      </c>
      <c r="N439"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0">
      <c r="A440" s="7" t="inlineStr">
        <is>
          <t>ALL-0439</t>
        </is>
      </c>
      <c r="B440" s="7" t="inlineStr">
        <is>
          <t>Web Articles</t>
        </is>
      </c>
      <c r="C440" s="8" t="inlineStr">
        <is>
          <t>2015</t>
        </is>
      </c>
      <c r="D440" s="7" t="inlineStr">
        <is>
          <t>2015-10-10</t>
        </is>
      </c>
      <c r="E440" s="9" t="inlineStr">
        <is>
          <t>தாழிகுமாரன் கல்வெட்டு (மாதோட்டம்)</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A4%E0%AE%BE%E0%AE%B4%E0%AE%BF%E0%AE%95%E0%AF%81%E0%AE%AE%E0%AE%BE%E0%AE%B0%E0%AE%A9%E0%AF%8D_%E0%AE%95%E0%AE%B2%E0%AF%8D%E0%AE%B5%E0%AF%86%E0%AE%9F%E0%AF%8D%E0%AE%9F%E0%AF%81_%28%E0%AE%AE%E0%AE%BE%E0%AE%A4%E0%AF%8B%E0%AE%9F%E0%AF%8D%E0%AE%9F%E0%AE%AE%E0%AF%8D%29</t>
        </is>
      </c>
    </row>
    <row r="441">
      <c r="A441" s="11" t="inlineStr">
        <is>
          <t>ALL-0440</t>
        </is>
      </c>
      <c r="B441" s="11" t="inlineStr">
        <is>
          <t>Web Articles</t>
        </is>
      </c>
      <c r="C441" s="12" t="inlineStr">
        <is>
          <t>2015</t>
        </is>
      </c>
      <c r="D441" s="11" t="inlineStr">
        <is>
          <t>2015-10-10</t>
        </is>
      </c>
      <c r="E441" s="13" t="inlineStr">
        <is>
          <t>பளமோட்டைக்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https://ta.wikipedia.org/wiki/%E0%AE%AA%E0%AE%B3%E0%AE%AE%E0%AF%8B%E0%AE%9F%E0%AF%8D%E0%AE%9F%E0%AF%88%E0%AE%95%E0%AF%8D_%E0%AE%95%E0%AE%B2%E0%AF%8D%E0%AE%B5%E0%AF%86%E0%AE%9F%E0%AF%8D%E0%AE%9F%E0%AF%81</t>
        </is>
      </c>
    </row>
    <row r="442">
      <c r="A442" s="7" t="inlineStr">
        <is>
          <t>ALL-0441</t>
        </is>
      </c>
      <c r="B442" s="7" t="inlineStr">
        <is>
          <t>Web Articles</t>
        </is>
      </c>
      <c r="C442" s="8" t="inlineStr">
        <is>
          <t>2015</t>
        </is>
      </c>
      <c r="D442" s="7" t="inlineStr">
        <is>
          <t>2015-10-11</t>
        </is>
      </c>
      <c r="E442" s="9" t="inlineStr">
        <is>
          <t>மானாங்கேணிக்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https://ta.wikipedia.org/wiki/%E0%AE%AE%E0%AE%BE%E0%AE%A9%E0%AE%BE%E0%AE%99%E0%AF%8D%E0%AE%95%E0%AF%87%E0%AE%A3%E0%AE%BF%E0%AE%95%E0%AF%8D_%E0%AE%95%E0%AE%B2%E0%AF%8D%E0%AE%B5%E0%AF%86%E0%AE%9F%E0%AF%8D%E0%AE%9F%E0%AF%81</t>
        </is>
      </c>
    </row>
    <row r="443">
      <c r="A443" s="11" t="inlineStr">
        <is>
          <t>ALL-0442</t>
        </is>
      </c>
      <c r="B443" s="11" t="inlineStr">
        <is>
          <t>Web Articles</t>
        </is>
      </c>
      <c r="C443" s="12" t="inlineStr">
        <is>
          <t>2015</t>
        </is>
      </c>
      <c r="D443" s="11" t="inlineStr">
        <is>
          <t>2015-10-13</t>
        </is>
      </c>
      <c r="E443" s="13" t="inlineStr">
        <is>
          <t>நிலாவெளிக்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https://ta.wikipedia.org/wiki/%E0%AE%A8%E0%AE%BF%E0%AE%B2%E0%AE%BE%E0%AE%B5%E0%AF%86%E0%AE%B3%E0%AE%BF%E0%AE%95%E0%AF%8D_%E0%AE%95%E0%AE%B2%E0%AF%8D%E0%AE%B5%E0%AF%86%E0%AE%9F%E0%AF%8D%E0%AE%9F%E0%AF%81</t>
        </is>
      </c>
    </row>
    <row r="444">
      <c r="A444" s="7" t="inlineStr">
        <is>
          <t>ALL-0443</t>
        </is>
      </c>
      <c r="B444" s="7" t="inlineStr">
        <is>
          <t>Web Articles</t>
        </is>
      </c>
      <c r="C444" s="8" t="inlineStr">
        <is>
          <t>2015</t>
        </is>
      </c>
      <c r="D444" s="7" t="inlineStr">
        <is>
          <t>2015-10-14</t>
        </is>
      </c>
      <c r="E444" s="9" t="inlineStr">
        <is>
          <t>அதரகுளிய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https://ta.wikipedia.org/wiki/%E0%AE%85%E0%AE%A4%E0%AE%B0%E0%AE%95%E0%AF%81%E0%AE%B3%E0%AE%BF%E0%AE%AF_%E0%AE%95%E0%AE%B2%E0%AF%8D%E0%AE%B5%E0%AF%86%E0%AE%9F%E0%AF%8D%E0%AE%9F%E0%AF%81</t>
        </is>
      </c>
    </row>
    <row r="445">
      <c r="A445" s="11" t="inlineStr">
        <is>
          <t>ALL-0444</t>
        </is>
      </c>
      <c r="B445" s="11" t="inlineStr">
        <is>
          <t>Web Articles</t>
        </is>
      </c>
      <c r="C445" s="12" t="inlineStr">
        <is>
          <t>2015</t>
        </is>
      </c>
      <c r="D445" s="11" t="inlineStr">
        <is>
          <t>2015-10-14</t>
        </is>
      </c>
      <c r="E445" s="13" t="inlineStr">
        <is>
          <t>ஆதகட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https://ta.wikipedia.org/wiki/%E0%AE%86%E0%AE%A4%E0%AE%95%E0%AE%9F_%E0%AE%95%E0%AE%B2%E0%AF%8D%E0%AE%B5%E0%AF%86%E0%AE%9F%E0%AF%8D%E0%AE%9F%E0%AF%81</t>
        </is>
      </c>
    </row>
    <row r="446">
      <c r="A446" s="7" t="inlineStr">
        <is>
          <t>ALL-0445</t>
        </is>
      </c>
      <c r="B446" s="7" t="inlineStr">
        <is>
          <t>Web Articles</t>
        </is>
      </c>
      <c r="C446" s="8" t="inlineStr">
        <is>
          <t>2015</t>
        </is>
      </c>
      <c r="D446" s="7" t="inlineStr">
        <is>
          <t>2015-10-15</t>
        </is>
      </c>
      <c r="E446" s="9" t="inlineStr">
        <is>
          <t>சிறுகுளத்தூர் உடையான்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9A%E0%AE%BF%E0%AE%B1%E0%AF%81%E0%AE%95%E0%AF%81%E0%AE%B3%E0%AE%A4%E0%AF%8D%E0%AE%A4%E0%AF%82%E0%AE%B0%E0%AF%8D_%E0%AE%89%E0%AE%9F%E0%AF%88%E0%AE%AF%E0%AE%BE%E0%AE%A9%E0%AF%8D_%E0%AE%95%E0%AE%B2%E0%AF%8D%E0%AE%B5%E0%AF%86%E0%AE%9F%E0%AF%8D%E0%AE%9F%E0%AF%81</t>
        </is>
      </c>
    </row>
    <row r="447">
      <c r="A447" s="11" t="inlineStr">
        <is>
          <t>ALL-0446</t>
        </is>
      </c>
      <c r="B447" s="11" t="inlineStr">
        <is>
          <t>Web Articles</t>
        </is>
      </c>
      <c r="C447" s="12" t="inlineStr">
        <is>
          <t>2015</t>
        </is>
      </c>
      <c r="D447" s="11" t="inlineStr">
        <is>
          <t>2015-10-15</t>
        </is>
      </c>
      <c r="E447" s="13" t="inlineStr">
        <is>
          <t>பொலநறுவை வேளைக்காரர்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AA%E0%AF%8A%E0%AE%B2%E0%AE%A8%E0%AE%B1%E0%AF%81%E0%AE%B5%E0%AF%88_%E0%AE%B5%E0%AF%87%E0%AE%B3%E0%AF%88%E0%AE%95%E0%AF%8D%E0%AE%95%E0%AE%BE%E0%AE%B0%E0%AE%B0%E0%AF%8D_%E0%AE%95%E0%AE%B2%E0%AF%8D%E0%AE%B5%E0%AF%86%E0%AE%9F%E0%AF%8D%E0%AE%9F%E0%AF%81</t>
        </is>
      </c>
    </row>
    <row r="448">
      <c r="A448" s="7" t="inlineStr">
        <is>
          <t>ALL-0447</t>
        </is>
      </c>
      <c r="B448" s="7" t="inlineStr">
        <is>
          <t>Web Articles</t>
        </is>
      </c>
      <c r="C448" s="8" t="inlineStr">
        <is>
          <t>2015</t>
        </is>
      </c>
      <c r="D448" s="7" t="inlineStr">
        <is>
          <t>2015-10-15</t>
        </is>
      </c>
      <c r="E448" s="9" t="inlineStr">
        <is>
          <t>மயிலன் குளம் வேளைக்காரர்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AE%E0%AE%AF%E0%AE%BF%E0%AE%B2%E0%AE%A9%E0%AF%8D_%E0%AE%95%E0%AF%81%E0%AE%B3%E0%AE%AE%E0%AF%8D_%E0%AE%B5%E0%AF%87%E0%AE%B3%E0%AF%88%E0%AE%95%E0%AF%8D%E0%AE%95%E0%AE%BE%E0%AE%B0%E0%AE%B0%E0%AF%8D_%E0%AE%95%E0%AE%B2%E0%AF%8D%E0%AE%B5%E0%AF%86%E0%AE%9F%E0%AF%8D%E0%AE%9F%E0%AF%81</t>
        </is>
      </c>
    </row>
    <row r="449">
      <c r="A449" s="11" t="inlineStr">
        <is>
          <t>ALL-0448</t>
        </is>
      </c>
      <c r="B449" s="11" t="inlineStr">
        <is>
          <t>Web Articles</t>
        </is>
      </c>
      <c r="C449" s="12" t="inlineStr">
        <is>
          <t>2015</t>
        </is>
      </c>
      <c r="D449" s="11" t="inlineStr">
        <is>
          <t>2015-11-29</t>
        </is>
      </c>
      <c r="E449" s="13" t="inlineStr">
        <is>
          <t>Department of Archaeology (Sri Lanka)</t>
        </is>
      </c>
      <c r="F449" s="13" t="inlineStr">
        <is>
          <t>Wikipedia contributors</t>
        </is>
      </c>
      <c r="G449" s="13" t="inlineStr">
        <is>
          <t>Wikipedia (en)</t>
        </is>
      </c>
      <c r="H449" s="11" t="inlineStr">
        <is>
          <t>Encyclopedia article</t>
        </is>
      </c>
      <c r="I449" s="11" t="inlineStr">
        <is>
          <t>English</t>
        </is>
      </c>
      <c r="J449" s="13" t="inlineStr">
        <is>
          <t>Archaeology / தொல்லியல்</t>
        </is>
      </c>
      <c r="K449" s="13" t="inlineStr">
        <is>
          <t>archaeology</t>
        </is>
      </c>
      <c r="L449" s="11" t="inlineStr">
        <is>
          <t>Yes</t>
        </is>
      </c>
      <c r="M449" s="13" t="inlineStr">
        <is>
          <t>Date = page creation. Auto-collected 2026-10-14 (wikipedia); review.</t>
        </is>
      </c>
      <c r="N449" s="14" t="inlineStr">
        <is>
          <t>https://en.wikipedia.org/wiki/Department_of_Archaeology_%28Sri_Lanka%29</t>
        </is>
      </c>
    </row>
    <row r="450">
      <c r="A450" s="7" t="inlineStr">
        <is>
          <t>ALL-0449</t>
        </is>
      </c>
      <c r="B450" s="7" t="inlineStr">
        <is>
          <t>Web Articles</t>
        </is>
      </c>
      <c r="C450" s="8" t="inlineStr">
        <is>
          <t>2014</t>
        </is>
      </c>
      <c r="D450" s="7" t="inlineStr">
        <is>
          <t>2014-01-12</t>
        </is>
      </c>
      <c r="E450" s="9" t="inlineStr">
        <is>
          <t>Megalithic graffiti symbols</t>
        </is>
      </c>
      <c r="F450" s="9" t="inlineStr">
        <is>
          <t>Wikipedia contributors</t>
        </is>
      </c>
      <c r="G450" s="9" t="inlineStr">
        <is>
          <t>Wikipedia (en)</t>
        </is>
      </c>
      <c r="H450" s="7" t="inlineStr">
        <is>
          <t>Encyclopedia article</t>
        </is>
      </c>
      <c r="I450" s="7" t="inlineStr">
        <is>
          <t>English</t>
        </is>
      </c>
      <c r="J450" s="9" t="inlineStr">
        <is>
          <t>Brahmi / பிராமி; Archaeology / தொல்லியல்</t>
        </is>
      </c>
      <c r="K450" s="9" t="inlineStr">
        <is>
          <t>megalithic</t>
        </is>
      </c>
      <c r="L450" s="7" t="inlineStr">
        <is>
          <t>Yes</t>
        </is>
      </c>
      <c r="M450" s="9" t="inlineStr">
        <is>
          <t>Date = page creation. Auto-collected 2026-10-14 (wikipedia); review.</t>
        </is>
      </c>
      <c r="N450" s="10" t="inlineStr">
        <is>
          <t>https://en.wikipedia.org/wiki/Megalithic_graffiti_symbols</t>
        </is>
      </c>
    </row>
    <row r="451">
      <c r="A451" s="11" t="inlineStr">
        <is>
          <t>ALL-0450</t>
        </is>
      </c>
      <c r="B451" s="11" t="inlineStr">
        <is>
          <t>Web Articles</t>
        </is>
      </c>
      <c r="C451" s="12" t="inlineStr">
        <is>
          <t>2014</t>
        </is>
      </c>
      <c r="D451" s="11" t="inlineStr">
        <is>
          <t>2014-03-01</t>
        </is>
      </c>
      <c r="E451" s="13" t="inlineStr">
        <is>
          <t>யாழ்ப்பாண இராச்சியம் (சிற்றம்பலம்)</t>
        </is>
      </c>
      <c r="F451" s="13" t="inlineStr">
        <is>
          <t>Wikipedia contributors</t>
        </is>
      </c>
      <c r="G451" s="13" t="inlineStr">
        <is>
          <t>Wikipedia (ta)</t>
        </is>
      </c>
      <c r="H451" s="11" t="inlineStr">
        <is>
          <t>Encyclopedia article</t>
        </is>
      </c>
      <c r="I451" s="11" t="inlineStr">
        <is>
          <t>Tamil</t>
        </is>
      </c>
      <c r="J451" s="13" t="n"/>
      <c r="K451" s="13" t="n"/>
      <c r="L451" s="11" t="inlineStr">
        <is>
          <t>Yes</t>
        </is>
      </c>
      <c r="M451" s="13" t="inlineStr">
        <is>
          <t>Date = page creation. Auto-collected 2026-10-14 (wikipedia); review.</t>
        </is>
      </c>
      <c r="N451" s="14" t="inlineStr">
        <is>
          <t>https://ta.wikipedia.org/wiki/%E0%AE%AF%E0%AE%BE%E0%AE%B4%E0%AF%8D%E0%AE%AA%E0%AF%8D%E0%AE%AA%E0%AE%BE%E0%AE%A3_%E0%AE%87%E0%AE%B0%E0%AE%BE%E0%AE%9A%E0%AF%8D%E0%AE%9A%E0%AE%BF%E0%AE%AF%E0%AE%AE%E0%AF%8D_%28%E0%AE%9A%E0%AE%BF%E0%AE%B1%E0%AF%8D%E0%AE%B1%E0%AE%AE%E0%AF%8D%E0%AE%AA%E0%AE%B2%E0%AE%AE%E0%AF%8D%29</t>
        </is>
      </c>
    </row>
    <row r="452">
      <c r="A452" s="7" t="inlineStr">
        <is>
          <t>ALL-0451</t>
        </is>
      </c>
      <c r="B452" s="7" t="inlineStr">
        <is>
          <t>Web Articles</t>
        </is>
      </c>
      <c r="C452" s="8" t="inlineStr">
        <is>
          <t>2014</t>
        </is>
      </c>
      <c r="D452" s="7" t="inlineStr">
        <is>
          <t>2014-08-27</t>
        </is>
      </c>
      <c r="E452" s="9" t="inlineStr">
        <is>
          <t>காலி மும்மொழிக் கல்வெட்டு</t>
        </is>
      </c>
      <c r="F452" s="9" t="inlineStr">
        <is>
          <t>Wikipedia contributors</t>
        </is>
      </c>
      <c r="G452" s="9" t="inlineStr">
        <is>
          <t>Wikipedia (ta)</t>
        </is>
      </c>
      <c r="H452" s="7" t="inlineStr">
        <is>
          <t>Encyclopedia article</t>
        </is>
      </c>
      <c r="I452" s="7" t="inlineStr">
        <is>
          <t>Tamil</t>
        </is>
      </c>
      <c r="J452" s="9" t="inlineStr">
        <is>
          <t>Inscriptions / கல்வெட்டு</t>
        </is>
      </c>
      <c r="K452" s="9" t="inlineStr">
        <is>
          <t>கல்வெட்டு</t>
        </is>
      </c>
      <c r="L452" s="7" t="inlineStr">
        <is>
          <t>Yes</t>
        </is>
      </c>
      <c r="M452" s="9" t="inlineStr">
        <is>
          <t>Date = page creation. Auto-collected 2026-10-14 (wikipedia); review.</t>
        </is>
      </c>
      <c r="N452" s="10" t="inlineStr">
        <is>
          <t>https://ta.wikipedia.org/wiki/%E0%AE%95%E0%AE%BE%E0%AE%B2%E0%AE%BF_%E0%AE%AE%E0%AF%81%E0%AE%AE%E0%AF%8D%E0%AE%AE%E0%AF%8A%E0%AE%B4%E0%AE%BF%E0%AE%95%E0%AF%8D_%E0%AE%95%E0%AE%B2%E0%AF%8D%E0%AE%B5%E0%AF%86%E0%AE%9F%E0%AF%8D%E0%AE%9F%E0%AF%81</t>
        </is>
      </c>
    </row>
    <row r="453">
      <c r="A453" s="11" t="inlineStr">
        <is>
          <t>ALL-0452</t>
        </is>
      </c>
      <c r="B453" s="11" t="inlineStr">
        <is>
          <t>Web Articles</t>
        </is>
      </c>
      <c r="C453" s="12" t="inlineStr">
        <is>
          <t>2014</t>
        </is>
      </c>
      <c r="D453" s="11" t="inlineStr">
        <is>
          <t>2014-10-08</t>
        </is>
      </c>
      <c r="E453" s="13" t="inlineStr">
        <is>
          <t>யாழ்ப்பாணத்துச் சாசனங்கள்</t>
        </is>
      </c>
      <c r="F453" s="13" t="inlineStr">
        <is>
          <t>Wikipedia contributors</t>
        </is>
      </c>
      <c r="G453" s="13" t="inlineStr">
        <is>
          <t>Wikipedia (ta)</t>
        </is>
      </c>
      <c r="H453" s="11" t="inlineStr">
        <is>
          <t>Encyclopedia article</t>
        </is>
      </c>
      <c r="I453" s="11" t="inlineStr">
        <is>
          <t>Tamil</t>
        </is>
      </c>
      <c r="J453" s="13" t="inlineStr">
        <is>
          <t>Inscriptions / கல்வெட்டு</t>
        </is>
      </c>
      <c r="K453" s="13" t="n"/>
      <c r="L453" s="11" t="inlineStr">
        <is>
          <t>Yes</t>
        </is>
      </c>
      <c r="M453" s="13" t="inlineStr">
        <is>
          <t>Date = page creation. Auto-collected 2026-10-14 (wikipedia); review.</t>
        </is>
      </c>
      <c r="N453" s="14" t="inlineStr">
        <is>
          <t>https://ta.wikipedia.org/wiki/%E0%AE%AF%E0%AE%BE%E0%AE%B4%E0%AF%8D%E0%AE%AA%E0%AF%8D%E0%AE%AA%E0%AE%BE%E0%AE%A3%E0%AE%A4%E0%AF%8D%E0%AE%A4%E0%AF%81%E0%AE%9A%E0%AF%8D_%E0%AE%9A%E0%AE%BE%E0%AE%9A%E0%AE%A9%E0%AE%99%E0%AF%8D%E0%AE%95%E0%AE%B3%E0%AF%8D</t>
        </is>
      </c>
    </row>
    <row r="454">
      <c r="A454" s="7" t="inlineStr">
        <is>
          <t>ALL-0453</t>
        </is>
      </c>
      <c r="B454" s="7" t="inlineStr">
        <is>
          <t>Web Articles</t>
        </is>
      </c>
      <c r="C454" s="8" t="inlineStr">
        <is>
          <t>2014</t>
        </is>
      </c>
      <c r="D454" s="7" t="inlineStr">
        <is>
          <t>2014-10-10</t>
        </is>
      </c>
      <c r="E454" s="9" t="inlineStr">
        <is>
          <t>இலங்கையில் சங்ககால நாணயங்கள்</t>
        </is>
      </c>
      <c r="F454" s="9" t="inlineStr">
        <is>
          <t>Wikipedia contributors</t>
        </is>
      </c>
      <c r="G454" s="9" t="inlineStr">
        <is>
          <t>Wikipedia (ta)</t>
        </is>
      </c>
      <c r="H454" s="7" t="inlineStr">
        <is>
          <t>Encyclopedia article</t>
        </is>
      </c>
      <c r="I454" s="7" t="inlineStr">
        <is>
          <t>Tamil</t>
        </is>
      </c>
      <c r="J454" s="9" t="inlineStr">
        <is>
          <t>Coins / நாணயம்</t>
        </is>
      </c>
      <c r="K454" s="9" t="n"/>
      <c r="L454" s="7" t="inlineStr">
        <is>
          <t>Yes</t>
        </is>
      </c>
      <c r="M454" s="9" t="inlineStr">
        <is>
          <t>Date = page creation. Auto-collected 2026-10-14 (wikipedia); review.</t>
        </is>
      </c>
      <c r="N454" s="10" t="inlineStr">
        <is>
          <t>https://ta.wikipedia.org/wiki/%E0%AE%87%E0%AE%B2%E0%AE%99%E0%AF%8D%E0%AE%95%E0%AF%88%E0%AE%AF%E0%AE%BF%E0%AE%B2%E0%AF%8D_%E0%AE%9A%E0%AE%99%E0%AF%8D%E0%AE%95%E0%AE%95%E0%AE%BE%E0%AE%B2_%E0%AE%A8%E0%AE%BE%E0%AE%A3%E0%AE%AF%E0%AE%99%E0%AF%8D%E0%AE%95%E0%AE%B3%E0%AF%8D</t>
        </is>
      </c>
    </row>
    <row r="455">
      <c r="A455" s="11" t="inlineStr">
        <is>
          <t>ALL-0454</t>
        </is>
      </c>
      <c r="B455" s="11" t="inlineStr">
        <is>
          <t>Web Articles</t>
        </is>
      </c>
      <c r="C455" s="12" t="inlineStr">
        <is>
          <t>2014</t>
        </is>
      </c>
      <c r="D455" s="11" t="inlineStr">
        <is>
          <t>2014-10-10</t>
        </is>
      </c>
      <c r="E455" s="13" t="inlineStr">
        <is>
          <t>நயினாதீவுக் கல்வெட்டு</t>
        </is>
      </c>
      <c r="F455" s="13" t="inlineStr">
        <is>
          <t>Wikipedia contributors</t>
        </is>
      </c>
      <c r="G455" s="13" t="inlineStr">
        <is>
          <t>Wikipedia (ta)</t>
        </is>
      </c>
      <c r="H455" s="11" t="inlineStr">
        <is>
          <t>Encyclopedia article</t>
        </is>
      </c>
      <c r="I455" s="11" t="inlineStr">
        <is>
          <t>Tamil</t>
        </is>
      </c>
      <c r="J455" s="13" t="inlineStr">
        <is>
          <t>Inscriptions / கல்வெட்டு</t>
        </is>
      </c>
      <c r="K455" s="13" t="inlineStr">
        <is>
          <t>கல்வெட்டு</t>
        </is>
      </c>
      <c r="L455" s="11" t="inlineStr">
        <is>
          <t>Yes</t>
        </is>
      </c>
      <c r="M455" s="13" t="inlineStr">
        <is>
          <t>Date = page creation. Auto-collected 2026-10-14 (wikipedia); review.</t>
        </is>
      </c>
      <c r="N455" s="14" t="inlineStr">
        <is>
          <t>https://ta.wikipedia.org/wiki/%E0%AE%A8%E0%AE%AF%E0%AE%BF%E0%AE%A9%E0%AE%BE%E0%AE%A4%E0%AF%80%E0%AE%B5%E0%AF%81%E0%AE%95%E0%AF%8D_%E0%AE%95%E0%AE%B2%E0%AF%8D%E0%AE%B5%E0%AF%86%E0%AE%9F%E0%AF%8D%E0%AE%9F%E0%AF%81</t>
        </is>
      </c>
    </row>
    <row r="456">
      <c r="A456" s="7" t="inlineStr">
        <is>
          <t>ALL-0455</t>
        </is>
      </c>
      <c r="B456" s="7" t="inlineStr">
        <is>
          <t>Web Articles</t>
        </is>
      </c>
      <c r="C456" s="8" t="inlineStr">
        <is>
          <t>2014</t>
        </is>
      </c>
      <c r="D456" s="7" t="inlineStr">
        <is>
          <t>2014-10-11</t>
        </is>
      </c>
      <c r="E456" s="9" t="inlineStr">
        <is>
          <t>யாழ்ப்பாணம் பிரதான வீதிக் கல்வெட்டு</t>
        </is>
      </c>
      <c r="F456" s="9" t="inlineStr">
        <is>
          <t>Wikipedia contributors</t>
        </is>
      </c>
      <c r="G456" s="9" t="inlineStr">
        <is>
          <t>Wikipedia (ta)</t>
        </is>
      </c>
      <c r="H456" s="7" t="inlineStr">
        <is>
          <t>Encyclopedia article</t>
        </is>
      </c>
      <c r="I456" s="7" t="inlineStr">
        <is>
          <t>Tamil</t>
        </is>
      </c>
      <c r="J456" s="9" t="inlineStr">
        <is>
          <t>Inscriptions / கல்வெட்டு</t>
        </is>
      </c>
      <c r="K456" s="9" t="inlineStr">
        <is>
          <t>கல்வெட்டு</t>
        </is>
      </c>
      <c r="L456" s="7" t="inlineStr">
        <is>
          <t>Yes</t>
        </is>
      </c>
      <c r="M456" s="9" t="inlineStr">
        <is>
          <t>Date = page creation. Auto-collected 2026-10-14 (wikipedia); review.</t>
        </is>
      </c>
      <c r="N456" s="10" t="inlineStr">
        <is>
          <t>https://ta.wikipedia.org/wiki/%E0%AE%AF%E0%AE%BE%E0%AE%B4%E0%AF%8D%E0%AE%AA%E0%AF%8D%E0%AE%AA%E0%AE%BE%E0%AE%A3%E0%AE%AE%E0%AF%8D_%E0%AE%AA%E0%AE%BF%E0%AE%B0%E0%AE%A4%E0%AE%BE%E0%AE%A9_%E0%AE%B5%E0%AF%80%E0%AE%A4%E0%AE%BF%E0%AE%95%E0%AF%8D_%E0%AE%95%E0%AE%B2%E0%AF%8D%E0%AE%B5%E0%AF%86%E0%AE%9F%E0%AF%8D%E0%AE%9F%E0%AF%81</t>
        </is>
      </c>
    </row>
    <row r="457">
      <c r="A457" s="11" t="inlineStr">
        <is>
          <t>ALL-0456</t>
        </is>
      </c>
      <c r="B457" s="11" t="inlineStr">
        <is>
          <t>Web Articles</t>
        </is>
      </c>
      <c r="C457" s="12" t="inlineStr">
        <is>
          <t>2014</t>
        </is>
      </c>
      <c r="D457" s="11" t="inlineStr">
        <is>
          <t>2014-10-25</t>
        </is>
      </c>
      <c r="E457" s="13" t="inlineStr">
        <is>
          <t>கருணாகரப் பிள்ளையார் கோயிற் கல்வெட்டு</t>
        </is>
      </c>
      <c r="F457" s="13" t="inlineStr">
        <is>
          <t>Wikipedia contributors</t>
        </is>
      </c>
      <c r="G457" s="13" t="inlineStr">
        <is>
          <t>Wikipedia (ta)</t>
        </is>
      </c>
      <c r="H457" s="11" t="inlineStr">
        <is>
          <t>Encyclopedia article</t>
        </is>
      </c>
      <c r="I457" s="11" t="inlineStr">
        <is>
          <t>Tamil</t>
        </is>
      </c>
      <c r="J457" s="13" t="inlineStr">
        <is>
          <t>Inscriptions / கல்வெட்டு</t>
        </is>
      </c>
      <c r="K457" s="13" t="inlineStr">
        <is>
          <t>கல்வெட்டு</t>
        </is>
      </c>
      <c r="L457" s="11" t="inlineStr">
        <is>
          <t>Yes</t>
        </is>
      </c>
      <c r="M457" s="13" t="inlineStr">
        <is>
          <t>Date = page creation. Auto-collected 2026-10-14 (wikipedia); review.</t>
        </is>
      </c>
      <c r="N457" s="14" t="inlineStr">
        <is>
          <t>https://ta.wikipedia.org/wiki/%E0%AE%95%E0%AE%B0%E0%AF%81%E0%AE%A3%E0%AE%BE%E0%AE%95%E0%AE%B0%E0%AE%AA%E0%AF%8D_%E0%AE%AA%E0%AE%BF%E0%AE%B3%E0%AF%8D%E0%AE%B3%E0%AF%88%E0%AE%AF%E0%AE%BE%E0%AE%B0%E0%AF%8D_%E0%AE%95%E0%AF%8B%E0%AE%AF%E0%AE%BF%E0%AE%B1%E0%AF%8D_%E0%AE%95%E0%AE%B2%E0%AF%8D%E0%AE%B5%E0%AF%86%E0%AE%9F%E0%AF%8D%E0%AE%9F%E0%AF%81</t>
        </is>
      </c>
    </row>
    <row r="458">
      <c r="A458" s="7" t="inlineStr">
        <is>
          <t>ALL-0457</t>
        </is>
      </c>
      <c r="B458" s="7" t="inlineStr">
        <is>
          <t>Web Articles</t>
        </is>
      </c>
      <c r="C458" s="8" t="inlineStr">
        <is>
          <t>2014</t>
        </is>
      </c>
      <c r="D458" s="7" t="inlineStr">
        <is>
          <t>2014-12-10</t>
        </is>
      </c>
      <c r="E458" s="9" t="inlineStr">
        <is>
          <t>இரத்தினபுரி தேசிய நூதனசாலை</t>
        </is>
      </c>
      <c r="F458" s="9" t="inlineStr">
        <is>
          <t>Wikipedia contributors</t>
        </is>
      </c>
      <c r="G458" s="9" t="inlineStr">
        <is>
          <t>Wikipedia (ta)</t>
        </is>
      </c>
      <c r="H458" s="7" t="inlineStr">
        <is>
          <t>Encyclopedia article</t>
        </is>
      </c>
      <c r="I458" s="7" t="inlineStr">
        <is>
          <t>Tamil</t>
        </is>
      </c>
      <c r="J458" s="9" t="n"/>
      <c r="K458" s="9" t="n"/>
      <c r="L458" s="7" t="inlineStr">
        <is>
          <t>Yes</t>
        </is>
      </c>
      <c r="M458" s="9" t="inlineStr">
        <is>
          <t>Date = page creation. Auto-collected 2026-10-14 (wikipedia); review.</t>
        </is>
      </c>
      <c r="N458" s="10" t="inlineStr">
        <is>
          <t>https://ta.wikipedia.org/wiki/%E0%AE%87%E0%AE%B0%E0%AE%A4%E0%AF%8D%E0%AE%A4%E0%AE%BF%E0%AE%A9%E0%AE%AA%E0%AF%81%E0%AE%B0%E0%AE%BF_%E0%AE%A4%E0%AF%87%E0%AE%9A%E0%AE%BF%E0%AE%AF_%E0%AE%A8%E0%AF%82%E0%AE%A4%E0%AE%A9%E0%AE%9A%E0%AE%BE%E0%AE%B2%E0%AF%88</t>
        </is>
      </c>
    </row>
    <row r="459">
      <c r="A459" s="11" t="inlineStr">
        <is>
          <t>ALL-0458</t>
        </is>
      </c>
      <c r="B459" s="11" t="inlineStr">
        <is>
          <t>Web Articles</t>
        </is>
      </c>
      <c r="C459" s="12" t="inlineStr">
        <is>
          <t>2013</t>
        </is>
      </c>
      <c r="D459" s="11" t="inlineStr">
        <is>
          <t>2013-02-02</t>
        </is>
      </c>
      <c r="E459" s="13" t="inlineStr">
        <is>
          <t>சீனர் - தமிழர் தொடர்புகள்</t>
        </is>
      </c>
      <c r="F459" s="13" t="inlineStr">
        <is>
          <t>Wikipedia contributors</t>
        </is>
      </c>
      <c r="G459" s="13" t="inlineStr">
        <is>
          <t>Wikipedia (ta)</t>
        </is>
      </c>
      <c r="H459" s="11" t="inlineStr">
        <is>
          <t>Encyclopedia article</t>
        </is>
      </c>
      <c r="I459" s="11" t="inlineStr">
        <is>
          <t>Tamil</t>
        </is>
      </c>
      <c r="J459" s="13" t="n"/>
      <c r="K459" s="13" t="n"/>
      <c r="L459" s="11" t="inlineStr">
        <is>
          <t>Yes</t>
        </is>
      </c>
      <c r="M459" s="13" t="inlineStr">
        <is>
          <t>Date = page creation. Auto-collected 2026-10-14 (wikipedia); review.</t>
        </is>
      </c>
      <c r="N459" s="14" t="inlineStr">
        <is>
          <t>https://ta.wikipedia.org/wiki/%E0%AE%9A%E0%AF%80%E0%AE%A9%E0%AE%B0%E0%AF%8D_-_%E0%AE%A4%E0%AE%AE%E0%AE%BF%E0%AE%B4%E0%AE%B0%E0%AF%8D_%E0%AE%A4%E0%AF%8A%E0%AE%9F%E0%AE%B0%E0%AF%8D%E0%AE%AA%E0%AF%81%E0%AE%95%E0%AE%B3%E0%AF%8D</t>
        </is>
      </c>
    </row>
    <row r="460">
      <c r="A460" s="7" t="inlineStr">
        <is>
          <t>ALL-0459</t>
        </is>
      </c>
      <c r="B460" s="7" t="inlineStr">
        <is>
          <t>Web Articles</t>
        </is>
      </c>
      <c r="C460" s="8" t="inlineStr">
        <is>
          <t>2013</t>
        </is>
      </c>
      <c r="D460" s="7" t="inlineStr">
        <is>
          <t>2013-05-10</t>
        </is>
      </c>
      <c r="E460" s="9" t="inlineStr">
        <is>
          <t>வேளிர் (ஈழம்)</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https://ta.wikipedia.org/wiki/%E0%AE%B5%E0%AF%87%E0%AE%B3%E0%AE%BF%E0%AE%B0%E0%AF%8D_%28%E0%AE%88%E0%AE%B4%E0%AE%AE%E0%AF%8D%29</t>
        </is>
      </c>
    </row>
    <row r="461">
      <c r="A461" s="11" t="inlineStr">
        <is>
          <t>ALL-0460</t>
        </is>
      </c>
      <c r="B461" s="11" t="inlineStr">
        <is>
          <t>Web Articles</t>
        </is>
      </c>
      <c r="C461" s="12" t="inlineStr">
        <is>
          <t>2013</t>
        </is>
      </c>
      <c r="D461" s="11" t="inlineStr">
        <is>
          <t>2013-08-21</t>
        </is>
      </c>
      <c r="E461" s="13" t="inlineStr">
        <is>
          <t>Archaeological Museum, Jaffna</t>
        </is>
      </c>
      <c r="F461" s="13" t="inlineStr">
        <is>
          <t>Wikipedia contributors</t>
        </is>
      </c>
      <c r="G461" s="13" t="inlineStr">
        <is>
          <t>Wikipedia (en)</t>
        </is>
      </c>
      <c r="H461" s="11" t="inlineStr">
        <is>
          <t>Encyclopedia article</t>
        </is>
      </c>
      <c r="I461" s="11" t="inlineStr">
        <is>
          <t>English</t>
        </is>
      </c>
      <c r="J461" s="13" t="inlineStr">
        <is>
          <t>Archaeology / தொல்லியல்</t>
        </is>
      </c>
      <c r="K461" s="13" t="inlineStr">
        <is>
          <t>archaeological</t>
        </is>
      </c>
      <c r="L461" s="11" t="inlineStr">
        <is>
          <t>Yes</t>
        </is>
      </c>
      <c r="M461" s="13" t="inlineStr">
        <is>
          <t>Date = page creation. Auto-collected 2026-10-14 (wikipedia); review.</t>
        </is>
      </c>
      <c r="N461" s="14" t="inlineStr">
        <is>
          <t>https://en.wikipedia.org/wiki/Archaeological_Museum%2C_Jaffna</t>
        </is>
      </c>
    </row>
    <row r="462">
      <c r="A462" s="7" t="inlineStr">
        <is>
          <t>ALL-0461</t>
        </is>
      </c>
      <c r="B462" s="7" t="inlineStr">
        <is>
          <t>Web Articles</t>
        </is>
      </c>
      <c r="C462" s="8" t="inlineStr">
        <is>
          <t>2012</t>
        </is>
      </c>
      <c r="D462" s="7" t="inlineStr">
        <is>
          <t>2012-01-17</t>
        </is>
      </c>
      <c r="E462" s="9" t="inlineStr">
        <is>
          <t>History of the Jaffna kingdom</t>
        </is>
      </c>
      <c r="F462" s="9" t="inlineStr">
        <is>
          <t>Wikipedia contributors</t>
        </is>
      </c>
      <c r="G462" s="9" t="inlineStr">
        <is>
          <t>Wikipedia (en)</t>
        </is>
      </c>
      <c r="H462" s="7" t="inlineStr">
        <is>
          <t>Encyclopedia article</t>
        </is>
      </c>
      <c r="I462" s="7" t="inlineStr">
        <is>
          <t>English</t>
        </is>
      </c>
      <c r="J462" s="9" t="n"/>
      <c r="K462" s="9" t="n"/>
      <c r="L462" s="7" t="inlineStr">
        <is>
          <t>Yes</t>
        </is>
      </c>
      <c r="M462" s="9" t="inlineStr">
        <is>
          <t>Date = page creation. Auto-collected 2026-10-14 (wikipedia); review.</t>
        </is>
      </c>
      <c r="N462" s="10" t="inlineStr">
        <is>
          <t>https://en.wikipedia.org/wiki/History_of_the_Jaffna_kingdom</t>
        </is>
      </c>
    </row>
    <row r="463">
      <c r="A463" s="11" t="inlineStr">
        <is>
          <t>ALL-0462</t>
        </is>
      </c>
      <c r="B463" s="11" t="inlineStr">
        <is>
          <t>Web Articles</t>
        </is>
      </c>
      <c r="C463" s="12" t="inlineStr">
        <is>
          <t>2012</t>
        </is>
      </c>
      <c r="D463" s="11" t="inlineStr">
        <is>
          <t>2012-06-27</t>
        </is>
      </c>
      <c r="E463" s="13" t="inlineStr">
        <is>
          <t>Prehistoric skeleton found in Sri Lanka</t>
        </is>
      </c>
      <c r="F463" s="13" t="n"/>
      <c r="G463" s="13" t="inlineStr">
        <is>
          <t>SEAArch (Southeast Asian Archaeology)</t>
        </is>
      </c>
      <c r="H463" s="11" t="inlineStr">
        <is>
          <t>Web article</t>
        </is>
      </c>
      <c r="I463" s="11" t="inlineStr">
        <is>
          <t>English</t>
        </is>
      </c>
      <c r="J463" s="13" t="inlineStr">
        <is>
          <t>Archaeology / தொல்லியல்</t>
        </is>
      </c>
      <c r="K463" s="13" t="inlineStr">
        <is>
          <t>prehistory; archaeology</t>
        </is>
      </c>
      <c r="L463" s="11" t="inlineStr">
        <is>
          <t>Yes</t>
        </is>
      </c>
      <c r="M463" s="13" t="n"/>
      <c r="N463" s="14" t="inlineStr">
        <is>
          <t>https://southeastasianarchaeology.com/2012/06/27/prehistoric-skeleton-found-in-sri-lanka</t>
        </is>
      </c>
    </row>
    <row r="464">
      <c r="A464" s="7" t="inlineStr">
        <is>
          <t>ALL-0463</t>
        </is>
      </c>
      <c r="B464" s="7" t="inlineStr">
        <is>
          <t>Web Articles</t>
        </is>
      </c>
      <c r="C464" s="8" t="inlineStr">
        <is>
          <t>2012</t>
        </is>
      </c>
      <c r="D464" s="7" t="inlineStr">
        <is>
          <t>2012-07-22</t>
        </is>
      </c>
      <c r="E464" s="9" t="inlineStr">
        <is>
          <t>Anaikoddai seal</t>
        </is>
      </c>
      <c r="F464" s="9" t="inlineStr">
        <is>
          <t>Wikipedia contributors</t>
        </is>
      </c>
      <c r="G464" s="9" t="inlineStr">
        <is>
          <t>Wikipedia (en)</t>
        </is>
      </c>
      <c r="H464" s="7" t="inlineStr">
        <is>
          <t>Encyclopedia article</t>
        </is>
      </c>
      <c r="I464" s="7" t="inlineStr">
        <is>
          <t>English</t>
        </is>
      </c>
      <c r="J464" s="9" t="inlineStr">
        <is>
          <t>Inscriptions / கல்வெட்டு</t>
        </is>
      </c>
      <c r="K464" s="9" t="n"/>
      <c r="L464" s="7" t="inlineStr">
        <is>
          <t>Yes</t>
        </is>
      </c>
      <c r="M464" s="9" t="inlineStr">
        <is>
          <t>Date = page creation. Auto-collected 2026-10-14 (wikipedia); review.</t>
        </is>
      </c>
      <c r="N464" s="10" t="inlineStr">
        <is>
          <t>https://en.wikipedia.org/wiki/Anaikoddai_seal</t>
        </is>
      </c>
    </row>
    <row r="465">
      <c r="A465" s="11" t="inlineStr">
        <is>
          <t>ALL-0464</t>
        </is>
      </c>
      <c r="B465" s="11" t="inlineStr">
        <is>
          <t>Web Articles</t>
        </is>
      </c>
      <c r="C465" s="12" t="inlineStr">
        <is>
          <t>2011</t>
        </is>
      </c>
      <c r="D465" s="11" t="inlineStr">
        <is>
          <t>2011-02-03</t>
        </is>
      </c>
      <c r="E465" s="13" t="inlineStr">
        <is>
          <t>இலங்கைத் தமிழர் வரலாறு - தமிழ் நூல் பட்டியல்</t>
        </is>
      </c>
      <c r="F465" s="13" t="inlineStr">
        <is>
          <t>Wikipedia contributors</t>
        </is>
      </c>
      <c r="G465" s="13" t="inlineStr">
        <is>
          <t>Wikipedia (ta)</t>
        </is>
      </c>
      <c r="H465" s="11" t="inlineStr">
        <is>
          <t>Encyclopedia article</t>
        </is>
      </c>
      <c r="I465" s="11" t="inlineStr">
        <is>
          <t>Tamil</t>
        </is>
      </c>
      <c r="J465" s="13" t="n"/>
      <c r="K465" s="13" t="n"/>
      <c r="L465" s="11" t="inlineStr">
        <is>
          <t>Yes</t>
        </is>
      </c>
      <c r="M465" s="13" t="inlineStr">
        <is>
          <t>Date = page creation. Auto-collected 2026-10-14 (wikipedia); review.</t>
        </is>
      </c>
      <c r="N465"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6">
      <c r="A466" s="7" t="inlineStr">
        <is>
          <t>ALL-0465</t>
        </is>
      </c>
      <c r="B466" s="7" t="inlineStr">
        <is>
          <t>Web Articles</t>
        </is>
      </c>
      <c r="C466" s="8" t="inlineStr">
        <is>
          <t>2011</t>
        </is>
      </c>
      <c r="D466" s="7" t="inlineStr">
        <is>
          <t>2011-09-01</t>
        </is>
      </c>
      <c r="E466" s="9" t="inlineStr">
        <is>
          <t>மட்டக்களப்பு மான்மியம்</t>
        </is>
      </c>
      <c r="F466" s="9" t="inlineStr">
        <is>
          <t>Wikipedia contributors</t>
        </is>
      </c>
      <c r="G466" s="9" t="inlineStr">
        <is>
          <t>Wikipedia (ta)</t>
        </is>
      </c>
      <c r="H466" s="7" t="inlineStr">
        <is>
          <t>Encyclopedia article</t>
        </is>
      </c>
      <c r="I466" s="7" t="inlineStr">
        <is>
          <t>Tamil</t>
        </is>
      </c>
      <c r="J466" s="9" t="n"/>
      <c r="K466" s="9" t="n"/>
      <c r="L466" s="7" t="inlineStr">
        <is>
          <t>Yes</t>
        </is>
      </c>
      <c r="M466" s="9" t="inlineStr">
        <is>
          <t>Date = page creation. Auto-collected 2026-10-14 (wikipedia); review.</t>
        </is>
      </c>
      <c r="N466" s="10" t="inlineStr">
        <is>
          <t>https://ta.wikipedia.org/wiki/%E0%AE%AE%E0%AE%9F%E0%AF%8D%E0%AE%9F%E0%AE%95%E0%AF%8D%E0%AE%95%E0%AE%B3%E0%AE%AA%E0%AF%8D%E0%AE%AA%E0%AF%81_%E0%AE%AE%E0%AE%BE%E0%AE%A9%E0%AF%8D%E0%AE%AE%E0%AE%BF%E0%AE%AF%E0%AE%AE%E0%AF%8D</t>
        </is>
      </c>
    </row>
    <row r="467">
      <c r="A467" s="11" t="inlineStr">
        <is>
          <t>ALL-0466</t>
        </is>
      </c>
      <c r="B467" s="11" t="inlineStr">
        <is>
          <t>Web Articles</t>
        </is>
      </c>
      <c r="C467" s="12" t="inlineStr">
        <is>
          <t>2010</t>
        </is>
      </c>
      <c r="D467" s="11" t="inlineStr">
        <is>
          <t>2010-08-06</t>
        </is>
      </c>
      <c r="E467" s="13" t="inlineStr">
        <is>
          <t>நாயன்மார்கட்டுக் கல்வெட்டு</t>
        </is>
      </c>
      <c r="F467" s="13" t="inlineStr">
        <is>
          <t>Wikipedia contributors</t>
        </is>
      </c>
      <c r="G467" s="13" t="inlineStr">
        <is>
          <t>Wikipedia (ta)</t>
        </is>
      </c>
      <c r="H467" s="11" t="inlineStr">
        <is>
          <t>Encyclopedia article</t>
        </is>
      </c>
      <c r="I467" s="11" t="inlineStr">
        <is>
          <t>Tamil</t>
        </is>
      </c>
      <c r="J467" s="13" t="inlineStr">
        <is>
          <t>Inscriptions / கல்வெட்டு</t>
        </is>
      </c>
      <c r="K467" s="13" t="inlineStr">
        <is>
          <t>கல்வெட்டு</t>
        </is>
      </c>
      <c r="L467" s="11" t="inlineStr">
        <is>
          <t>Yes</t>
        </is>
      </c>
      <c r="M467" s="13" t="inlineStr">
        <is>
          <t>Date = page creation. Auto-collected 2026-10-14 (wikipedia); review.</t>
        </is>
      </c>
      <c r="N467" s="14" t="inlineStr">
        <is>
          <t>https://ta.wikipedia.org/wiki/%E0%AE%A8%E0%AE%BE%E0%AE%AF%E0%AE%A9%E0%AF%8D%E0%AE%AE%E0%AE%BE%E0%AE%B0%E0%AF%8D%E0%AE%95%E0%AE%9F%E0%AF%8D%E0%AE%9F%E0%AF%81%E0%AE%95%E0%AF%8D_%E0%AE%95%E0%AE%B2%E0%AF%8D%E0%AE%B5%E0%AF%86%E0%AE%9F%E0%AF%8D%E0%AE%9F%E0%AF%81</t>
        </is>
      </c>
    </row>
    <row r="468">
      <c r="A468" s="7" t="inlineStr">
        <is>
          <t>ALL-0467</t>
        </is>
      </c>
      <c r="B468" s="7" t="inlineStr">
        <is>
          <t>Web Articles</t>
        </is>
      </c>
      <c r="C468" s="8" t="inlineStr">
        <is>
          <t>2010</t>
        </is>
      </c>
      <c r="D468" s="7" t="inlineStr">
        <is>
          <t>2010-11-01</t>
        </is>
      </c>
      <c r="E468" s="9" t="inlineStr">
        <is>
          <t>Tissamaharama inscription No. 53</t>
        </is>
      </c>
      <c r="F468" s="9" t="inlineStr">
        <is>
          <t>Wikipedia contributors</t>
        </is>
      </c>
      <c r="G468" s="9" t="inlineStr">
        <is>
          <t>Wikipedia (en)</t>
        </is>
      </c>
      <c r="H468" s="7" t="inlineStr">
        <is>
          <t>Encyclopedia article</t>
        </is>
      </c>
      <c r="I468" s="7" t="inlineStr">
        <is>
          <t>English</t>
        </is>
      </c>
      <c r="J468" s="9" t="inlineStr">
        <is>
          <t>Inscriptions / கல்வெட்டு</t>
        </is>
      </c>
      <c r="K468" s="9" t="inlineStr">
        <is>
          <t>inscription</t>
        </is>
      </c>
      <c r="L468" s="7" t="inlineStr">
        <is>
          <t>Yes</t>
        </is>
      </c>
      <c r="M468" s="9" t="inlineStr">
        <is>
          <t>Date = page creation. Auto-collected 2026-10-14 (wikipedia); review.</t>
        </is>
      </c>
      <c r="N468" s="10" t="inlineStr">
        <is>
          <t>https://en.wikipedia.org/wiki/Tissamaharama_inscription_No._53</t>
        </is>
      </c>
    </row>
    <row r="469">
      <c r="A469" s="11" t="inlineStr">
        <is>
          <t>ALL-0468</t>
        </is>
      </c>
      <c r="B469" s="11" t="inlineStr">
        <is>
          <t>Web Articles</t>
        </is>
      </c>
      <c r="C469" s="12" t="inlineStr">
        <is>
          <t>2008</t>
        </is>
      </c>
      <c r="D469" s="11" t="inlineStr">
        <is>
          <t>2008-08-09</t>
        </is>
      </c>
      <c r="E469" s="13" t="inlineStr">
        <is>
          <t>Galle Trilingual Inscription</t>
        </is>
      </c>
      <c r="F469" s="13" t="inlineStr">
        <is>
          <t>Wikipedia contributors</t>
        </is>
      </c>
      <c r="G469" s="13" t="inlineStr">
        <is>
          <t>Wikipedia (en)</t>
        </is>
      </c>
      <c r="H469" s="11" t="inlineStr">
        <is>
          <t>Encyclopedia article</t>
        </is>
      </c>
      <c r="I469" s="11" t="inlineStr">
        <is>
          <t>English</t>
        </is>
      </c>
      <c r="J469" s="13" t="inlineStr">
        <is>
          <t>Inscriptions / கல்வெட்டு</t>
        </is>
      </c>
      <c r="K469" s="13" t="inlineStr">
        <is>
          <t>inscription</t>
        </is>
      </c>
      <c r="L469" s="11" t="inlineStr">
        <is>
          <t>Yes</t>
        </is>
      </c>
      <c r="M469" s="13" t="inlineStr">
        <is>
          <t>Date = page creation. Auto-collected 2026-10-15 (wikipedia); review.</t>
        </is>
      </c>
      <c r="N469" s="14" t="inlineStr">
        <is>
          <t>https://en.wikipedia.org/wiki/Galle_Trilingual_Inscription</t>
        </is>
      </c>
    </row>
    <row r="470">
      <c r="A470" s="7" t="inlineStr">
        <is>
          <t>ALL-0469</t>
        </is>
      </c>
      <c r="B470" s="7" t="inlineStr">
        <is>
          <t>Web Articles</t>
        </is>
      </c>
      <c r="C470" s="8" t="inlineStr">
        <is>
          <t>2008</t>
        </is>
      </c>
      <c r="D470" s="7" t="inlineStr">
        <is>
          <t>2008-08-09</t>
        </is>
      </c>
      <c r="E470" s="9" t="inlineStr">
        <is>
          <t>Prehistory of Sri Lanka</t>
        </is>
      </c>
      <c r="F470" s="9" t="inlineStr">
        <is>
          <t>Wikipedia contributors</t>
        </is>
      </c>
      <c r="G470" s="9" t="inlineStr">
        <is>
          <t>Wikipedia (en)</t>
        </is>
      </c>
      <c r="H470" s="7" t="inlineStr">
        <is>
          <t>Encyclopedia article</t>
        </is>
      </c>
      <c r="I470" s="7" t="inlineStr">
        <is>
          <t>English</t>
        </is>
      </c>
      <c r="J470" s="9" t="n"/>
      <c r="K470" s="9" t="n"/>
      <c r="L470" s="7" t="inlineStr">
        <is>
          <t>Yes</t>
        </is>
      </c>
      <c r="M470" s="9" t="inlineStr">
        <is>
          <t>Date = page creation. Auto-collected 2026-10-14 (wikipedia); review.</t>
        </is>
      </c>
      <c r="N470" s="10" t="inlineStr">
        <is>
          <t>https://en.wikipedia.org/wiki/Prehistory_of_Sri_Lanka</t>
        </is>
      </c>
    </row>
    <row r="471">
      <c r="A471" s="11" t="inlineStr">
        <is>
          <t>ALL-0470</t>
        </is>
      </c>
      <c r="B471" s="11" t="inlineStr">
        <is>
          <t>Web Articles</t>
        </is>
      </c>
      <c r="C471" s="12" t="inlineStr">
        <is>
          <t>2008</t>
        </is>
      </c>
      <c r="D471" s="11" t="inlineStr">
        <is>
          <t>2008-10-12</t>
        </is>
      </c>
      <c r="E471" s="13" t="inlineStr">
        <is>
          <t>கா. இந்திரபாலா</t>
        </is>
      </c>
      <c r="F471" s="13" t="inlineStr">
        <is>
          <t>Wikipedia contributors</t>
        </is>
      </c>
      <c r="G471" s="13" t="inlineStr">
        <is>
          <t>Wikipedia (ta)</t>
        </is>
      </c>
      <c r="H471" s="11" t="inlineStr">
        <is>
          <t>Encyclopedia article</t>
        </is>
      </c>
      <c r="I471" s="11" t="inlineStr">
        <is>
          <t>Tamil</t>
        </is>
      </c>
      <c r="J471" s="13" t="n"/>
      <c r="K471" s="13" t="n"/>
      <c r="L471" s="11" t="inlineStr">
        <is>
          <t>Yes</t>
        </is>
      </c>
      <c r="M471" s="13" t="inlineStr">
        <is>
          <t>Date = page creation. Auto-collected 2026-10-14 (wikipedia); review.</t>
        </is>
      </c>
      <c r="N471" s="14" t="inlineStr">
        <is>
          <t>https://ta.wikipedia.org/wiki/%E0%AE%95%E0%AE%BE._%E0%AE%87%E0%AE%A8%E0%AF%8D%E0%AE%A4%E0%AE%BF%E0%AE%B0%E0%AE%AA%E0%AE%BE%E0%AE%B2%E0%AE%BE</t>
        </is>
      </c>
    </row>
    <row r="472">
      <c r="A472" s="7" t="inlineStr">
        <is>
          <t>ALL-0471</t>
        </is>
      </c>
      <c r="B472" s="7" t="inlineStr">
        <is>
          <t>Web Articles</t>
        </is>
      </c>
      <c r="C472" s="8" t="inlineStr">
        <is>
          <t>2008</t>
        </is>
      </c>
      <c r="D472" s="7" t="inlineStr">
        <is>
          <t>2008-12-27</t>
        </is>
      </c>
      <c r="E472" s="9" t="inlineStr">
        <is>
          <t>Kandarodai</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2026-10-14 (wikipedia); review.</t>
        </is>
      </c>
      <c r="N472" s="10" t="inlineStr">
        <is>
          <t>https://en.wikipedia.org/wiki/Kandarodai</t>
        </is>
      </c>
    </row>
    <row r="473">
      <c r="A473" s="11" t="inlineStr">
        <is>
          <t>ALL-0472</t>
        </is>
      </c>
      <c r="B473" s="11" t="inlineStr">
        <is>
          <t>Web Articles</t>
        </is>
      </c>
      <c r="C473" s="12" t="inlineStr">
        <is>
          <t>2007</t>
        </is>
      </c>
      <c r="D473" s="11" t="inlineStr">
        <is>
          <t>2007-02-02</t>
        </is>
      </c>
      <c r="E473" s="13" t="inlineStr">
        <is>
          <t>Sri Lankan Tamil literature</t>
        </is>
      </c>
      <c r="F473" s="13" t="inlineStr">
        <is>
          <t>Wikipedia contributors</t>
        </is>
      </c>
      <c r="G473" s="13" t="inlineStr">
        <is>
          <t>Wikipedia (en)</t>
        </is>
      </c>
      <c r="H473" s="11" t="inlineStr">
        <is>
          <t>Encyclopedia article</t>
        </is>
      </c>
      <c r="I473" s="11" t="inlineStr">
        <is>
          <t>English</t>
        </is>
      </c>
      <c r="J473" s="13" t="n"/>
      <c r="K473" s="13" t="n"/>
      <c r="L473" s="11" t="inlineStr">
        <is>
          <t>Yes</t>
        </is>
      </c>
      <c r="M473" s="13" t="inlineStr">
        <is>
          <t>Date = page creation. Auto-collected 2026-10-15 (wikipedia); review.</t>
        </is>
      </c>
      <c r="N473" s="14" t="inlineStr">
        <is>
          <t>https://en.wikipedia.org/wiki/Sri_Lankan_Tamil_literature</t>
        </is>
      </c>
    </row>
    <row r="474">
      <c r="A474" s="7" t="inlineStr">
        <is>
          <t>ALL-0473</t>
        </is>
      </c>
      <c r="B474" s="7" t="inlineStr">
        <is>
          <t>Web Articles</t>
        </is>
      </c>
      <c r="C474" s="8" t="inlineStr">
        <is>
          <t>2007</t>
        </is>
      </c>
      <c r="D474" s="7" t="inlineStr">
        <is>
          <t>2007-12-04</t>
        </is>
      </c>
      <c r="E474" s="9" t="inlineStr">
        <is>
          <t>Kotagama inscription</t>
        </is>
      </c>
      <c r="F474" s="9" t="inlineStr">
        <is>
          <t>Wikipedia contributors</t>
        </is>
      </c>
      <c r="G474" s="9" t="inlineStr">
        <is>
          <t>Wikipedia (en)</t>
        </is>
      </c>
      <c r="H474" s="7" t="inlineStr">
        <is>
          <t>Encyclopedia article</t>
        </is>
      </c>
      <c r="I474" s="7" t="inlineStr">
        <is>
          <t>English</t>
        </is>
      </c>
      <c r="J474" s="9" t="inlineStr">
        <is>
          <t>Inscriptions / கல்வெட்டு</t>
        </is>
      </c>
      <c r="K474" s="9" t="inlineStr">
        <is>
          <t>inscription</t>
        </is>
      </c>
      <c r="L474" s="7" t="inlineStr">
        <is>
          <t>Yes</t>
        </is>
      </c>
      <c r="M474" s="9" t="inlineStr">
        <is>
          <t>Date = page creation. Auto-collected 2026-10-16 (wikipedia); review.</t>
        </is>
      </c>
      <c r="N474" s="10" t="inlineStr">
        <is>
          <t>https://en.wikipedia.org/wiki/Kotagama_inscription</t>
        </is>
      </c>
    </row>
    <row r="475">
      <c r="A475" s="11" t="inlineStr">
        <is>
          <t>ALL-0474</t>
        </is>
      </c>
      <c r="B475" s="11" t="inlineStr">
        <is>
          <t>Web Articles</t>
        </is>
      </c>
      <c r="C475" s="12" t="inlineStr">
        <is>
          <t>2007</t>
        </is>
      </c>
      <c r="D475" s="11" t="inlineStr">
        <is>
          <t>2007-12-07</t>
        </is>
      </c>
      <c r="E475" s="13" t="inlineStr">
        <is>
          <t>தமிழி</t>
        </is>
      </c>
      <c r="F475" s="13" t="inlineStr">
        <is>
          <t>Wikipedia contributors</t>
        </is>
      </c>
      <c r="G475" s="13" t="inlineStr">
        <is>
          <t>Wikipedia (ta)</t>
        </is>
      </c>
      <c r="H475" s="11" t="inlineStr">
        <is>
          <t>Encyclopedia article</t>
        </is>
      </c>
      <c r="I475" s="11" t="inlineStr">
        <is>
          <t>Tamil</t>
        </is>
      </c>
      <c r="J475" s="13" t="n"/>
      <c r="K475" s="13" t="n"/>
      <c r="L475" s="11" t="inlineStr">
        <is>
          <t>Yes</t>
        </is>
      </c>
      <c r="M475" s="13" t="inlineStr">
        <is>
          <t>Date = page creation. Auto-collected 2026-10-14 (wikipedia); review.</t>
        </is>
      </c>
      <c r="N475" s="14" t="inlineStr">
        <is>
          <t>https://ta.wikipedia.org/wiki/%E0%AE%A4%E0%AE%AE%E0%AE%BF%E0%AE%B4%E0%AE%BF</t>
        </is>
      </c>
    </row>
    <row r="476">
      <c r="A476" s="7" t="inlineStr">
        <is>
          <t>ALL-0475</t>
        </is>
      </c>
      <c r="B476" s="7" t="inlineStr">
        <is>
          <t>Web Articles</t>
        </is>
      </c>
      <c r="C476" s="8" t="inlineStr">
        <is>
          <t>2007</t>
        </is>
      </c>
      <c r="D476" s="7" t="inlineStr">
        <is>
          <t>2007-12-26</t>
        </is>
      </c>
      <c r="E476" s="9" t="inlineStr">
        <is>
          <t>Naga people (Lanka)</t>
        </is>
      </c>
      <c r="F476" s="9" t="inlineStr">
        <is>
          <t>Wikipedia contributors</t>
        </is>
      </c>
      <c r="G476" s="9" t="inlineStr">
        <is>
          <t>Wikipedia (en)</t>
        </is>
      </c>
      <c r="H476" s="7" t="inlineStr">
        <is>
          <t>Encyclopedia article</t>
        </is>
      </c>
      <c r="I476" s="7" t="inlineStr">
        <is>
          <t>English</t>
        </is>
      </c>
      <c r="J476" s="9" t="n"/>
      <c r="K476" s="9" t="n"/>
      <c r="L476" s="7" t="inlineStr">
        <is>
          <t>Yes</t>
        </is>
      </c>
      <c r="M476" s="9" t="inlineStr">
        <is>
          <t>Date = page creation. Auto-collected 2026-10-14 (wikipedia); review.</t>
        </is>
      </c>
      <c r="N476" s="10" t="inlineStr">
        <is>
          <t>https://en.wikipedia.org/wiki/Naga_people_%28Lanka%29</t>
        </is>
      </c>
    </row>
    <row r="477">
      <c r="A477" s="11" t="inlineStr">
        <is>
          <t>ALL-0476</t>
        </is>
      </c>
      <c r="B477" s="11" t="inlineStr">
        <is>
          <t>Web Articles</t>
        </is>
      </c>
      <c r="C477" s="12" t="inlineStr">
        <is>
          <t>2006</t>
        </is>
      </c>
      <c r="D477" s="11" t="inlineStr">
        <is>
          <t>2006-02-15</t>
        </is>
      </c>
      <c r="E477" s="13" t="inlineStr">
        <is>
          <t>Jaffna kingdom</t>
        </is>
      </c>
      <c r="F477" s="13" t="inlineStr">
        <is>
          <t>Wikipedia contributors</t>
        </is>
      </c>
      <c r="G477" s="13" t="inlineStr">
        <is>
          <t>Wikipedia (en)</t>
        </is>
      </c>
      <c r="H477" s="11" t="inlineStr">
        <is>
          <t>Encyclopedia article</t>
        </is>
      </c>
      <c r="I477" s="11" t="inlineStr">
        <is>
          <t>English</t>
        </is>
      </c>
      <c r="J477" s="13" t="n"/>
      <c r="K477" s="13" t="n"/>
      <c r="L477" s="11" t="inlineStr">
        <is>
          <t>Yes</t>
        </is>
      </c>
      <c r="M477" s="13" t="inlineStr">
        <is>
          <t>Date = page creation. Auto-collected 2026-10-15 (wikipedia); review.</t>
        </is>
      </c>
      <c r="N477" s="14" t="inlineStr">
        <is>
          <t>https://en.wikipedia.org/wiki/Jaffna_kingdom</t>
        </is>
      </c>
    </row>
    <row r="478">
      <c r="A478" s="7" t="inlineStr">
        <is>
          <t>ALL-0477</t>
        </is>
      </c>
      <c r="B478" s="7" t="inlineStr">
        <is>
          <t>Web Articles</t>
        </is>
      </c>
      <c r="C478" s="8" t="inlineStr">
        <is>
          <t>2006</t>
        </is>
      </c>
      <c r="D478" s="7" t="inlineStr">
        <is>
          <t>2006-02-16</t>
        </is>
      </c>
      <c r="E478" s="9" t="inlineStr">
        <is>
          <t>Sri Lankan Tamils</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2026-10-15 (wikipedia); review.</t>
        </is>
      </c>
      <c r="N478" s="10" t="inlineStr">
        <is>
          <t>https://en.wikipedia.org/wiki/Sri_Lankan_Tamils</t>
        </is>
      </c>
    </row>
    <row r="479">
      <c r="A479" s="11" t="inlineStr">
        <is>
          <t>ALL-0478</t>
        </is>
      </c>
      <c r="B479" s="11" t="inlineStr">
        <is>
          <t>Web Articles</t>
        </is>
      </c>
      <c r="C479" s="12" t="inlineStr">
        <is>
          <t>2006</t>
        </is>
      </c>
      <c r="D479" s="11" t="inlineStr">
        <is>
          <t>2006-04-29</t>
        </is>
      </c>
      <c r="E479" s="13" t="inlineStr">
        <is>
          <t>பொ. பூலோகசிங்கம்</t>
        </is>
      </c>
      <c r="F479" s="13" t="inlineStr">
        <is>
          <t>Wikipedia contributors</t>
        </is>
      </c>
      <c r="G479" s="13" t="inlineStr">
        <is>
          <t>Wikipedia (ta)</t>
        </is>
      </c>
      <c r="H479" s="11" t="inlineStr">
        <is>
          <t>Encyclopedia article</t>
        </is>
      </c>
      <c r="I479" s="11" t="inlineStr">
        <is>
          <t>Tamil</t>
        </is>
      </c>
      <c r="J479" s="13" t="n"/>
      <c r="K479" s="13" t="n"/>
      <c r="L479" s="11" t="inlineStr">
        <is>
          <t>Yes</t>
        </is>
      </c>
      <c r="M479" s="13" t="inlineStr">
        <is>
          <t>Date = page creation. Auto-collected 2026-10-14 (wikipedia); review.</t>
        </is>
      </c>
      <c r="N479" s="14" t="inlineStr">
        <is>
          <t>https://ta.wikipedia.org/wiki/%E0%AE%AA%E0%AF%8A._%E0%AE%AA%E0%AF%82%E0%AE%B2%E0%AF%8B%E0%AE%95%E0%AE%9A%E0%AE%BF%E0%AE%99%E0%AF%8D%E0%AE%95%E0%AE%AE%E0%AF%8D</t>
        </is>
      </c>
    </row>
    <row r="480">
      <c r="A480" s="7" t="inlineStr">
        <is>
          <t>ALL-0479</t>
        </is>
      </c>
      <c r="B480" s="7" t="inlineStr">
        <is>
          <t>Web Articles</t>
        </is>
      </c>
      <c r="C480" s="8" t="inlineStr">
        <is>
          <t>2006</t>
        </is>
      </c>
      <c r="D480" s="7" t="inlineStr">
        <is>
          <t>2006-08-30</t>
        </is>
      </c>
      <c r="E480" s="9" t="inlineStr">
        <is>
          <t>Velanai</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2026-10-14 (wikipedia); review.</t>
        </is>
      </c>
      <c r="N480" s="10" t="inlineStr">
        <is>
          <t>https://en.wikipedia.org/wiki/Velanai</t>
        </is>
      </c>
    </row>
    <row r="481">
      <c r="A481" s="11" t="inlineStr">
        <is>
          <t>ALL-0480</t>
        </is>
      </c>
      <c r="B481" s="11" t="inlineStr">
        <is>
          <t>Web Articles</t>
        </is>
      </c>
      <c r="C481" s="12" t="inlineStr">
        <is>
          <t>2006</t>
        </is>
      </c>
      <c r="D481" s="11" t="inlineStr">
        <is>
          <t>2006-10-24</t>
        </is>
      </c>
      <c r="E481" s="13" t="inlineStr">
        <is>
          <t>நாடுகள் அடிப்படையில் தொல்லியல் களங்களின் பட்டியல்</t>
        </is>
      </c>
      <c r="F481" s="13" t="inlineStr">
        <is>
          <t>Wikipedia contributors</t>
        </is>
      </c>
      <c r="G481" s="13" t="inlineStr">
        <is>
          <t>Wikipedia (ta)</t>
        </is>
      </c>
      <c r="H481" s="11" t="inlineStr">
        <is>
          <t>Encyclopedia article</t>
        </is>
      </c>
      <c r="I481" s="11" t="inlineStr">
        <is>
          <t>Tamil</t>
        </is>
      </c>
      <c r="J481" s="13" t="inlineStr">
        <is>
          <t>Archaeology / தொல்லியல்</t>
        </is>
      </c>
      <c r="K481" s="13" t="inlineStr">
        <is>
          <t>தொல்லியல்</t>
        </is>
      </c>
      <c r="L481" s="11" t="inlineStr">
        <is>
          <t>Yes</t>
        </is>
      </c>
      <c r="M481" s="13" t="inlineStr">
        <is>
          <t>Date = page creation. Auto-collected 2026-10-14 (wikipedia); review.</t>
        </is>
      </c>
      <c r="N481"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2">
      <c r="A482" s="7" t="inlineStr">
        <is>
          <t>ALL-0481</t>
        </is>
      </c>
      <c r="B482" s="7" t="inlineStr">
        <is>
          <t>Web Articles</t>
        </is>
      </c>
      <c r="C482" s="8" t="inlineStr">
        <is>
          <t>2006</t>
        </is>
      </c>
      <c r="D482" s="7" t="inlineStr">
        <is>
          <t>2006-11-07</t>
        </is>
      </c>
      <c r="E482" s="9" t="inlineStr">
        <is>
          <t>Tamil-Brahmi</t>
        </is>
      </c>
      <c r="F482" s="9" t="inlineStr">
        <is>
          <t>Wikipedia contributors</t>
        </is>
      </c>
      <c r="G482" s="9" t="inlineStr">
        <is>
          <t>Wikipedia (en)</t>
        </is>
      </c>
      <c r="H482" s="7" t="inlineStr">
        <is>
          <t>Encyclopedia article</t>
        </is>
      </c>
      <c r="I482" s="7" t="inlineStr">
        <is>
          <t>English</t>
        </is>
      </c>
      <c r="J482" s="9" t="inlineStr">
        <is>
          <t>Brahmi / பிராமி</t>
        </is>
      </c>
      <c r="K482" s="9" t="inlineStr">
        <is>
          <t>brahmi</t>
        </is>
      </c>
      <c r="L482" s="7" t="inlineStr">
        <is>
          <t>Yes</t>
        </is>
      </c>
      <c r="M482" s="9" t="inlineStr">
        <is>
          <t>Date = page creation. Auto-collected 2026-10-14 (wikipedia); review.</t>
        </is>
      </c>
      <c r="N482" s="10" t="inlineStr">
        <is>
          <t>https://en.wikipedia.org/wiki/Tamil-Brahmi</t>
        </is>
      </c>
    </row>
    <row r="483">
      <c r="A483" s="11" t="inlineStr">
        <is>
          <t>ALL-0482</t>
        </is>
      </c>
      <c r="B483" s="11" t="inlineStr">
        <is>
          <t>Web Articles</t>
        </is>
      </c>
      <c r="C483" s="12" t="inlineStr">
        <is>
          <t>2005</t>
        </is>
      </c>
      <c r="D483" s="11" t="inlineStr">
        <is>
          <t>2005-01-07</t>
        </is>
      </c>
      <c r="E483" s="13" t="inlineStr">
        <is>
          <t>Batticaloa</t>
        </is>
      </c>
      <c r="F483" s="13" t="inlineStr">
        <is>
          <t>Wikipedia contributors</t>
        </is>
      </c>
      <c r="G483" s="13" t="inlineStr">
        <is>
          <t>Wikipedia (en)</t>
        </is>
      </c>
      <c r="H483" s="11" t="inlineStr">
        <is>
          <t>Encyclopedia article</t>
        </is>
      </c>
      <c r="I483" s="11" t="inlineStr">
        <is>
          <t>English</t>
        </is>
      </c>
      <c r="J483" s="13" t="n"/>
      <c r="K483" s="13" t="n"/>
      <c r="L483" s="11" t="inlineStr">
        <is>
          <t>Yes</t>
        </is>
      </c>
      <c r="M483" s="13" t="inlineStr">
        <is>
          <t>Date = page creation. Auto-collected 2026-10-16 (wikipedia); review.</t>
        </is>
      </c>
      <c r="N483" s="14" t="inlineStr">
        <is>
          <t>https://en.wikipedia.org/wiki/Batticaloa</t>
        </is>
      </c>
    </row>
    <row r="484">
      <c r="A484" s="7" t="inlineStr">
        <is>
          <t>ALL-0483</t>
        </is>
      </c>
      <c r="B484" s="7" t="inlineStr">
        <is>
          <t>Web Articles</t>
        </is>
      </c>
      <c r="C484" s="8" t="inlineStr">
        <is>
          <t>2005</t>
        </is>
      </c>
      <c r="D484" s="7" t="inlineStr">
        <is>
          <t>2005-09-24</t>
        </is>
      </c>
      <c r="E484" s="9" t="inlineStr">
        <is>
          <t>Hinduism in Sri Lanka</t>
        </is>
      </c>
      <c r="F484" s="9" t="inlineStr">
        <is>
          <t>Wikipedia contributors</t>
        </is>
      </c>
      <c r="G484" s="9" t="inlineStr">
        <is>
          <t>Wikipedia (en)</t>
        </is>
      </c>
      <c r="H484" s="7" t="inlineStr">
        <is>
          <t>Encyclopedia article</t>
        </is>
      </c>
      <c r="I484" s="7" t="inlineStr">
        <is>
          <t>English</t>
        </is>
      </c>
      <c r="J484" s="9" t="n"/>
      <c r="K484" s="9" t="n"/>
      <c r="L484" s="7" t="inlineStr">
        <is>
          <t>Yes</t>
        </is>
      </c>
      <c r="M484" s="9" t="inlineStr">
        <is>
          <t>Date = page creation. Auto-collected 2026-10-21 (wikipedia); review.</t>
        </is>
      </c>
      <c r="N484" s="10" t="inlineStr">
        <is>
          <t>https://en.wikipedia.org/wiki/Hinduism_in_Sri_Lanka</t>
        </is>
      </c>
    </row>
    <row r="485">
      <c r="A485" s="11" t="inlineStr">
        <is>
          <t>ALL-0484</t>
        </is>
      </c>
      <c r="B485" s="11" t="inlineStr">
        <is>
          <t>Web Articles</t>
        </is>
      </c>
      <c r="C485" s="12" t="n"/>
      <c r="D485" s="11" t="n"/>
      <c r="E485" s="13" t="inlineStr">
        <is>
          <t>'Kantarodai Civilization of Ancient Jaffna' - Sangam</t>
        </is>
      </c>
      <c r="F485" s="13" t="n"/>
      <c r="G485" s="13" t="inlineStr">
        <is>
          <t>sangam.org</t>
        </is>
      </c>
      <c r="H485" s="11" t="inlineStr">
        <is>
          <t>Web page</t>
        </is>
      </c>
      <c r="I485" s="11" t="inlineStr">
        <is>
          <t>English</t>
        </is>
      </c>
      <c r="J485" s="13" t="n"/>
      <c r="K485" s="13" t="n"/>
      <c r="L485" s="11" t="inlineStr">
        <is>
          <t>Unknown</t>
        </is>
      </c>
      <c r="M485" s="13" t="inlineStr">
        <is>
          <t>Web search: Kantarodai archaeology. Auto-collected 2026-10-16 (ddg); review.</t>
        </is>
      </c>
      <c r="N485" s="14" t="inlineStr">
        <is>
          <t>https://sangam.org/kantarodai-civilization-ancient-jaffna/</t>
        </is>
      </c>
    </row>
    <row r="486">
      <c r="A486" s="7" t="inlineStr">
        <is>
          <t>ALL-0485</t>
        </is>
      </c>
      <c r="B486" s="7" t="inlineStr">
        <is>
          <t>Web Articles</t>
        </is>
      </c>
      <c r="C486" s="8" t="n"/>
      <c r="D486" s="7" t="n"/>
      <c r="E486" s="9" t="inlineStr">
        <is>
          <t>(PDF) Contested Histories, Multi-Religious Space and ... - ResearchGate</t>
        </is>
      </c>
      <c r="F486" s="9" t="n"/>
      <c r="G486" s="9" t="inlineStr">
        <is>
          <t>researchgate.net</t>
        </is>
      </c>
      <c r="H486" s="7" t="inlineStr">
        <is>
          <t>Web page</t>
        </is>
      </c>
      <c r="I486" s="7" t="inlineStr">
        <is>
          <t>English</t>
        </is>
      </c>
      <c r="J486" s="9" t="n"/>
      <c r="K486" s="9" t="n"/>
      <c r="L486" s="7" t="inlineStr">
        <is>
          <t>Unknown</t>
        </is>
      </c>
      <c r="M486" s="9" t="inlineStr">
        <is>
          <t>Web search: Kantarodai archaeology. Auto-collected 2026-10-15 (ddg); review.</t>
        </is>
      </c>
      <c r="N486" s="10" t="inlineStr">
        <is>
          <t>https://www.researchgate.net/publication/335939791_Contested_Histories_Multi-Religious_Space_and_Conflict_A_Case_Study_of_Kantarodai_in_Northern_Sri_Lanka</t>
        </is>
      </c>
    </row>
    <row r="487">
      <c r="A487" s="11" t="inlineStr">
        <is>
          <t>ALL-0486</t>
        </is>
      </c>
      <c r="B487" s="11" t="inlineStr">
        <is>
          <t>Web Articles</t>
        </is>
      </c>
      <c r="C487" s="12" t="n"/>
      <c r="D487" s="11" t="n"/>
      <c r="E487" s="13" t="inlineStr">
        <is>
          <t>(PDF) Contested Histories, Multi-Religious Space and Conflict: A Case ...</t>
        </is>
      </c>
      <c r="F487" s="13" t="n"/>
      <c r="G487" s="13" t="inlineStr">
        <is>
          <t>academia.edu</t>
        </is>
      </c>
      <c r="H487" s="11" t="inlineStr">
        <is>
          <t>Web page</t>
        </is>
      </c>
      <c r="I487" s="11" t="inlineStr">
        <is>
          <t>English</t>
        </is>
      </c>
      <c r="J487" s="13" t="n"/>
      <c r="K487" s="13" t="n"/>
      <c r="L487" s="11" t="inlineStr">
        <is>
          <t>Unknown</t>
        </is>
      </c>
      <c r="M487" s="13" t="inlineStr">
        <is>
          <t>Web search: Kantarodai archaeology. Auto-collected 2026-10-15 (ddg); review.</t>
        </is>
      </c>
      <c r="N487" s="14" t="inlineStr">
        <is>
          <t>https://www.academia.edu/83422032/Contested_Histories_Multi_Religious_Space_and_Conflict_A_Case_Study_of_Kantarodai_in_Northern_Sri_Lanka</t>
        </is>
      </c>
    </row>
    <row r="488">
      <c r="A488" s="7" t="inlineStr">
        <is>
          <t>ALL-0487</t>
        </is>
      </c>
      <c r="B488" s="7" t="inlineStr">
        <is>
          <t>Web Articles</t>
        </is>
      </c>
      <c r="C488" s="8" t="n"/>
      <c r="D488" s="7" t="n"/>
      <c r="E488" s="9" t="inlineStr">
        <is>
          <t>(PDF) Lifeways of Early Kantharodai, Sri Lanka - ResearchGate</t>
        </is>
      </c>
      <c r="F488" s="9" t="n"/>
      <c r="G488" s="9" t="inlineStr">
        <is>
          <t>researchgate.net</t>
        </is>
      </c>
      <c r="H488" s="7" t="inlineStr">
        <is>
          <t>Web page</t>
        </is>
      </c>
      <c r="I488" s="7" t="inlineStr">
        <is>
          <t>English</t>
        </is>
      </c>
      <c r="J488" s="9" t="n"/>
      <c r="K488" s="9" t="n"/>
      <c r="L488" s="7" t="inlineStr">
        <is>
          <t>Unknown</t>
        </is>
      </c>
      <c r="M488" s="9" t="inlineStr">
        <is>
          <t>Web search: Kantarodai archaeology. Auto-collected 2026-10-15 (ddg); review.</t>
        </is>
      </c>
      <c r="N488" s="10" t="inlineStr">
        <is>
          <t>https://www.researchgate.net/publication/365603730_Lifeways_of_Early_Kantharodai_Sri_Lanka</t>
        </is>
      </c>
    </row>
    <row r="489">
      <c r="A489" s="11" t="inlineStr">
        <is>
          <t>ALL-0488</t>
        </is>
      </c>
      <c r="B489" s="11" t="inlineStr">
        <is>
          <t>Web Articles</t>
        </is>
      </c>
      <c r="C489" s="12" t="n"/>
      <c r="D489" s="11" t="n"/>
      <c r="E489" s="13" t="inlineStr">
        <is>
          <t>(PDF) Lifeways of Early Kantharodai, Sri Lanka | Academia</t>
        </is>
      </c>
      <c r="F489" s="13" t="n"/>
      <c r="G489" s="13" t="inlineStr">
        <is>
          <t>academia.edu</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https://www.academia.edu/123922554/Lifeways_of_Early_Kantharodai_Sri_Lanka</t>
        </is>
      </c>
    </row>
    <row r="490">
      <c r="A490" s="7" t="inlineStr">
        <is>
          <t>ALL-0489</t>
        </is>
      </c>
      <c r="B490" s="7" t="inlineStr">
        <is>
          <t>Web Articles</t>
        </is>
      </c>
      <c r="C490" s="8" t="n"/>
      <c r="D490" s="7" t="n"/>
      <c r="E490" s="9" t="inlineStr">
        <is>
          <t>Ancient Buddhist Shrines in Batticaloa and Ampara Districts</t>
        </is>
      </c>
      <c r="F490" s="9" t="n"/>
      <c r="G490" s="9" t="inlineStr">
        <is>
          <t>AmazingLanka.com</t>
        </is>
      </c>
      <c r="H490" s="7" t="inlineStr">
        <is>
          <t>Web article</t>
        </is>
      </c>
      <c r="I490" s="7" t="inlineStr">
        <is>
          <t>English</t>
        </is>
      </c>
      <c r="J490" s="9" t="inlineStr">
        <is>
          <t>Archaeology / தொல்லியல்</t>
        </is>
      </c>
      <c r="K490" s="9" t="inlineStr">
        <is>
          <t>archaeology; East</t>
        </is>
      </c>
      <c r="L490" s="7" t="inlineStr">
        <is>
          <t>Unknown</t>
        </is>
      </c>
      <c r="M490" s="9" t="n"/>
      <c r="N490" s="10" t="inlineStr">
        <is>
          <t>https://amazinglanka.com/wp/buddhist-shrines-in-batticaloa-and-ampara/</t>
        </is>
      </c>
    </row>
    <row r="491">
      <c r="A491" s="11" t="inlineStr">
        <is>
          <t>ALL-0490</t>
        </is>
      </c>
      <c r="B491" s="11" t="inlineStr">
        <is>
          <t>Web Articles</t>
        </is>
      </c>
      <c r="C491" s="12" t="n"/>
      <c r="D491" s="11" t="n"/>
      <c r="E491" s="13" t="inlineStr">
        <is>
          <t>Ancient Coins - Archaeology</t>
        </is>
      </c>
      <c r="F491" s="13" t="n"/>
      <c r="G491" s="13" t="inlineStr">
        <is>
          <t>archaeology.gov.lk</t>
        </is>
      </c>
      <c r="H491" s="11" t="inlineStr">
        <is>
          <t>Web page</t>
        </is>
      </c>
      <c r="I491" s="11" t="inlineStr">
        <is>
          <t>English</t>
        </is>
      </c>
      <c r="J491" s="13" t="inlineStr">
        <is>
          <t>Archaeology / தொல்லியல்; Coins / நாணயம்</t>
        </is>
      </c>
      <c r="K491" s="13" t="inlineStr">
        <is>
          <t>archaeology; ancient coins</t>
        </is>
      </c>
      <c r="L491" s="11" t="inlineStr">
        <is>
          <t>Unknown</t>
        </is>
      </c>
      <c r="M491" s="13" t="inlineStr">
        <is>
          <t>Web search: Tamil coins Sri Lanka archaeology. Auto-collected 2026-10-15 (ddg); review.</t>
        </is>
      </c>
      <c r="N491" s="14" t="inlineStr">
        <is>
          <t>https://archaeology.gov.lk/index.php/ancient-coins</t>
        </is>
      </c>
    </row>
    <row r="492">
      <c r="A492" s="7" t="inlineStr">
        <is>
          <t>ALL-0491</t>
        </is>
      </c>
      <c r="B492" s="7" t="inlineStr">
        <is>
          <t>Web Articles</t>
        </is>
      </c>
      <c r="C492" s="8" t="n"/>
      <c r="D492" s="7" t="n"/>
      <c r="E492" s="9" t="inlineStr">
        <is>
          <t>Ancient Coins and Trade Evidence | Lanka Websites</t>
        </is>
      </c>
      <c r="F492" s="9" t="n"/>
      <c r="G492" s="9" t="inlineStr">
        <is>
          <t>lankawebsites.com</t>
        </is>
      </c>
      <c r="H492" s="7" t="inlineStr">
        <is>
          <t>Web page</t>
        </is>
      </c>
      <c r="I492" s="7" t="inlineStr">
        <is>
          <t>English</t>
        </is>
      </c>
      <c r="J492" s="9" t="inlineStr">
        <is>
          <t>Coins / நாணயம்</t>
        </is>
      </c>
      <c r="K492" s="9" t="inlineStr">
        <is>
          <t>ancient coins</t>
        </is>
      </c>
      <c r="L492" s="7" t="inlineStr">
        <is>
          <t>Unknown</t>
        </is>
      </c>
      <c r="M492" s="9" t="inlineStr">
        <is>
          <t>Web search: Tamil coins Sri Lanka archaeology. Auto-collected 2026-10-15 (ddg); review.</t>
        </is>
      </c>
      <c r="N492" s="10" t="inlineStr">
        <is>
          <t>https://lankawebsites.com/blog/ancient-civilization-archaeology/ancient-coins-and-trade-evidence</t>
        </is>
      </c>
    </row>
    <row r="493">
      <c r="A493" s="11" t="inlineStr">
        <is>
          <t>ALL-0492</t>
        </is>
      </c>
      <c r="B493" s="11" t="inlineStr">
        <is>
          <t>Web Articles</t>
        </is>
      </c>
      <c r="C493" s="12" t="n"/>
      <c r="D493" s="11" t="n"/>
      <c r="E493" s="13" t="inlineStr">
        <is>
          <t>Ancient Kadurugoda Viharaya — Grokipedia</t>
        </is>
      </c>
      <c r="F493" s="13" t="n"/>
      <c r="G493" s="13" t="inlineStr">
        <is>
          <t>grokipedia.com</t>
        </is>
      </c>
      <c r="H493" s="11" t="inlineStr">
        <is>
          <t>Web page</t>
        </is>
      </c>
      <c r="I493" s="11" t="inlineStr">
        <is>
          <t>English</t>
        </is>
      </c>
      <c r="J493" s="13" t="n"/>
      <c r="K493" s="13" t="n"/>
      <c r="L493" s="11" t="inlineStr">
        <is>
          <t>Unknown</t>
        </is>
      </c>
      <c r="M493" s="13" t="inlineStr">
        <is>
          <t>Web search: Kantarodai archaeology. Auto-collected 2026-10-19 (ddg); review.</t>
        </is>
      </c>
      <c r="N493" s="14" t="inlineStr">
        <is>
          <t>https://grokipedia.com/page/ancient_kadurugoda_viharaya</t>
        </is>
      </c>
    </row>
    <row r="494">
      <c r="A494" s="7" t="inlineStr">
        <is>
          <t>ALL-0493</t>
        </is>
      </c>
      <c r="B494" s="7" t="inlineStr">
        <is>
          <t>Web Articles</t>
        </is>
      </c>
      <c r="C494" s="8" t="n"/>
      <c r="D494" s="7" t="n"/>
      <c r="E494" s="9" t="inlineStr">
        <is>
          <t>Ancient Pandyan coins unearthed in Mannar | Tamil Guardian</t>
        </is>
      </c>
      <c r="F494" s="9" t="n"/>
      <c r="G494" s="9" t="inlineStr">
        <is>
          <t>tamilguardian.com</t>
        </is>
      </c>
      <c r="H494" s="7" t="inlineStr">
        <is>
          <t>Web page</t>
        </is>
      </c>
      <c r="I494" s="7" t="inlineStr">
        <is>
          <t>English</t>
        </is>
      </c>
      <c r="J494" s="9" t="inlineStr">
        <is>
          <t>Coins / நாணயம்</t>
        </is>
      </c>
      <c r="K494" s="9" t="n"/>
      <c r="L494" s="7" t="inlineStr">
        <is>
          <t>Unknown</t>
        </is>
      </c>
      <c r="M494" s="9" t="inlineStr">
        <is>
          <t>Web search: Tamil coins Sri Lanka archaeology. Auto-collected 2026-10-15 (ddg); review.</t>
        </is>
      </c>
      <c r="N494" s="10" t="inlineStr">
        <is>
          <t>https://www.tamilguardian.com/content/ancient-pandyan-coins-unearthed-mannar</t>
        </is>
      </c>
    </row>
    <row r="495">
      <c r="A495" s="11" t="inlineStr">
        <is>
          <t>ALL-0494</t>
        </is>
      </c>
      <c r="B495" s="11" t="inlineStr">
        <is>
          <t>Web Articles</t>
        </is>
      </c>
      <c r="C495" s="12" t="n"/>
      <c r="D495" s="11" t="n"/>
      <c r="E495" s="13" t="inlineStr">
        <is>
          <t>Archaeological Museum of Jaffna - Tales of Ceylon</t>
        </is>
      </c>
      <c r="F495" s="13" t="n"/>
      <c r="G495" s="13" t="inlineStr">
        <is>
          <t>talesofceylon.com</t>
        </is>
      </c>
      <c r="H495" s="11" t="inlineStr">
        <is>
          <t>Web page</t>
        </is>
      </c>
      <c r="I495" s="11" t="inlineStr">
        <is>
          <t>English</t>
        </is>
      </c>
      <c r="J495" s="13" t="inlineStr">
        <is>
          <t>Archaeology / தொல்லியல்</t>
        </is>
      </c>
      <c r="K495" s="13" t="inlineStr">
        <is>
          <t>archaeological</t>
        </is>
      </c>
      <c r="L495" s="11" t="inlineStr">
        <is>
          <t>Unknown</t>
        </is>
      </c>
      <c r="M495" s="13" t="inlineStr">
        <is>
          <t>Web search: Jaffna archaeology. Auto-collected 2026-10-22 (ddg); review.</t>
        </is>
      </c>
      <c r="N495" s="14" t="inlineStr">
        <is>
          <t>https://www.talesofceylon.com/destinations/jaffna/attractions-in-jaffna/archaeological-museum-of-jaffna/</t>
        </is>
      </c>
    </row>
    <row r="496">
      <c r="A496" s="7" t="inlineStr">
        <is>
          <t>ALL-0495</t>
        </is>
      </c>
      <c r="B496" s="7" t="inlineStr">
        <is>
          <t>Web Articles</t>
        </is>
      </c>
      <c r="C496" s="8" t="n"/>
      <c r="D496" s="7" t="n"/>
      <c r="E496" s="9" t="inlineStr">
        <is>
          <t>Archaeological Museum, Jaffna - Wikipedia</t>
        </is>
      </c>
      <c r="F496" s="9" t="n"/>
      <c r="G496" s="9" t="inlineStr">
        <is>
          <t>en.wikipedia.org</t>
        </is>
      </c>
      <c r="H496" s="7" t="inlineStr">
        <is>
          <t>Web page</t>
        </is>
      </c>
      <c r="I496" s="7" t="inlineStr">
        <is>
          <t>English</t>
        </is>
      </c>
      <c r="J496" s="9" t="inlineStr">
        <is>
          <t>Archaeology / தொல்லியல்</t>
        </is>
      </c>
      <c r="K496" s="9" t="inlineStr">
        <is>
          <t>archaeological</t>
        </is>
      </c>
      <c r="L496" s="7" t="inlineStr">
        <is>
          <t>Unknown</t>
        </is>
      </c>
      <c r="M496" s="9" t="inlineStr">
        <is>
          <t>Web search: Jaffna archaeology. Auto-collected 2026-10-15 (ddg); review.</t>
        </is>
      </c>
      <c r="N496" s="10" t="inlineStr">
        <is>
          <t>https://en.wikipedia.org/wiki/Archaeological_Museum,_Jaffna</t>
        </is>
      </c>
    </row>
    <row r="497">
      <c r="A497" s="11" t="inlineStr">
        <is>
          <t>ALL-0496</t>
        </is>
      </c>
      <c r="B497" s="11" t="inlineStr">
        <is>
          <t>Web Articles</t>
        </is>
      </c>
      <c r="C497" s="12" t="n"/>
      <c r="D497" s="11" t="n"/>
      <c r="E497" s="13" t="inlineStr">
        <is>
          <t>Brahmi alphabet Inscriptions of Sri Lanka</t>
        </is>
      </c>
      <c r="F497" s="13" t="n"/>
      <c r="G497" s="13" t="inlineStr">
        <is>
          <t>inscriptions.lk</t>
        </is>
      </c>
      <c r="H497" s="11" t="inlineStr">
        <is>
          <t>Web page</t>
        </is>
      </c>
      <c r="I497" s="11" t="inlineStr">
        <is>
          <t>English</t>
        </is>
      </c>
      <c r="J497" s="13" t="inlineStr">
        <is>
          <t>Inscriptions / கல்வெட்டு; Brahmi / பிராமி</t>
        </is>
      </c>
      <c r="K497" s="13" t="inlineStr">
        <is>
          <t>inscription; inscriptions; brahmi</t>
        </is>
      </c>
      <c r="L497" s="11" t="inlineStr">
        <is>
          <t>Unknown</t>
        </is>
      </c>
      <c r="M497" s="13" t="inlineStr">
        <is>
          <t>Web search: Sri Lanka Tamil Brahmi. Auto-collected 2026-10-15 (ddg); review.</t>
        </is>
      </c>
      <c r="N497" s="14" t="inlineStr">
        <is>
          <t>https://www.inscriptions.lk/brahmi-alphabet/?lang=en</t>
        </is>
      </c>
    </row>
    <row r="498">
      <c r="A498" s="7" t="inlineStr">
        <is>
          <t>ALL-0497</t>
        </is>
      </c>
      <c r="B498" s="7" t="inlineStr">
        <is>
          <t>Web Articles</t>
        </is>
      </c>
      <c r="C498" s="8" t="n"/>
      <c r="D498" s="7" t="n"/>
      <c r="E498" s="9" t="inlineStr">
        <is>
          <t>Brahmi script</t>
        </is>
      </c>
      <c r="F498" s="9" t="inlineStr">
        <is>
          <t>Wikipedia contributors</t>
        </is>
      </c>
      <c r="G498" s="9" t="inlineStr">
        <is>
          <t>Wikipedia (en)</t>
        </is>
      </c>
      <c r="H498" s="7" t="inlineStr">
        <is>
          <t>Encyclopedia article</t>
        </is>
      </c>
      <c r="I498" s="7" t="inlineStr">
        <is>
          <t>English</t>
        </is>
      </c>
      <c r="J498" s="9" t="inlineStr">
        <is>
          <t>Brahmi / பிராமி</t>
        </is>
      </c>
      <c r="K498" s="9" t="inlineStr">
        <is>
          <t>brahmi</t>
        </is>
      </c>
      <c r="L498" s="7" t="inlineStr">
        <is>
          <t>Unknown</t>
        </is>
      </c>
      <c r="M498" s="9" t="inlineStr">
        <is>
          <t>Date = page creation. Auto-collected 2026-10-15 (wikipedia); review.</t>
        </is>
      </c>
      <c r="N498" s="10" t="inlineStr">
        <is>
          <t>https://en.wikipedia.org/wiki/Brahmi_script</t>
        </is>
      </c>
    </row>
    <row r="499">
      <c r="A499" s="11" t="inlineStr">
        <is>
          <t>ALL-0498</t>
        </is>
      </c>
      <c r="B499" s="11" t="inlineStr">
        <is>
          <t>Web Articles</t>
        </is>
      </c>
      <c r="C499" s="12" t="n"/>
      <c r="D499" s="11" t="n"/>
      <c r="E499" s="13" t="inlineStr">
        <is>
          <t>Buddhism amongst Tamils in Sri Lanka</t>
        </is>
      </c>
      <c r="F499" s="13" t="inlineStr">
        <is>
          <t>Wikipedia contributors</t>
        </is>
      </c>
      <c r="G499" s="13" t="inlineStr">
        <is>
          <t>Wikipedia (en)</t>
        </is>
      </c>
      <c r="H499" s="11" t="inlineStr">
        <is>
          <t>Encyclopedia article</t>
        </is>
      </c>
      <c r="I499" s="11" t="inlineStr">
        <is>
          <t>English</t>
        </is>
      </c>
      <c r="J499" s="13" t="n"/>
      <c r="K499" s="13" t="n"/>
      <c r="L499" s="11" t="inlineStr">
        <is>
          <t>Unknown</t>
        </is>
      </c>
      <c r="M499" s="13" t="inlineStr">
        <is>
          <t>Date = page creation. Auto-collected 2026-10-14 (wikipedia); review.</t>
        </is>
      </c>
      <c r="N499" s="14" t="inlineStr">
        <is>
          <t>https://en.wikipedia.org/wiki/Buddhism_amongst_Tamils_in_Sri_Lanka</t>
        </is>
      </c>
    </row>
    <row r="500">
      <c r="A500" s="7" t="inlineStr">
        <is>
          <t>ALL-0499</t>
        </is>
      </c>
      <c r="B500" s="7" t="inlineStr">
        <is>
          <t>Web Articles</t>
        </is>
      </c>
      <c r="C500" s="8" t="n"/>
      <c r="D500" s="7" t="n"/>
      <c r="E500" s="9" t="inlineStr">
        <is>
          <t>Buddhist Remains in the Jaffna Peninsula</t>
        </is>
      </c>
      <c r="F500" s="9" t="n"/>
      <c r="G500" s="9" t="inlineStr">
        <is>
          <t>AmazingLanka.com</t>
        </is>
      </c>
      <c r="H500" s="7" t="inlineStr">
        <is>
          <t>Web article</t>
        </is>
      </c>
      <c r="I500" s="7" t="inlineStr">
        <is>
          <t>English</t>
        </is>
      </c>
      <c r="J500" s="9" t="inlineStr">
        <is>
          <t>Archaeology / தொல்லியல்</t>
        </is>
      </c>
      <c r="K500" s="9" t="inlineStr">
        <is>
          <t>தொல்லியல்; Jaffna</t>
        </is>
      </c>
      <c r="L500" s="7" t="inlineStr">
        <is>
          <t>Unknown</t>
        </is>
      </c>
      <c r="M500" s="9" t="n"/>
      <c r="N500" s="10" t="inlineStr">
        <is>
          <t>https://amazinglanka.com/wp/jaffna/</t>
        </is>
      </c>
    </row>
    <row r="501">
      <c r="A501" s="11" t="inlineStr">
        <is>
          <t>ALL-0500</t>
        </is>
      </c>
      <c r="B501" s="11" t="inlineStr">
        <is>
          <t>Web Articles</t>
        </is>
      </c>
      <c r="C501" s="12" t="n"/>
      <c r="D501" s="11" t="n"/>
      <c r="E501" s="13" t="inlineStr">
        <is>
          <t>Buddhist Ruins at Tikali in Pungudutivu Island in Jaffna</t>
        </is>
      </c>
      <c r="F501" s="13" t="n"/>
      <c r="G501" s="13" t="inlineStr">
        <is>
          <t>AmazingLanka.com</t>
        </is>
      </c>
      <c r="H501" s="11" t="inlineStr">
        <is>
          <t>Web article</t>
        </is>
      </c>
      <c r="I501" s="11" t="inlineStr">
        <is>
          <t>English</t>
        </is>
      </c>
      <c r="J501" s="13" t="inlineStr">
        <is>
          <t>Archaeology / தொல்லியல்</t>
        </is>
      </c>
      <c r="K501" s="13" t="inlineStr">
        <is>
          <t>தொல்லியல்; Pungudutivu</t>
        </is>
      </c>
      <c r="L501" s="11" t="inlineStr">
        <is>
          <t>Unknown</t>
        </is>
      </c>
      <c r="M501" s="13" t="n"/>
      <c r="N501" s="14" t="inlineStr">
        <is>
          <t>https://amazinglanka.com/wp/tikali/</t>
        </is>
      </c>
    </row>
    <row r="502">
      <c r="A502" s="7" t="inlineStr">
        <is>
          <t>ALL-0501</t>
        </is>
      </c>
      <c r="B502" s="7" t="inlineStr">
        <is>
          <t>Web Articles</t>
        </is>
      </c>
      <c r="C502" s="8" t="n"/>
      <c r="D502" s="7" t="n"/>
      <c r="E502" s="9" t="inlineStr">
        <is>
          <t>Cankilian Thoppu</t>
        </is>
      </c>
      <c r="F502" s="9" t="inlineStr">
        <is>
          <t>Wikipedia contributors</t>
        </is>
      </c>
      <c r="G502" s="9" t="inlineStr">
        <is>
          <t>Wikipedia (en)</t>
        </is>
      </c>
      <c r="H502" s="7" t="inlineStr">
        <is>
          <t>Encyclopedia article</t>
        </is>
      </c>
      <c r="I502" s="7" t="inlineStr">
        <is>
          <t>English</t>
        </is>
      </c>
      <c r="J502" s="9" t="n"/>
      <c r="K502" s="9" t="n"/>
      <c r="L502" s="7" t="inlineStr">
        <is>
          <t>Unknown</t>
        </is>
      </c>
      <c r="M502" s="9" t="inlineStr">
        <is>
          <t>Date = page creation. Auto-collected 2026-10-14 (wikipedia); review.</t>
        </is>
      </c>
      <c r="N502" s="10" t="inlineStr">
        <is>
          <t>https://en.wikipedia.org/wiki/Cankilian_Thoppu</t>
        </is>
      </c>
    </row>
    <row r="503">
      <c r="A503" s="11" t="inlineStr">
        <is>
          <t>ALL-0502</t>
        </is>
      </c>
      <c r="B503" s="11" t="inlineStr">
        <is>
          <t>Web Articles</t>
        </is>
      </c>
      <c r="C503" s="12" t="n"/>
      <c r="D503" s="11" t="n"/>
      <c r="E503" s="13" t="inlineStr">
        <is>
          <t>Coins DB| Home - archaeology.gov.lk</t>
        </is>
      </c>
      <c r="F503" s="13" t="n"/>
      <c r="G503" s="13" t="inlineStr">
        <is>
          <t>archaeology.gov.lk</t>
        </is>
      </c>
      <c r="H503" s="11" t="inlineStr">
        <is>
          <t>Web page</t>
        </is>
      </c>
      <c r="I503" s="11" t="inlineStr">
        <is>
          <t>English</t>
        </is>
      </c>
      <c r="J503" s="13" t="inlineStr">
        <is>
          <t>Archaeology / தொல்லியல்; Coins / நாணயம்</t>
        </is>
      </c>
      <c r="K503" s="13" t="inlineStr">
        <is>
          <t>archaeology</t>
        </is>
      </c>
      <c r="L503" s="11" t="inlineStr">
        <is>
          <t>Unknown</t>
        </is>
      </c>
      <c r="M503" s="13" t="inlineStr">
        <is>
          <t>Web search: Tamil coins Sri Lanka archaeology. Auto-collected 2026-10-15 (ddg); review.</t>
        </is>
      </c>
      <c r="N503" s="14" t="inlineStr">
        <is>
          <t>https://archaeology.gov.lk/coins/query/adsearch.php?lang=en</t>
        </is>
      </c>
    </row>
    <row r="504">
      <c r="A504" s="7" t="inlineStr">
        <is>
          <t>ALL-0503</t>
        </is>
      </c>
      <c r="B504" s="7" t="inlineStr">
        <is>
          <t>Web Articles</t>
        </is>
      </c>
      <c r="C504" s="8" t="n"/>
      <c r="D504" s="7" t="n"/>
      <c r="E504" s="9" t="inlineStr">
        <is>
          <t>DAI - «Exploring Ancient Kantarodai»: season 2026</t>
        </is>
      </c>
      <c r="F504" s="9" t="n"/>
      <c r="G504" s="9" t="inlineStr">
        <is>
          <t>dainst.org</t>
        </is>
      </c>
      <c r="H504" s="7" t="inlineStr">
        <is>
          <t>Web page</t>
        </is>
      </c>
      <c r="I504" s="7" t="inlineStr">
        <is>
          <t>English</t>
        </is>
      </c>
      <c r="J504" s="9" t="n"/>
      <c r="K504" s="9" t="n"/>
      <c r="L504" s="7" t="inlineStr">
        <is>
          <t>Unknown</t>
        </is>
      </c>
      <c r="M504" s="9" t="inlineStr">
        <is>
          <t>Web search: Kantarodai archaeology. Auto-collected 2026-10-15 (ddg); review.</t>
        </is>
      </c>
      <c r="N504" s="10" t="inlineStr">
        <is>
          <t>https://www.dainst.org/en/newsroom/exploring-ancient-kantarodai-season-2026/918</t>
        </is>
      </c>
    </row>
    <row r="505">
      <c r="A505" s="11" t="inlineStr">
        <is>
          <t>ALL-0504</t>
        </is>
      </c>
      <c r="B505" s="11" t="inlineStr">
        <is>
          <t>Web Articles</t>
        </is>
      </c>
      <c r="C505" s="12" t="n"/>
      <c r="D505" s="11" t="n"/>
      <c r="E505" s="13" t="inlineStr">
        <is>
          <t>Hero Stones in Sri Lanka's Past-by Ama H.Vanniarachchy</t>
        </is>
      </c>
      <c r="F505" s="13" t="n"/>
      <c r="G505" s="13" t="inlineStr">
        <is>
          <t>elanka.com.au</t>
        </is>
      </c>
      <c r="H505" s="11" t="inlineStr">
        <is>
          <t>Web page</t>
        </is>
      </c>
      <c r="I505" s="11" t="inlineStr">
        <is>
          <t>English</t>
        </is>
      </c>
      <c r="J505" s="13" t="inlineStr">
        <is>
          <t>Hero stones / நடுகல்</t>
        </is>
      </c>
      <c r="K505" s="13" t="inlineStr">
        <is>
          <t>hero stone</t>
        </is>
      </c>
      <c r="L505" s="11" t="inlineStr">
        <is>
          <t>Unknown</t>
        </is>
      </c>
      <c r="M505" s="13" t="inlineStr">
        <is>
          <t>Web search: Sri Lanka hero stone. Auto-collected 2026-10-15 (ddg); review.</t>
        </is>
      </c>
      <c r="N505" s="14" t="inlineStr">
        <is>
          <t>https://www.elanka.com.au/hero-stones-in-sri-lankas-past-by-ama-h-vanniarachchy/</t>
        </is>
      </c>
    </row>
    <row r="506">
      <c r="A506" s="7" t="inlineStr">
        <is>
          <t>ALL-0505</t>
        </is>
      </c>
      <c r="B506" s="7" t="inlineStr">
        <is>
          <t>Web Articles</t>
        </is>
      </c>
      <c r="C506" s="8" t="n"/>
      <c r="D506" s="7" t="n"/>
      <c r="E506" s="9" t="inlineStr">
        <is>
          <t>Hero-stone at Anurādhapura and other essays - SearchWorks catalog</t>
        </is>
      </c>
      <c r="F506" s="9" t="n"/>
      <c r="G506" s="9" t="inlineStr">
        <is>
          <t>searchworks.stanford.edu</t>
        </is>
      </c>
      <c r="H506" s="7" t="inlineStr">
        <is>
          <t>Web page</t>
        </is>
      </c>
      <c r="I506" s="7" t="inlineStr">
        <is>
          <t>English</t>
        </is>
      </c>
      <c r="J506" s="9" t="n"/>
      <c r="K506" s="9" t="inlineStr">
        <is>
          <t>hero-stone</t>
        </is>
      </c>
      <c r="L506" s="7" t="inlineStr">
        <is>
          <t>Unknown</t>
        </is>
      </c>
      <c r="M506" s="9" t="inlineStr">
        <is>
          <t>Web search: Sri Lanka hero stone. Auto-collected 2026-10-15 (ddg); review.</t>
        </is>
      </c>
      <c r="N506" s="10" t="inlineStr">
        <is>
          <t>https://searchworks.stanford.edu/view/14451040</t>
        </is>
      </c>
    </row>
    <row r="507">
      <c r="A507" s="11" t="inlineStr">
        <is>
          <t>ALL-0506</t>
        </is>
      </c>
      <c r="B507" s="11" t="inlineStr">
        <is>
          <t>Web Articles</t>
        </is>
      </c>
      <c r="C507" s="12" t="n"/>
      <c r="D507" s="11" t="n"/>
      <c r="E507" s="13" t="inlineStr">
        <is>
          <t>Inscriptions of Ceylon - Volume I Hiṭṭāragama-hīnna 1160 Sri Lanka ...</t>
        </is>
      </c>
      <c r="F507" s="13" t="n"/>
      <c r="G507" s="13" t="inlineStr">
        <is>
          <t>inscriptions.lk</t>
        </is>
      </c>
      <c r="H507" s="11" t="inlineStr">
        <is>
          <t>Web page</t>
        </is>
      </c>
      <c r="I507" s="11" t="inlineStr">
        <is>
          <t>English</t>
        </is>
      </c>
      <c r="J507" s="13" t="inlineStr">
        <is>
          <t>Inscriptions / கல்வெட்டு</t>
        </is>
      </c>
      <c r="K507" s="13" t="inlineStr">
        <is>
          <t>inscription; inscriptions</t>
        </is>
      </c>
      <c r="L507" s="11" t="inlineStr">
        <is>
          <t>Unknown</t>
        </is>
      </c>
      <c r="M507" s="13" t="inlineStr">
        <is>
          <t>Web search: Sri Lanka Tamil inscription. Auto-collected 2026-10-15 (ddg); review.</t>
        </is>
      </c>
      <c r="N507" s="14" t="inlineStr">
        <is>
          <t>https://inscriptions.lk/db/VInscriptionsView/1220?language=en-US</t>
        </is>
      </c>
    </row>
    <row r="508">
      <c r="A508" s="7" t="inlineStr">
        <is>
          <t>ALL-0507</t>
        </is>
      </c>
      <c r="B508" s="7" t="inlineStr">
        <is>
          <t>Web Articles</t>
        </is>
      </c>
      <c r="C508" s="8" t="n"/>
      <c r="D508" s="7" t="n"/>
      <c r="E508" s="9" t="inlineStr">
        <is>
          <t>Inscriptions of Sri Lanka Online Database with Estampage</t>
        </is>
      </c>
      <c r="F508" s="9" t="n"/>
      <c r="G508" s="9" t="inlineStr">
        <is>
          <t>inscriptions.lk</t>
        </is>
      </c>
      <c r="H508" s="7" t="inlineStr">
        <is>
          <t>Web page</t>
        </is>
      </c>
      <c r="I508" s="7" t="inlineStr">
        <is>
          <t>English</t>
        </is>
      </c>
      <c r="J508" s="9" t="inlineStr">
        <is>
          <t>Inscriptions / கல்வெட்டு</t>
        </is>
      </c>
      <c r="K508" s="9" t="inlineStr">
        <is>
          <t>inscription; inscriptions</t>
        </is>
      </c>
      <c r="L508" s="7" t="inlineStr">
        <is>
          <t>Unknown</t>
        </is>
      </c>
      <c r="M508" s="9" t="inlineStr">
        <is>
          <t>Web search: Sri Lanka Tamil inscription. Auto-collected 2026-10-15 (ddg); review.</t>
        </is>
      </c>
      <c r="N508" s="10" t="inlineStr">
        <is>
          <t>https://www.inscriptions.lk/?lang=en</t>
        </is>
      </c>
    </row>
    <row r="509">
      <c r="A509" s="11" t="inlineStr">
        <is>
          <t>ALL-0508</t>
        </is>
      </c>
      <c r="B509" s="11" t="inlineStr">
        <is>
          <t>Web Articles</t>
        </is>
      </c>
      <c r="C509" s="12" t="n"/>
      <c r="D509" s="11" t="n"/>
      <c r="E509" s="13" t="inlineStr">
        <is>
          <t>Jaffna Archaeological Museum - All You SHOULD Know Before ... - Tripadvisor</t>
        </is>
      </c>
      <c r="F509" s="13" t="n"/>
      <c r="G509" s="13" t="inlineStr">
        <is>
          <t>tripadvisor.com</t>
        </is>
      </c>
      <c r="H509" s="11" t="inlineStr">
        <is>
          <t>Web page</t>
        </is>
      </c>
      <c r="I509" s="11" t="inlineStr">
        <is>
          <t>English</t>
        </is>
      </c>
      <c r="J509" s="13" t="inlineStr">
        <is>
          <t>Archaeology / தொல்லியல்</t>
        </is>
      </c>
      <c r="K509" s="13" t="inlineStr">
        <is>
          <t>archaeological</t>
        </is>
      </c>
      <c r="L509" s="11" t="inlineStr">
        <is>
          <t>Unknown</t>
        </is>
      </c>
      <c r="M509" s="13" t="inlineStr">
        <is>
          <t>Web search: Jaffna archaeology. Auto-collected 2026-10-15 (ddg); review.</t>
        </is>
      </c>
      <c r="N509" s="14" t="inlineStr">
        <is>
          <t>https://www.tripadvisor.com/Attraction_Review-g304135-d8865728-Reviews-Jaffna_Archaeological_Museum-Jaffna_Northern_Province.html</t>
        </is>
      </c>
    </row>
    <row r="510">
      <c r="A510" s="7" t="inlineStr">
        <is>
          <t>ALL-0509</t>
        </is>
      </c>
      <c r="B510" s="7" t="inlineStr">
        <is>
          <t>Web Articles</t>
        </is>
      </c>
      <c r="C510" s="8" t="n"/>
      <c r="D510" s="7" t="n"/>
      <c r="E510" s="9" t="inlineStr">
        <is>
          <t>Jaffna Archaeological Museum - History &amp; Heritage of Jaffna</t>
        </is>
      </c>
      <c r="F510" s="9" t="n"/>
      <c r="G510" s="9" t="inlineStr">
        <is>
          <t>jaffna.top</t>
        </is>
      </c>
      <c r="H510" s="7" t="inlineStr">
        <is>
          <t>Web page</t>
        </is>
      </c>
      <c r="I510" s="7" t="inlineStr">
        <is>
          <t>English</t>
        </is>
      </c>
      <c r="J510" s="9" t="inlineStr">
        <is>
          <t>Archaeology / தொல்லியல்</t>
        </is>
      </c>
      <c r="K510" s="9" t="inlineStr">
        <is>
          <t>archaeological</t>
        </is>
      </c>
      <c r="L510" s="7" t="inlineStr">
        <is>
          <t>Unknown</t>
        </is>
      </c>
      <c r="M510" s="9" t="inlineStr">
        <is>
          <t>Web search: Jaffna archaeology. Auto-collected 2026-10-15 (ddg); review.</t>
        </is>
      </c>
      <c r="N510" s="10" t="inlineStr">
        <is>
          <t>https://jaffna.top/jaffna-archaeological-museum-nallur/</t>
        </is>
      </c>
    </row>
    <row r="511">
      <c r="A511" s="11" t="inlineStr">
        <is>
          <t>ALL-0510</t>
        </is>
      </c>
      <c r="B511" s="11" t="inlineStr">
        <is>
          <t>Web Articles</t>
        </is>
      </c>
      <c r="C511" s="12" t="n"/>
      <c r="D511" s="11" t="n"/>
      <c r="E511" s="13" t="inlineStr">
        <is>
          <t>Jaffna Archaeological Museum - Sri Lanka Travel Pages</t>
        </is>
      </c>
      <c r="F511" s="13" t="n"/>
      <c r="G511" s="13" t="inlineStr">
        <is>
          <t>srilankatravelpages.com</t>
        </is>
      </c>
      <c r="H511" s="11" t="inlineStr">
        <is>
          <t>Web page</t>
        </is>
      </c>
      <c r="I511" s="11" t="inlineStr">
        <is>
          <t>English</t>
        </is>
      </c>
      <c r="J511" s="13" t="inlineStr">
        <is>
          <t>Archaeology / தொல்லியல்</t>
        </is>
      </c>
      <c r="K511" s="13" t="inlineStr">
        <is>
          <t>archaeological</t>
        </is>
      </c>
      <c r="L511" s="11" t="inlineStr">
        <is>
          <t>Unknown</t>
        </is>
      </c>
      <c r="M511" s="13" t="inlineStr">
        <is>
          <t>Web search: Jaffna archaeology. Auto-collected 2026-10-16 (ddg); review.</t>
        </is>
      </c>
      <c r="N511" s="14" t="inlineStr">
        <is>
          <t>https://srilankatravelpages.com/listing/jaffna-archaeological-museum/</t>
        </is>
      </c>
    </row>
    <row r="512">
      <c r="A512" s="7" t="inlineStr">
        <is>
          <t>ALL-0511</t>
        </is>
      </c>
      <c r="B512" s="7" t="inlineStr">
        <is>
          <t>Web Articles</t>
        </is>
      </c>
      <c r="C512" s="8" t="n"/>
      <c r="D512" s="7" t="n"/>
      <c r="E512" s="9" t="inlineStr">
        <is>
          <t>Jaffna Archaeological Museum Travel Guide 2026 - Sri Lanka Tour Help</t>
        </is>
      </c>
      <c r="F512" s="9" t="n"/>
      <c r="G512" s="9" t="inlineStr">
        <is>
          <t>srilankatourhelp.org</t>
        </is>
      </c>
      <c r="H512" s="7" t="inlineStr">
        <is>
          <t>Web page</t>
        </is>
      </c>
      <c r="I512" s="7" t="inlineStr">
        <is>
          <t>English</t>
        </is>
      </c>
      <c r="J512" s="9" t="inlineStr">
        <is>
          <t>Archaeology / தொல்லியல்</t>
        </is>
      </c>
      <c r="K512" s="9" t="inlineStr">
        <is>
          <t>archaeological</t>
        </is>
      </c>
      <c r="L512" s="7" t="inlineStr">
        <is>
          <t>Unknown</t>
        </is>
      </c>
      <c r="M512" s="9" t="inlineStr">
        <is>
          <t>Web search: Jaffna archaeology. Auto-collected 2026-10-15 (ddg); review.</t>
        </is>
      </c>
      <c r="N512" s="10" t="inlineStr">
        <is>
          <t>https://srilankatourhelp.org/articles/explore-rich-heritage-jaffna-archaeological-museum</t>
        </is>
      </c>
    </row>
    <row r="513">
      <c r="A513" s="11" t="inlineStr">
        <is>
          <t>ALL-0512</t>
        </is>
      </c>
      <c r="B513" s="11" t="inlineStr">
        <is>
          <t>Web Articles</t>
        </is>
      </c>
      <c r="C513" s="12" t="n"/>
      <c r="D513" s="11" t="n"/>
      <c r="E513" s="13" t="inlineStr">
        <is>
          <t>Jaffna Archaeological Museum | About.lk</t>
        </is>
      </c>
      <c r="F513" s="13" t="n"/>
      <c r="G513" s="13" t="inlineStr">
        <is>
          <t>jaffna-archaeological-museum-sri-lanka.about.lk</t>
        </is>
      </c>
      <c r="H513" s="11" t="inlineStr">
        <is>
          <t>Web page</t>
        </is>
      </c>
      <c r="I513" s="11" t="inlineStr">
        <is>
          <t>English</t>
        </is>
      </c>
      <c r="J513" s="13" t="inlineStr">
        <is>
          <t>Archaeology / தொல்லியல்</t>
        </is>
      </c>
      <c r="K513" s="13" t="inlineStr">
        <is>
          <t>archaeological</t>
        </is>
      </c>
      <c r="L513" s="11" t="inlineStr">
        <is>
          <t>Unknown</t>
        </is>
      </c>
      <c r="M513" s="13" t="inlineStr">
        <is>
          <t>Web search: Jaffna archaeology. Auto-collected 2026-10-15 (ddg); review.</t>
        </is>
      </c>
      <c r="N513" s="14" t="inlineStr">
        <is>
          <t>https://jaffna-archaeological-museum-sri-lanka.about.lk/</t>
        </is>
      </c>
    </row>
    <row r="514">
      <c r="A514" s="7" t="inlineStr">
        <is>
          <t>ALL-0513</t>
        </is>
      </c>
      <c r="B514" s="7" t="inlineStr">
        <is>
          <t>Web Articles</t>
        </is>
      </c>
      <c r="C514" s="8" t="n"/>
      <c r="D514" s="7" t="n"/>
      <c r="E514" s="9" t="inlineStr">
        <is>
          <t>Jaffna Archaeological Museum | AmazingLanka.com</t>
        </is>
      </c>
      <c r="F514" s="9" t="n"/>
      <c r="G514" s="9" t="inlineStr">
        <is>
          <t>amazinglanka.com</t>
        </is>
      </c>
      <c r="H514" s="7" t="inlineStr">
        <is>
          <t>Web page</t>
        </is>
      </c>
      <c r="I514" s="7" t="inlineStr">
        <is>
          <t>English</t>
        </is>
      </c>
      <c r="J514" s="9" t="inlineStr">
        <is>
          <t>Archaeology / தொல்லியல்</t>
        </is>
      </c>
      <c r="K514" s="9" t="inlineStr">
        <is>
          <t>archaeological</t>
        </is>
      </c>
      <c r="L514" s="7" t="inlineStr">
        <is>
          <t>Unknown</t>
        </is>
      </c>
      <c r="M514" s="9" t="inlineStr">
        <is>
          <t>Web search: Jaffna archaeology. Auto-collected 2026-10-15 (ddg); review.</t>
        </is>
      </c>
      <c r="N514" s="10" t="inlineStr">
        <is>
          <t>https://amazinglanka.com/wp/jaffna-museum/</t>
        </is>
      </c>
    </row>
    <row r="515">
      <c r="A515" s="11" t="inlineStr">
        <is>
          <t>ALL-0514</t>
        </is>
      </c>
      <c r="B515" s="11" t="inlineStr">
        <is>
          <t>Web Articles</t>
        </is>
      </c>
      <c r="C515" s="12" t="n"/>
      <c r="D515" s="11" t="n"/>
      <c r="E515" s="13" t="inlineStr">
        <is>
          <t>Jaffna Archaeology Museum - iDiscover Maps</t>
        </is>
      </c>
      <c r="F515" s="13" t="n"/>
      <c r="G515" s="13" t="inlineStr">
        <is>
          <t>i-discoverasia.com</t>
        </is>
      </c>
      <c r="H515" s="11" t="inlineStr">
        <is>
          <t>Web page</t>
        </is>
      </c>
      <c r="I515" s="11" t="inlineStr">
        <is>
          <t>English</t>
        </is>
      </c>
      <c r="J515" s="13" t="inlineStr">
        <is>
          <t>Archaeology / தொல்லியல்</t>
        </is>
      </c>
      <c r="K515" s="13" t="inlineStr">
        <is>
          <t>archaeology</t>
        </is>
      </c>
      <c r="L515" s="11" t="inlineStr">
        <is>
          <t>Unknown</t>
        </is>
      </c>
      <c r="M515" s="13" t="inlineStr">
        <is>
          <t>Web search: Jaffna archaeology. Auto-collected 2026-10-22 (ddg); review.</t>
        </is>
      </c>
      <c r="N515" s="14" t="inlineStr">
        <is>
          <t>https://i-discoverasia.com/walks/jaffna-university-city-walk-sri-lanka/locations/jaffna-archaeological-museum-sri-lanka/</t>
        </is>
      </c>
    </row>
    <row r="516">
      <c r="A516" s="7" t="inlineStr">
        <is>
          <t>ALL-0515</t>
        </is>
      </c>
      <c r="B516" s="7" t="inlineStr">
        <is>
          <t>Web Articles</t>
        </is>
      </c>
      <c r="C516" s="8" t="n"/>
      <c r="D516" s="7" t="n"/>
      <c r="E516" s="9" t="inlineStr">
        <is>
          <t>Jaffna Archeology Tour - Journe Experiences</t>
        </is>
      </c>
      <c r="F516" s="9" t="n"/>
      <c r="G516" s="9" t="inlineStr">
        <is>
          <t>journesrilanka.com</t>
        </is>
      </c>
      <c r="H516" s="7" t="inlineStr">
        <is>
          <t>Web page</t>
        </is>
      </c>
      <c r="I516" s="7" t="inlineStr">
        <is>
          <t>English</t>
        </is>
      </c>
      <c r="J516" s="9" t="n"/>
      <c r="K516" s="9" t="n"/>
      <c r="L516" s="7" t="inlineStr">
        <is>
          <t>Unknown</t>
        </is>
      </c>
      <c r="M516" s="9" t="inlineStr">
        <is>
          <t>Web search: Jaffna archaeology. Auto-collected 2026-10-17 (ddg); review.</t>
        </is>
      </c>
      <c r="N516" s="10" t="inlineStr">
        <is>
          <t>https://journesrilanka.com/trips/jaffna-archeology-tour/</t>
        </is>
      </c>
    </row>
    <row r="517">
      <c r="A517" s="11" t="inlineStr">
        <is>
          <t>ALL-0516</t>
        </is>
      </c>
      <c r="B517" s="11" t="inlineStr">
        <is>
          <t>Web Articles</t>
        </is>
      </c>
      <c r="C517" s="12" t="n"/>
      <c r="D517" s="11" t="n"/>
      <c r="E517" s="13" t="inlineStr">
        <is>
          <t>Kandarodai alias Kadurugoda near Jaffna - LANKA EXCURSIONS HOLIDAYS</t>
        </is>
      </c>
      <c r="F517" s="13" t="n"/>
      <c r="G517" s="13" t="inlineStr">
        <is>
          <t>lanka-excursions-holidays.com</t>
        </is>
      </c>
      <c r="H517" s="11" t="inlineStr">
        <is>
          <t>Web page</t>
        </is>
      </c>
      <c r="I517" s="11" t="inlineStr">
        <is>
          <t>English</t>
        </is>
      </c>
      <c r="J517" s="13" t="n"/>
      <c r="K517" s="13" t="n"/>
      <c r="L517" s="11" t="inlineStr">
        <is>
          <t>Unknown</t>
        </is>
      </c>
      <c r="M517" s="13" t="inlineStr">
        <is>
          <t>Web search: Kantarodai archaeology. Auto-collected 2026-10-19 (ddg); review.</t>
        </is>
      </c>
      <c r="N517" s="14" t="inlineStr">
        <is>
          <t>https://www.lanka-excursions-holidays.com/kandarodai.html</t>
        </is>
      </c>
    </row>
    <row r="518">
      <c r="A518" s="7" t="inlineStr">
        <is>
          <t>ALL-0517</t>
        </is>
      </c>
      <c r="B518" s="7" t="inlineStr">
        <is>
          <t>Web Articles</t>
        </is>
      </c>
      <c r="C518" s="8" t="n"/>
      <c r="D518" s="7" t="n"/>
      <c r="E518" s="9" t="inlineStr">
        <is>
          <t>Kantharodai in Jaffna - Atlas Obscura</t>
        </is>
      </c>
      <c r="F518" s="9" t="n"/>
      <c r="G518" s="9" t="inlineStr">
        <is>
          <t>atlasobscura.com</t>
        </is>
      </c>
      <c r="H518" s="7" t="inlineStr">
        <is>
          <t>Web page</t>
        </is>
      </c>
      <c r="I518" s="7" t="inlineStr">
        <is>
          <t>English</t>
        </is>
      </c>
      <c r="J518" s="9" t="n"/>
      <c r="K518" s="9" t="n"/>
      <c r="L518" s="7" t="inlineStr">
        <is>
          <t>Unknown</t>
        </is>
      </c>
      <c r="M518" s="9" t="inlineStr">
        <is>
          <t>Web search: Kantarodai archaeology. Auto-collected 2026-10-15 (ddg); review.</t>
        </is>
      </c>
      <c r="N518" s="10" t="inlineStr">
        <is>
          <t>https://www.atlasobscura.com/places/kantharodai</t>
        </is>
      </c>
    </row>
    <row r="519">
      <c r="A519" s="11" t="inlineStr">
        <is>
          <t>ALL-0518</t>
        </is>
      </c>
      <c r="B519" s="11" t="inlineStr">
        <is>
          <t>Web Articles</t>
        </is>
      </c>
      <c r="C519" s="12" t="n"/>
      <c r="D519" s="11" t="n"/>
      <c r="E519" s="13" t="inlineStr">
        <is>
          <t>Kurullangala Prehistoric Cave Art Site at ... - AmazingLanka.com</t>
        </is>
      </c>
      <c r="F519" s="13" t="n"/>
      <c r="G519" s="13" t="inlineStr">
        <is>
          <t>amazinglanka.com</t>
        </is>
      </c>
      <c r="H519" s="11" t="inlineStr">
        <is>
          <t>Web page</t>
        </is>
      </c>
      <c r="I519" s="11" t="inlineStr">
        <is>
          <t>English</t>
        </is>
      </c>
      <c r="J519" s="13" t="n"/>
      <c r="K519" s="13" t="n"/>
      <c r="L519" s="11" t="inlineStr">
        <is>
          <t>Unknown</t>
        </is>
      </c>
      <c r="M519" s="13" t="inlineStr">
        <is>
          <t>Web search: Sri Lanka rock art cave painting. Auto-collected 2026-10-15 (ddg); review.</t>
        </is>
      </c>
      <c r="N519" s="14" t="inlineStr">
        <is>
          <t>https://amazinglanka.com/wp/kurullangala/</t>
        </is>
      </c>
    </row>
    <row r="520">
      <c r="A520" s="7" t="inlineStr">
        <is>
          <t>ALL-0519</t>
        </is>
      </c>
      <c r="B520" s="7" t="inlineStr">
        <is>
          <t>Web Articles</t>
        </is>
      </c>
      <c r="C520" s="8" t="n"/>
      <c r="D520" s="7" t="n"/>
      <c r="E520" s="9" t="inlineStr">
        <is>
          <t>Kurullangala Rock Art: A Mystery - Asian Art Newspaper</t>
        </is>
      </c>
      <c r="F520" s="9" t="n"/>
      <c r="G520" s="9" t="inlineStr">
        <is>
          <t>asianartnewspaper.com</t>
        </is>
      </c>
      <c r="H520" s="7" t="inlineStr">
        <is>
          <t>Web page</t>
        </is>
      </c>
      <c r="I520" s="7" t="inlineStr">
        <is>
          <t>English</t>
        </is>
      </c>
      <c r="J520" s="9" t="inlineStr">
        <is>
          <t>Rock art / பாறை ஓவியம்</t>
        </is>
      </c>
      <c r="K520" s="9" t="inlineStr">
        <is>
          <t>rock art</t>
        </is>
      </c>
      <c r="L520" s="7" t="inlineStr">
        <is>
          <t>Unknown</t>
        </is>
      </c>
      <c r="M520" s="9" t="inlineStr">
        <is>
          <t>Web search: Sri Lanka rock art cave painting. Auto-collected 2026-10-15 (ddg); review.</t>
        </is>
      </c>
      <c r="N520" s="10" t="inlineStr">
        <is>
          <t>https://asianartnewspaper.com/the-mysterious-rock-art-of-kurullangala/</t>
        </is>
      </c>
    </row>
    <row r="521">
      <c r="A521" s="11" t="inlineStr">
        <is>
          <t>ALL-0520</t>
        </is>
      </c>
      <c r="B521" s="11" t="inlineStr">
        <is>
          <t>Web Articles</t>
        </is>
      </c>
      <c r="C521" s="12" t="n"/>
      <c r="D521" s="11" t="n"/>
      <c r="E521" s="13" t="inlineStr">
        <is>
          <t>List of Archaeological Protected Monuments in Jaffna District</t>
        </is>
      </c>
      <c r="F521" s="13" t="inlineStr">
        <is>
          <t>Wikipedia contributors</t>
        </is>
      </c>
      <c r="G521" s="13" t="inlineStr">
        <is>
          <t>Wikipedia (en)</t>
        </is>
      </c>
      <c r="H521" s="11" t="inlineStr">
        <is>
          <t>Encyclopedia article</t>
        </is>
      </c>
      <c r="I521" s="11" t="inlineStr">
        <is>
          <t>English</t>
        </is>
      </c>
      <c r="J521" s="13" t="inlineStr">
        <is>
          <t>Archaeology / தொல்லியல்</t>
        </is>
      </c>
      <c r="K521" s="13" t="inlineStr">
        <is>
          <t>archaeological</t>
        </is>
      </c>
      <c r="L521" s="11" t="inlineStr">
        <is>
          <t>Unknown</t>
        </is>
      </c>
      <c r="M521" s="13" t="inlineStr">
        <is>
          <t>Date = page creation. Auto-collected 2026-10-14 (wikipedia); review.</t>
        </is>
      </c>
      <c r="N521" s="14" t="inlineStr">
        <is>
          <t>https://en.wikipedia.org/wiki/List_of_Archaeological_Protected_Monuments_in_Jaffna_District</t>
        </is>
      </c>
    </row>
    <row r="522">
      <c r="A522" s="7" t="inlineStr">
        <is>
          <t>ALL-0521</t>
        </is>
      </c>
      <c r="B522" s="7" t="inlineStr">
        <is>
          <t>Web Articles</t>
        </is>
      </c>
      <c r="C522" s="8" t="n"/>
      <c r="D522" s="7" t="n"/>
      <c r="E522" s="9" t="inlineStr">
        <is>
          <t>Manniththalai Sand Bar Ancient Settlement and Archaeological Sites</t>
        </is>
      </c>
      <c r="F522" s="9" t="n"/>
      <c r="G522" s="9" t="inlineStr">
        <is>
          <t>AmazingLanka.com</t>
        </is>
      </c>
      <c r="H522" s="7" t="inlineStr">
        <is>
          <t>Web article</t>
        </is>
      </c>
      <c r="I522" s="7" t="inlineStr">
        <is>
          <t>English</t>
        </is>
      </c>
      <c r="J522" s="9" t="inlineStr">
        <is>
          <t>Archaeology / தொல்லியல்</t>
        </is>
      </c>
      <c r="K522" s="9" t="inlineStr">
        <is>
          <t>தொல்லியல்; settlement</t>
        </is>
      </c>
      <c r="L522" s="7" t="inlineStr">
        <is>
          <t>Unknown</t>
        </is>
      </c>
      <c r="M522" s="9" t="n"/>
      <c r="N522" s="10" t="inlineStr">
        <is>
          <t>https://amazinglanka.com/wp/manniththalai-settlements/</t>
        </is>
      </c>
    </row>
    <row r="523">
      <c r="A523" s="11" t="inlineStr">
        <is>
          <t>ALL-0522</t>
        </is>
      </c>
      <c r="B523" s="11" t="inlineStr">
        <is>
          <t>Web Articles</t>
        </is>
      </c>
      <c r="C523" s="12" t="n"/>
      <c r="D523" s="11" t="n"/>
      <c r="E523" s="13" t="inlineStr">
        <is>
          <t>Museums - Archaeology</t>
        </is>
      </c>
      <c r="F523" s="13" t="n"/>
      <c r="G523" s="13" t="inlineStr">
        <is>
          <t>archaeology.gov.lk</t>
        </is>
      </c>
      <c r="H523" s="11" t="inlineStr">
        <is>
          <t>Web page</t>
        </is>
      </c>
      <c r="I523" s="11" t="inlineStr">
        <is>
          <t>English</t>
        </is>
      </c>
      <c r="J523" s="13" t="inlineStr">
        <is>
          <t>Archaeology / தொல்லியல்</t>
        </is>
      </c>
      <c r="K523" s="13" t="inlineStr">
        <is>
          <t>archaeology</t>
        </is>
      </c>
      <c r="L523" s="11" t="inlineStr">
        <is>
          <t>Unknown</t>
        </is>
      </c>
      <c r="M523" s="13" t="inlineStr">
        <is>
          <t>Web search: Jaffna archaeology. Auto-collected 2026-10-21 (ddg); review.</t>
        </is>
      </c>
      <c r="N523" s="14" t="inlineStr">
        <is>
          <t>https://archaeology.gov.lk/index.php/about/sections/museums</t>
        </is>
      </c>
    </row>
    <row r="524">
      <c r="A524" s="7" t="inlineStr">
        <is>
          <t>ALL-0523</t>
        </is>
      </c>
      <c r="B524" s="7" t="inlineStr">
        <is>
          <t>Web Articles</t>
        </is>
      </c>
      <c r="C524" s="8" t="n"/>
      <c r="D524" s="7" t="n"/>
      <c r="E524" s="9" t="inlineStr">
        <is>
          <t>New Archaeological Evidence - Tamil Diplomat</t>
        </is>
      </c>
      <c r="F524" s="9" t="n"/>
      <c r="G524" s="9" t="inlineStr">
        <is>
          <t>tamildiplomat.com</t>
        </is>
      </c>
      <c r="H524" s="7" t="inlineStr">
        <is>
          <t>Web page</t>
        </is>
      </c>
      <c r="I524" s="7" t="inlineStr">
        <is>
          <t>English</t>
        </is>
      </c>
      <c r="J524" s="9" t="inlineStr">
        <is>
          <t>Archaeology / தொல்லியல்</t>
        </is>
      </c>
      <c r="K524" s="9" t="inlineStr">
        <is>
          <t>archaeological</t>
        </is>
      </c>
      <c r="L524" s="7" t="inlineStr">
        <is>
          <t>Unknown</t>
        </is>
      </c>
      <c r="M524" s="9" t="inlineStr">
        <is>
          <t>Web search: Tamil coins Sri Lanka archaeology. Auto-collected 2026-10-15 (ddg); review.</t>
        </is>
      </c>
      <c r="N524" s="10" t="inlineStr">
        <is>
          <t>https://tamildiplomat.com/new-archaeological-evidence/</t>
        </is>
      </c>
    </row>
    <row r="525">
      <c r="A525" s="11" t="inlineStr">
        <is>
          <t>ALL-0524</t>
        </is>
      </c>
      <c r="B525" s="11" t="inlineStr">
        <is>
          <t>Web Articles</t>
        </is>
      </c>
      <c r="C525" s="12" t="n"/>
      <c r="D525" s="11" t="n"/>
      <c r="E525" s="13" t="inlineStr">
        <is>
          <t>PDF Historical Significance of Recent Discovery of Tamils' Coins of the ...</t>
        </is>
      </c>
      <c r="F525" s="13" t="n"/>
      <c r="G525" s="13" t="inlineStr">
        <is>
          <t>repo.lib.jfn.ac.lk</t>
        </is>
      </c>
      <c r="H525" s="11" t="inlineStr">
        <is>
          <t>Web page</t>
        </is>
      </c>
      <c r="I525" s="11" t="inlineStr">
        <is>
          <t>English</t>
        </is>
      </c>
      <c r="J525" s="13" t="inlineStr">
        <is>
          <t>Coins / நாணயம்</t>
        </is>
      </c>
      <c r="K525" s="13" t="n"/>
      <c r="L525" s="11" t="inlineStr">
        <is>
          <t>Unknown</t>
        </is>
      </c>
      <c r="M525" s="13" t="inlineStr">
        <is>
          <t>Web search: Tamil coins Sri Lanka archaeology. Auto-collected 2026-10-17 (ddg); review.</t>
        </is>
      </c>
      <c r="N525" s="14" t="inlineStr">
        <is>
          <t>http://repo.lib.jfn.ac.lk/xmlui/bitstream/handle/123456789/9724/Historical%20Significance%20of%20Recent%20Discovery%20of%20Tamils%27%20Coins%20of%20the%20Period%20before%202000%20Years%20in%20Sri%20Lanka..pdf?sequence=1</t>
        </is>
      </c>
    </row>
    <row r="526">
      <c r="A526" s="7" t="inlineStr">
        <is>
          <t>ALL-0525</t>
        </is>
      </c>
      <c r="B526" s="7" t="inlineStr">
        <is>
          <t>Web Articles</t>
        </is>
      </c>
      <c r="C526" s="8" t="n"/>
      <c r="D526" s="7" t="n"/>
      <c r="E526" s="9" t="inlineStr">
        <is>
          <t>PDF Tamil Brahmi Inscription Belonging to 2200 years ago,</t>
        </is>
      </c>
      <c r="F526" s="9" t="n"/>
      <c r="G526" s="9" t="inlineStr">
        <is>
          <t>tamilwritersguild.com</t>
        </is>
      </c>
      <c r="H526" s="7" t="inlineStr">
        <is>
          <t>Web page</t>
        </is>
      </c>
      <c r="I526" s="7" t="inlineStr">
        <is>
          <t>English</t>
        </is>
      </c>
      <c r="J526" s="9" t="inlineStr">
        <is>
          <t>Inscriptions / கல்வெட்டு; Brahmi / பிராமி</t>
        </is>
      </c>
      <c r="K526" s="9" t="inlineStr">
        <is>
          <t>inscription; brahmi</t>
        </is>
      </c>
      <c r="L526" s="7" t="inlineStr">
        <is>
          <t>Unknown</t>
        </is>
      </c>
      <c r="M526" s="9" t="inlineStr">
        <is>
          <t>Web search: Sri Lanka Tamil Brahmi. Auto-collected 2026-10-15 (ddg); review.</t>
        </is>
      </c>
      <c r="N526" s="10" t="inlineStr">
        <is>
          <t>https://tamilwritersguild.com/Tamil%20Brahmi%20Inscription%20Belonging%20to%2022_240119_110151.pdf</t>
        </is>
      </c>
    </row>
    <row r="527">
      <c r="A527" s="11" t="inlineStr">
        <is>
          <t>ALL-0526</t>
        </is>
      </c>
      <c r="B527" s="11" t="inlineStr">
        <is>
          <t>Web Articles</t>
        </is>
      </c>
      <c r="C527" s="12" t="n"/>
      <c r="D527" s="11" t="n"/>
      <c r="E527" s="13" t="inlineStr">
        <is>
          <t>PDF Tamil Brahmi Inscription Belonging to 2200 years ago, Discovered by ...</t>
        </is>
      </c>
      <c r="F527" s="13" t="n"/>
      <c r="G527" s="13" t="inlineStr">
        <is>
          <t>repo.lib.jfn.ac.lk:8080</t>
        </is>
      </c>
      <c r="H527" s="11" t="inlineStr">
        <is>
          <t>Web page</t>
        </is>
      </c>
      <c r="I527" s="11" t="inlineStr">
        <is>
          <t>English</t>
        </is>
      </c>
      <c r="J527" s="13" t="inlineStr">
        <is>
          <t>Inscriptions / கல்வெட்டு; Brahmi / பிராமி</t>
        </is>
      </c>
      <c r="K527" s="13" t="inlineStr">
        <is>
          <t>inscription; brahmi</t>
        </is>
      </c>
      <c r="L527" s="11" t="inlineStr">
        <is>
          <t>Unknown</t>
        </is>
      </c>
      <c r="M527" s="13" t="inlineStr">
        <is>
          <t>Web search: Sri Lanka Tamil Brahmi. Auto-collected 2026-10-21 (ddg); review.</t>
        </is>
      </c>
      <c r="N527" s="14" t="inlineStr">
        <is>
          <t>http://repo.lib.jfn.ac.lk:8080/ujrr/bitstream/123456789/865/2/JUICE2014-Tamil%20Brahmi%20Inscription%20Belonging%20to%202200%20years%20ago%2C.pdf</t>
        </is>
      </c>
    </row>
    <row r="528">
      <c r="A528" s="7" t="inlineStr">
        <is>
          <t>ALL-0527</t>
        </is>
      </c>
      <c r="B528" s="7" t="inlineStr">
        <is>
          <t>Web Articles</t>
        </is>
      </c>
      <c r="C528" s="8" t="n"/>
      <c r="D528" s="7" t="n"/>
      <c r="E528" s="9" t="inlineStr">
        <is>
          <t>Pandya coinage - Wikipedia</t>
        </is>
      </c>
      <c r="F528" s="9" t="n"/>
      <c r="G528" s="9" t="inlineStr">
        <is>
          <t>en.wikipedia.org</t>
        </is>
      </c>
      <c r="H528" s="7" t="inlineStr">
        <is>
          <t>Web page</t>
        </is>
      </c>
      <c r="I528" s="7" t="inlineStr">
        <is>
          <t>English</t>
        </is>
      </c>
      <c r="J528" s="9" t="inlineStr">
        <is>
          <t>Coins / நாணயம்</t>
        </is>
      </c>
      <c r="K528" s="9" t="n"/>
      <c r="L528" s="7" t="inlineStr">
        <is>
          <t>Unknown</t>
        </is>
      </c>
      <c r="M528" s="9" t="inlineStr">
        <is>
          <t>Web search: Tamil coins Sri Lanka archaeology. Auto-collected 2026-10-15 (ddg); review.</t>
        </is>
      </c>
      <c r="N528" s="10" t="inlineStr">
        <is>
          <t>https://en.wikipedia.org/wiki/Pandya_coinage</t>
        </is>
      </c>
    </row>
    <row r="529">
      <c r="A529" s="11" t="inlineStr">
        <is>
          <t>ALL-0528</t>
        </is>
      </c>
      <c r="B529" s="11" t="inlineStr">
        <is>
          <t>Web Articles</t>
        </is>
      </c>
      <c r="C529" s="12" t="n"/>
      <c r="D529" s="11" t="n"/>
      <c r="E529" s="13" t="inlineStr">
        <is>
          <t>Rock Art Gallery of Sri Lanka - Bradshaw Foundation</t>
        </is>
      </c>
      <c r="F529" s="13" t="n"/>
      <c r="G529" s="13" t="inlineStr">
        <is>
          <t>bradshawfoundation.com</t>
        </is>
      </c>
      <c r="H529" s="11" t="inlineStr">
        <is>
          <t>Web page</t>
        </is>
      </c>
      <c r="I529" s="11" t="inlineStr">
        <is>
          <t>English</t>
        </is>
      </c>
      <c r="J529" s="13" t="inlineStr">
        <is>
          <t>Rock art / பாறை ஓவியம்</t>
        </is>
      </c>
      <c r="K529" s="13" t="inlineStr">
        <is>
          <t>rock art</t>
        </is>
      </c>
      <c r="L529" s="11" t="inlineStr">
        <is>
          <t>Unknown</t>
        </is>
      </c>
      <c r="M529" s="13" t="inlineStr">
        <is>
          <t>Web search: Sri Lanka rock art cave painting. Auto-collected 2026-10-15 (ddg); review.</t>
        </is>
      </c>
      <c r="N529" s="14" t="inlineStr">
        <is>
          <t>https://www.bradshawfoundation.com/sri_lanka/gallery/index.php</t>
        </is>
      </c>
    </row>
    <row r="530">
      <c r="A530" s="7" t="inlineStr">
        <is>
          <t>ALL-0529</t>
        </is>
      </c>
      <c r="B530" s="7" t="inlineStr">
        <is>
          <t>Web Articles</t>
        </is>
      </c>
      <c r="C530" s="8" t="n"/>
      <c r="D530" s="7" t="n"/>
      <c r="E530" s="9" t="inlineStr">
        <is>
          <t>Rock Paintings and Engraving Sites in Sri Lanka - Bradshaw Foundation</t>
        </is>
      </c>
      <c r="F530" s="9" t="n"/>
      <c r="G530" s="9" t="inlineStr">
        <is>
          <t>bradshawfoundation.com</t>
        </is>
      </c>
      <c r="H530" s="7" t="inlineStr">
        <is>
          <t>Web page</t>
        </is>
      </c>
      <c r="I530" s="7" t="inlineStr">
        <is>
          <t>English</t>
        </is>
      </c>
      <c r="J530" s="9" t="inlineStr">
        <is>
          <t>Rock art / பாறை ஓவியம்</t>
        </is>
      </c>
      <c r="K530" s="9" t="inlineStr">
        <is>
          <t>rock painting</t>
        </is>
      </c>
      <c r="L530" s="7" t="inlineStr">
        <is>
          <t>Unknown</t>
        </is>
      </c>
      <c r="M530" s="9" t="inlineStr">
        <is>
          <t>Web search: Sri Lanka rock art cave painting. Auto-collected 2026-10-15 (ddg); review.</t>
        </is>
      </c>
      <c r="N530" s="10" t="inlineStr">
        <is>
          <t>https://www.bradshawfoundation.com/sri_lanka/rock_paintings_engraving_sites/index.php</t>
        </is>
      </c>
    </row>
    <row r="531">
      <c r="A531" s="11" t="inlineStr">
        <is>
          <t>ALL-0530</t>
        </is>
      </c>
      <c r="B531" s="11" t="inlineStr">
        <is>
          <t>Web Articles</t>
        </is>
      </c>
      <c r="C531" s="12" t="n"/>
      <c r="D531" s="11" t="n"/>
      <c r="E531" s="13" t="inlineStr">
        <is>
          <t>Sinhalese Hero Stone Analysis</t>
        </is>
      </c>
      <c r="F531" s="13" t="n"/>
      <c r="G531" s="13" t="inlineStr">
        <is>
          <t>scribd.com</t>
        </is>
      </c>
      <c r="H531" s="11" t="inlineStr">
        <is>
          <t>Web page</t>
        </is>
      </c>
      <c r="I531" s="11" t="inlineStr">
        <is>
          <t>English</t>
        </is>
      </c>
      <c r="J531" s="13" t="inlineStr">
        <is>
          <t>Hero stones / நடுகல்</t>
        </is>
      </c>
      <c r="K531" s="13" t="inlineStr">
        <is>
          <t>hero stone</t>
        </is>
      </c>
      <c r="L531" s="11" t="inlineStr">
        <is>
          <t>Unknown</t>
        </is>
      </c>
      <c r="M531" s="13" t="inlineStr">
        <is>
          <t>Web search: Sri Lanka hero stone. Auto-collected 2026-10-15 (ddg); review.</t>
        </is>
      </c>
      <c r="N531" s="14" t="inlineStr">
        <is>
          <t>https://www.scribd.com/document/459454071/srilanka-herostone-pdf</t>
        </is>
      </c>
    </row>
    <row r="532">
      <c r="A532" s="7" t="inlineStr">
        <is>
          <t>ALL-0531</t>
        </is>
      </c>
      <c r="B532" s="7" t="inlineStr">
        <is>
          <t>Web Articles</t>
        </is>
      </c>
      <c r="C532" s="8" t="n"/>
      <c r="D532" s="7" t="n"/>
      <c r="E532" s="9" t="inlineStr">
        <is>
          <t>Sources of ancient Tamil history</t>
        </is>
      </c>
      <c r="F532" s="9" t="inlineStr">
        <is>
          <t>Wikipedia contributors</t>
        </is>
      </c>
      <c r="G532" s="9" t="inlineStr">
        <is>
          <t>Wikipedia (en)</t>
        </is>
      </c>
      <c r="H532" s="7" t="inlineStr">
        <is>
          <t>Encyclopedia article</t>
        </is>
      </c>
      <c r="I532" s="7" t="inlineStr">
        <is>
          <t>English</t>
        </is>
      </c>
      <c r="J532" s="9" t="n"/>
      <c r="K532" s="9" t="n"/>
      <c r="L532" s="7" t="inlineStr">
        <is>
          <t>Unknown</t>
        </is>
      </c>
      <c r="M532" s="9" t="inlineStr">
        <is>
          <t>Date = page creation. Auto-collected 2026-10-14 (wikipedia); review.</t>
        </is>
      </c>
      <c r="N532" s="10" t="inlineStr">
        <is>
          <t>https://en.wikipedia.org/wiki/Sources_of_ancient_Tamil_history</t>
        </is>
      </c>
    </row>
    <row r="533">
      <c r="A533" s="11" t="inlineStr">
        <is>
          <t>ALL-0532</t>
        </is>
      </c>
      <c r="B533" s="11" t="inlineStr">
        <is>
          <t>Web Articles</t>
        </is>
      </c>
      <c r="C533" s="12" t="n"/>
      <c r="D533" s="11" t="n"/>
      <c r="E533" s="13" t="inlineStr">
        <is>
          <t>Sri Lanka Inscriptions</t>
        </is>
      </c>
      <c r="F533" s="13" t="n"/>
      <c r="G533" s="13" t="inlineStr">
        <is>
          <t>inscriptions.lk</t>
        </is>
      </c>
      <c r="H533" s="11" t="inlineStr">
        <is>
          <t>Web page</t>
        </is>
      </c>
      <c r="I533" s="11" t="inlineStr">
        <is>
          <t>English</t>
        </is>
      </c>
      <c r="J533" s="13" t="inlineStr">
        <is>
          <t>Inscriptions / கல்வெட்டு</t>
        </is>
      </c>
      <c r="K533" s="13" t="inlineStr">
        <is>
          <t>inscription; inscriptions</t>
        </is>
      </c>
      <c r="L533" s="11" t="inlineStr">
        <is>
          <t>Unknown</t>
        </is>
      </c>
      <c r="M533" s="13" t="inlineStr">
        <is>
          <t>Web search: Sri Lanka Tamil inscription. Auto-collected 2026-10-20 (ddg); review.</t>
        </is>
      </c>
      <c r="N533" s="14" t="inlineStr">
        <is>
          <t>https://www.inscriptions.lk/db/VInscriptionsView/116?language=en-US</t>
        </is>
      </c>
    </row>
    <row r="534">
      <c r="A534" s="7" t="inlineStr">
        <is>
          <t>ALL-0533</t>
        </is>
      </c>
      <c r="B534" s="7" t="inlineStr">
        <is>
          <t>Web Articles</t>
        </is>
      </c>
      <c r="C534" s="8" t="n"/>
      <c r="D534" s="7" t="n"/>
      <c r="E534" s="9" t="inlineStr">
        <is>
          <t>Tamil Brahmi - Aksharamukha</t>
        </is>
      </c>
      <c r="F534" s="9" t="n"/>
      <c r="G534" s="9" t="inlineStr">
        <is>
          <t>aksharamukha.com</t>
        </is>
      </c>
      <c r="H534" s="7" t="inlineStr">
        <is>
          <t>Web page</t>
        </is>
      </c>
      <c r="I534" s="7" t="inlineStr">
        <is>
          <t>English</t>
        </is>
      </c>
      <c r="J534" s="9" t="inlineStr">
        <is>
          <t>Brahmi / பிராமி</t>
        </is>
      </c>
      <c r="K534" s="9" t="inlineStr">
        <is>
          <t>brahmi</t>
        </is>
      </c>
      <c r="L534" s="7" t="inlineStr">
        <is>
          <t>Unknown</t>
        </is>
      </c>
      <c r="M534" s="9" t="inlineStr">
        <is>
          <t>Web search: Sri Lanka Tamil Brahmi. Auto-collected 2026-10-15 (ddg); review.</t>
        </is>
      </c>
      <c r="N534" s="10" t="inlineStr">
        <is>
          <t>https://www.aksharamukha.com/describe/TamilBrahmi</t>
        </is>
      </c>
    </row>
    <row r="535">
      <c r="A535" s="11" t="inlineStr">
        <is>
          <t>ALL-0534</t>
        </is>
      </c>
      <c r="B535" s="11" t="inlineStr">
        <is>
          <t>Web Articles</t>
        </is>
      </c>
      <c r="C535" s="12" t="n"/>
      <c r="D535" s="11" t="n"/>
      <c r="E535" s="13" t="inlineStr">
        <is>
          <t>Tamil Brahmi Research Papers - Academia.edu</t>
        </is>
      </c>
      <c r="F535" s="13" t="n"/>
      <c r="G535" s="13" t="inlineStr">
        <is>
          <t>academia.edu</t>
        </is>
      </c>
      <c r="H535" s="11" t="inlineStr">
        <is>
          <t>Web page</t>
        </is>
      </c>
      <c r="I535" s="11" t="inlineStr">
        <is>
          <t>English</t>
        </is>
      </c>
      <c r="J535" s="13" t="inlineStr">
        <is>
          <t>Brahmi / பிராமி</t>
        </is>
      </c>
      <c r="K535" s="13" t="inlineStr">
        <is>
          <t>brahmi</t>
        </is>
      </c>
      <c r="L535" s="11" t="inlineStr">
        <is>
          <t>Unknown</t>
        </is>
      </c>
      <c r="M535" s="13" t="inlineStr">
        <is>
          <t>Web search: Sri Lanka Tamil Brahmi. Auto-collected 2026-10-19 (ddg); review.</t>
        </is>
      </c>
      <c r="N535" s="14" t="inlineStr">
        <is>
          <t>https://www.academia.edu/Documents/in/Tamil_Brahmi</t>
        </is>
      </c>
    </row>
    <row r="536">
      <c r="A536" s="7" t="inlineStr">
        <is>
          <t>ALL-0535</t>
        </is>
      </c>
      <c r="B536" s="7" t="inlineStr">
        <is>
          <t>Web Articles</t>
        </is>
      </c>
      <c r="C536" s="8" t="n"/>
      <c r="D536" s="7" t="n"/>
      <c r="E536" s="9" t="inlineStr">
        <is>
          <t>Tamil Coin Issued by King Ellalan during the Anuradhapura Era</t>
        </is>
      </c>
      <c r="F536" s="9" t="n"/>
      <c r="G536" s="9" t="inlineStr">
        <is>
          <t>sangam.org</t>
        </is>
      </c>
      <c r="H536" s="7" t="inlineStr">
        <is>
          <t>Web page</t>
        </is>
      </c>
      <c r="I536" s="7" t="inlineStr">
        <is>
          <t>English</t>
        </is>
      </c>
      <c r="J536" s="9" t="inlineStr">
        <is>
          <t>Coins / நாணயம்</t>
        </is>
      </c>
      <c r="K536" s="9" t="n"/>
      <c r="L536" s="7" t="inlineStr">
        <is>
          <t>Unknown</t>
        </is>
      </c>
      <c r="M536" s="9" t="inlineStr">
        <is>
          <t>Web search: Tamil coins Sri Lanka archaeology. Auto-collected 2026-10-16 (ddg); review.</t>
        </is>
      </c>
      <c r="N536" s="10" t="inlineStr">
        <is>
          <t>https://sangam.org/tamil-coin-issued-by-king-ellalan-during-the-anuradhapura-era/</t>
        </is>
      </c>
    </row>
    <row r="537">
      <c r="A537" s="11" t="inlineStr">
        <is>
          <t>ALL-0536</t>
        </is>
      </c>
      <c r="B537" s="11" t="inlineStr">
        <is>
          <t>Web Articles</t>
        </is>
      </c>
      <c r="C537" s="12" t="n"/>
      <c r="D537" s="11" t="n"/>
      <c r="E537" s="13" t="inlineStr">
        <is>
          <t>Tamil Influence on Early Brahmi Inscriptions | PDF | Sri Lanka</t>
        </is>
      </c>
      <c r="F537" s="13" t="n"/>
      <c r="G537" s="13" t="inlineStr">
        <is>
          <t>scribd.com</t>
        </is>
      </c>
      <c r="H537" s="11" t="inlineStr">
        <is>
          <t>Web page</t>
        </is>
      </c>
      <c r="I537" s="11" t="inlineStr">
        <is>
          <t>English</t>
        </is>
      </c>
      <c r="J537" s="13" t="inlineStr">
        <is>
          <t>Inscriptions / கல்வெட்டு; Brahmi / பிராமி</t>
        </is>
      </c>
      <c r="K537" s="13" t="inlineStr">
        <is>
          <t>inscription; inscriptions; brahmi</t>
        </is>
      </c>
      <c r="L537" s="11" t="inlineStr">
        <is>
          <t>Unknown</t>
        </is>
      </c>
      <c r="M537" s="13" t="inlineStr">
        <is>
          <t>Web search: Sri Lanka Tamil Brahmi. Auto-collected 2026-10-15 (ddg); review.</t>
        </is>
      </c>
      <c r="N537" s="14" t="inlineStr">
        <is>
          <t>https://www.scribd.com/document/375399590/Tamil-Influence-in-Ancient-Sri-Lanka-With-Special-Reference-to-Early-Brahmi-Inscriptions-All-Parts-A-Veluppillai-1979-and-1980</t>
        </is>
      </c>
    </row>
    <row r="538">
      <c r="A538" s="7" t="inlineStr">
        <is>
          <t>ALL-0537</t>
        </is>
      </c>
      <c r="B538" s="7" t="inlineStr">
        <is>
          <t>Web Articles</t>
        </is>
      </c>
      <c r="C538" s="8" t="n"/>
      <c r="D538" s="7" t="n"/>
      <c r="E538" s="9" t="inlineStr">
        <is>
          <t>Tamil inscriptions in Sri Lanka - Bharatpedia</t>
        </is>
      </c>
      <c r="F538" s="9" t="n"/>
      <c r="G538" s="9" t="inlineStr">
        <is>
          <t>en.bharatpedia.org</t>
        </is>
      </c>
      <c r="H538" s="7" t="inlineStr">
        <is>
          <t>Web page</t>
        </is>
      </c>
      <c r="I538" s="7" t="inlineStr">
        <is>
          <t>English</t>
        </is>
      </c>
      <c r="J538" s="9" t="inlineStr">
        <is>
          <t>Inscriptions / கல்வெட்டு</t>
        </is>
      </c>
      <c r="K538" s="9" t="inlineStr">
        <is>
          <t>inscription; inscriptions</t>
        </is>
      </c>
      <c r="L538" s="7" t="inlineStr">
        <is>
          <t>Unknown</t>
        </is>
      </c>
      <c r="M538" s="9" t="inlineStr">
        <is>
          <t>Web search: Sri Lanka Tamil inscription. Auto-collected 2026-10-20 (ddg); review.</t>
        </is>
      </c>
      <c r="N538" s="10" t="inlineStr">
        <is>
          <t>https://en.bharatpedia.org/wiki/Tamil_inscriptions_in_Sri_Lanka</t>
        </is>
      </c>
    </row>
    <row r="539">
      <c r="A539" s="11" t="inlineStr">
        <is>
          <t>ALL-0538</t>
        </is>
      </c>
      <c r="B539" s="11" t="inlineStr">
        <is>
          <t>Web Articles</t>
        </is>
      </c>
      <c r="C539" s="12" t="n"/>
      <c r="D539" s="11" t="n"/>
      <c r="E539" s="13" t="inlineStr">
        <is>
          <t>Tamil inscriptions in Sri Lanka - Grokipedia</t>
        </is>
      </c>
      <c r="F539" s="13" t="n"/>
      <c r="G539" s="13" t="inlineStr">
        <is>
          <t>grokipedia.com</t>
        </is>
      </c>
      <c r="H539" s="11" t="inlineStr">
        <is>
          <t>Web page</t>
        </is>
      </c>
      <c r="I539" s="11" t="inlineStr">
        <is>
          <t>English</t>
        </is>
      </c>
      <c r="J539" s="13" t="inlineStr">
        <is>
          <t>Inscriptions / கல்வெட்டு</t>
        </is>
      </c>
      <c r="K539" s="13" t="inlineStr">
        <is>
          <t>inscription; inscriptions</t>
        </is>
      </c>
      <c r="L539" s="11" t="inlineStr">
        <is>
          <t>Unknown</t>
        </is>
      </c>
      <c r="M539" s="13" t="inlineStr">
        <is>
          <t>Web search: Sri Lanka Tamil inscription. Auto-collected 2026-10-15 (ddg); review.</t>
        </is>
      </c>
      <c r="N539" s="14" t="inlineStr">
        <is>
          <t>https://grokipedia.com/page/tamil_inscriptions_in_sri_lanka</t>
        </is>
      </c>
    </row>
    <row r="540">
      <c r="A540" s="7" t="inlineStr">
        <is>
          <t>ALL-0539</t>
        </is>
      </c>
      <c r="B540" s="7" t="inlineStr">
        <is>
          <t>Web Articles</t>
        </is>
      </c>
      <c r="C540" s="8" t="n"/>
      <c r="D540" s="7" t="n"/>
      <c r="E540" s="9" t="inlineStr">
        <is>
          <t>Tamil inscriptions in Sri Lanka - Wikiwand</t>
        </is>
      </c>
      <c r="F540" s="9" t="n"/>
      <c r="G540" s="9" t="inlineStr">
        <is>
          <t>wikiwand.com</t>
        </is>
      </c>
      <c r="H540" s="7" t="inlineStr">
        <is>
          <t>Web page</t>
        </is>
      </c>
      <c r="I540" s="7" t="inlineStr">
        <is>
          <t>English</t>
        </is>
      </c>
      <c r="J540" s="9" t="inlineStr">
        <is>
          <t>Inscriptions / கல்வெட்டு</t>
        </is>
      </c>
      <c r="K540" s="9" t="inlineStr">
        <is>
          <t>inscription; inscriptions</t>
        </is>
      </c>
      <c r="L540" s="7" t="inlineStr">
        <is>
          <t>Unknown</t>
        </is>
      </c>
      <c r="M540" s="9" t="inlineStr">
        <is>
          <t>Web search: Sri Lanka Tamil inscription. Auto-collected 2026-10-15 (ddg); review.</t>
        </is>
      </c>
      <c r="N540" s="10" t="inlineStr">
        <is>
          <t>https://www.wikiwand.com/en/Tamil_inscriptions_in_Sri_Lanka</t>
        </is>
      </c>
    </row>
    <row r="541">
      <c r="A541" s="11" t="inlineStr">
        <is>
          <t>ALL-0540</t>
        </is>
      </c>
      <c r="B541" s="11" t="inlineStr">
        <is>
          <t>Web Articles</t>
        </is>
      </c>
      <c r="C541" s="12" t="n"/>
      <c r="D541" s="11" t="n"/>
      <c r="E541" s="13" t="inlineStr">
        <is>
          <t>The Inscription at Fort Frederick, Trincomalee</t>
        </is>
      </c>
      <c r="F541" s="13" t="n"/>
      <c r="G541" s="13" t="inlineStr">
        <is>
          <t>jstor.org</t>
        </is>
      </c>
      <c r="H541" s="11" t="inlineStr">
        <is>
          <t>Web page</t>
        </is>
      </c>
      <c r="I541" s="11" t="inlineStr">
        <is>
          <t>English</t>
        </is>
      </c>
      <c r="J541" s="13" t="inlineStr">
        <is>
          <t>Inscriptions / கல்வெட்டு</t>
        </is>
      </c>
      <c r="K541" s="13" t="inlineStr">
        <is>
          <t>inscription</t>
        </is>
      </c>
      <c r="L541" s="11" t="inlineStr">
        <is>
          <t>Unknown</t>
        </is>
      </c>
      <c r="M541" s="13" t="inlineStr">
        <is>
          <t>Web search: Trincomalee Tamil inscription. Auto-collected 2026-10-17 (ddg); review.</t>
        </is>
      </c>
      <c r="N541" s="14" t="inlineStr">
        <is>
          <t>https://www.jstor.org/stable/43483806</t>
        </is>
      </c>
    </row>
    <row r="542">
      <c r="A542" s="7" t="inlineStr">
        <is>
          <t>ALL-0541</t>
        </is>
      </c>
      <c r="B542" s="7" t="inlineStr">
        <is>
          <t>Web Articles</t>
        </is>
      </c>
      <c r="C542" s="8" t="n"/>
      <c r="D542" s="7" t="n"/>
      <c r="E542" s="9" t="inlineStr">
        <is>
          <t>The Origin of The Tamil Vanni Chieftaincies Of</t>
        </is>
      </c>
      <c r="F542" s="9" t="n"/>
      <c r="G542" s="9" t="inlineStr">
        <is>
          <t>ir.lib.pdn.ac.lk</t>
        </is>
      </c>
      <c r="H542" s="7" t="inlineStr">
        <is>
          <t>Web page</t>
        </is>
      </c>
      <c r="I542" s="7" t="inlineStr">
        <is>
          <t>English</t>
        </is>
      </c>
      <c r="J542" s="9" t="n"/>
      <c r="K542" s="9" t="n"/>
      <c r="L542" s="7" t="inlineStr">
        <is>
          <t>Unknown</t>
        </is>
      </c>
      <c r="M542" s="9" t="inlineStr">
        <is>
          <t>Web search: Vanni archaeology Tamil. Auto-collected 2026-10-15 (ddg); review.</t>
        </is>
      </c>
      <c r="N542" s="10" t="inlineStr">
        <is>
          <t>https://ir.lib.pdn.ac.lk/bitstreams/98390e3c-9f21-449b-b076-6276cf94f4e8/download</t>
        </is>
      </c>
    </row>
    <row r="543">
      <c r="A543" s="11" t="inlineStr">
        <is>
          <t>ALL-0542</t>
        </is>
      </c>
      <c r="B543" s="11" t="inlineStr">
        <is>
          <t>Web Articles</t>
        </is>
      </c>
      <c r="C543" s="12" t="n"/>
      <c r="D543" s="11" t="n"/>
      <c r="E543" s="13" t="inlineStr">
        <is>
          <t>The antiquity of Jaffna Fort: new evidence from post-disaster ...</t>
        </is>
      </c>
      <c r="F543" s="13" t="n"/>
      <c r="G543" s="13" t="inlineStr">
        <is>
          <t>cambridge.org</t>
        </is>
      </c>
      <c r="H543" s="11" t="inlineStr">
        <is>
          <t>Web page</t>
        </is>
      </c>
      <c r="I543" s="11" t="inlineStr">
        <is>
          <t>English</t>
        </is>
      </c>
      <c r="J543" s="13" t="n"/>
      <c r="K543" s="13" t="n"/>
      <c r="L543" s="11" t="inlineStr">
        <is>
          <t>Unknown</t>
        </is>
      </c>
      <c r="M543" s="13" t="inlineStr">
        <is>
          <t>Web search: Jaffna archaeology. Auto-collected 2026-10-21 (ddg); review.</t>
        </is>
      </c>
      <c r="N543" s="14" t="inlineStr">
        <is>
          <t>https://www.cambridge.org/core/journals/antiquity/article/antiquity-of-jaffna-fort-new-evidence-from-postdisaster-archaeological-investigations-in-northern-sri-lanka/C55CDA3934CC5C18EE40B903734C7215</t>
        </is>
      </c>
    </row>
    <row r="544">
      <c r="A544" s="7" t="inlineStr">
        <is>
          <t>ALL-0543</t>
        </is>
      </c>
      <c r="B544" s="7" t="inlineStr">
        <is>
          <t>Web Articles</t>
        </is>
      </c>
      <c r="C544" s="8" t="n"/>
      <c r="D544" s="7" t="n"/>
      <c r="E544" s="9" t="inlineStr">
        <is>
          <t>Trilingual Inscription (TribhashaSellipiya) - Memory of the World - UNESCO</t>
        </is>
      </c>
      <c r="F544" s="9" t="n"/>
      <c r="G544" s="9" t="inlineStr">
        <is>
          <t>unesco.org</t>
        </is>
      </c>
      <c r="H544" s="7" t="inlineStr">
        <is>
          <t>Web page</t>
        </is>
      </c>
      <c r="I544" s="7" t="inlineStr">
        <is>
          <t>English</t>
        </is>
      </c>
      <c r="J544" s="9" t="inlineStr">
        <is>
          <t>Inscriptions / கல்வெட்டு</t>
        </is>
      </c>
      <c r="K544" s="9" t="inlineStr">
        <is>
          <t>inscription</t>
        </is>
      </c>
      <c r="L544" s="7" t="inlineStr">
        <is>
          <t>Unknown</t>
        </is>
      </c>
      <c r="M544" s="9" t="inlineStr">
        <is>
          <t>Web search: Sri Lanka Tamil inscription. Auto-collected 2026-10-15 (ddg); review.</t>
        </is>
      </c>
      <c r="N544" s="10" t="inlineStr">
        <is>
          <t>https://www.unesco.org/en/memory-world/trilingual-inscription-tribhashasellipiya</t>
        </is>
      </c>
    </row>
    <row r="545">
      <c r="A545" s="11" t="inlineStr">
        <is>
          <t>ALL-0544</t>
        </is>
      </c>
      <c r="B545" s="11" t="inlineStr">
        <is>
          <t>Web Articles</t>
        </is>
      </c>
      <c r="C545" s="12" t="n"/>
      <c r="D545" s="11" t="n"/>
      <c r="E545" s="13" t="inlineStr">
        <is>
          <t>UOJ Online catalog › Details for: A tamil slab-inscription from ...</t>
        </is>
      </c>
      <c r="F545" s="13" t="n"/>
      <c r="G545" s="13" t="inlineStr">
        <is>
          <t>libcat.lib.jfn.ac.lk</t>
        </is>
      </c>
      <c r="H545" s="11" t="inlineStr">
        <is>
          <t>Web page</t>
        </is>
      </c>
      <c r="I545" s="11" t="inlineStr">
        <is>
          <t>English</t>
        </is>
      </c>
      <c r="J545" s="13" t="inlineStr">
        <is>
          <t>Inscriptions / கல்வெட்டு</t>
        </is>
      </c>
      <c r="K545" s="13" t="inlineStr">
        <is>
          <t>inscription</t>
        </is>
      </c>
      <c r="L545" s="11" t="inlineStr">
        <is>
          <t>Unknown</t>
        </is>
      </c>
      <c r="M545" s="13" t="inlineStr">
        <is>
          <t>Web search: Trincomalee Tamil inscription. Auto-collected 2026-10-15 (ddg); review.</t>
        </is>
      </c>
      <c r="N545" s="14" t="inlineStr">
        <is>
          <t>http://libcat.lib.jfn.ac.lk/cgi-bin/koha/opac-detail.pl?biblionumber=54703</t>
        </is>
      </c>
    </row>
    <row r="546">
      <c r="A546" s="7" t="inlineStr">
        <is>
          <t>ALL-0545</t>
        </is>
      </c>
      <c r="B546" s="7" t="inlineStr">
        <is>
          <t>Web Articles</t>
        </is>
      </c>
      <c r="C546" s="8" t="n"/>
      <c r="D546" s="7" t="n"/>
      <c r="E546" s="9" t="inlineStr">
        <is>
          <t>Vallipuram</t>
        </is>
      </c>
      <c r="F546" s="9" t="inlineStr">
        <is>
          <t>Wikipedia contributors</t>
        </is>
      </c>
      <c r="G546" s="9" t="inlineStr">
        <is>
          <t>Wikipedia (en)</t>
        </is>
      </c>
      <c r="H546" s="7" t="inlineStr">
        <is>
          <t>Encyclopedia article</t>
        </is>
      </c>
      <c r="I546" s="7" t="inlineStr">
        <is>
          <t>English</t>
        </is>
      </c>
      <c r="J546" s="9" t="n"/>
      <c r="K546" s="9" t="n"/>
      <c r="L546" s="7" t="inlineStr">
        <is>
          <t>Unknown</t>
        </is>
      </c>
      <c r="M546" s="9" t="inlineStr">
        <is>
          <t>Date = page creation. Auto-collected 2026-10-14 (wikipedia); review.</t>
        </is>
      </c>
      <c r="N546" s="10" t="inlineStr">
        <is>
          <t>https://en.wikipedia.org/wiki/Vallipuram</t>
        </is>
      </c>
    </row>
    <row r="547">
      <c r="A547" s="11" t="inlineStr">
        <is>
          <t>ALL-0546</t>
        </is>
      </c>
      <c r="B547" s="11" t="inlineStr">
        <is>
          <t>Web Articles</t>
        </is>
      </c>
      <c r="C547" s="12" t="n"/>
      <c r="D547" s="11" t="n"/>
      <c r="E547" s="13" t="inlineStr">
        <is>
          <t>Vanni Bandara Stone Memorial in Oddusuddan: A Legacy of Resistance</t>
        </is>
      </c>
      <c r="F547" s="13" t="n"/>
      <c r="G547" s="13" t="inlineStr">
        <is>
          <t>AmazingLanka.com</t>
        </is>
      </c>
      <c r="H547" s="11" t="inlineStr">
        <is>
          <t>Web article</t>
        </is>
      </c>
      <c r="I547" s="11" t="inlineStr">
        <is>
          <t>English</t>
        </is>
      </c>
      <c r="J547" s="13" t="inlineStr">
        <is>
          <t>Hero stones / நடுகல்</t>
        </is>
      </c>
      <c r="K547" s="13" t="inlineStr">
        <is>
          <t>memorial stone; Vanni</t>
        </is>
      </c>
      <c r="L547" s="11" t="inlineStr">
        <is>
          <t>Unknown</t>
        </is>
      </c>
      <c r="M547" s="13" t="n"/>
      <c r="N547" s="14" t="inlineStr">
        <is>
          <t>https://amazinglanka.com/wp/vanni-bandara-en/</t>
        </is>
      </c>
    </row>
    <row r="548">
      <c r="A548" s="7" t="inlineStr">
        <is>
          <t>ALL-0547</t>
        </is>
      </c>
      <c r="B548" s="7" t="inlineStr">
        <is>
          <t>Web Articles</t>
        </is>
      </c>
      <c r="C548" s="8" t="n"/>
      <c r="D548" s="7" t="n"/>
      <c r="E548" s="9" t="inlineStr">
        <is>
          <t>Vanni and The Vanniyas - நூலகம் - noolaham.org</t>
        </is>
      </c>
      <c r="F548" s="9" t="n"/>
      <c r="G548" s="9" t="inlineStr">
        <is>
          <t>noolaham.org</t>
        </is>
      </c>
      <c r="H548" s="7" t="inlineStr">
        <is>
          <t>Web page</t>
        </is>
      </c>
      <c r="I548" s="7" t="inlineStr">
        <is>
          <t>Tamil</t>
        </is>
      </c>
      <c r="J548" s="9" t="n"/>
      <c r="K548" s="9" t="n"/>
      <c r="L548" s="7" t="inlineStr">
        <is>
          <t>Unknown</t>
        </is>
      </c>
      <c r="M548" s="9" t="inlineStr">
        <is>
          <t>Web search: Vanni archaeology Tamil. Auto-collected 2026-10-15 (ddg); review.</t>
        </is>
      </c>
      <c r="N548" s="10" t="inlineStr">
        <is>
          <t>https://noolaham.org/wiki/index.php/Vanni_and_The_Vanniyas</t>
        </is>
      </c>
    </row>
    <row r="549">
      <c r="A549" s="11" t="inlineStr">
        <is>
          <t>ALL-0548</t>
        </is>
      </c>
      <c r="B549" s="11" t="inlineStr">
        <is>
          <t>Web Articles</t>
        </is>
      </c>
      <c r="C549" s="12" t="n"/>
      <c r="D549" s="11" t="n"/>
      <c r="E549" s="13" t="inlineStr">
        <is>
          <t>அனுராதபுரம் நான்கு நாட்டார் கல்வெட்டு</t>
        </is>
      </c>
      <c r="F549" s="13" t="inlineStr">
        <is>
          <t>Wikipedia contributors</t>
        </is>
      </c>
      <c r="G549" s="13" t="inlineStr">
        <is>
          <t>Wikipedia (ta)</t>
        </is>
      </c>
      <c r="H549" s="11" t="inlineStr">
        <is>
          <t>Encyclopedia article</t>
        </is>
      </c>
      <c r="I549" s="11" t="inlineStr">
        <is>
          <t>Tamil</t>
        </is>
      </c>
      <c r="J549" s="13" t="inlineStr">
        <is>
          <t>Inscriptions / கல்வெட்டு</t>
        </is>
      </c>
      <c r="K549" s="13" t="inlineStr">
        <is>
          <t>கல்வெட்டு</t>
        </is>
      </c>
      <c r="L549" s="11" t="inlineStr">
        <is>
          <t>Unknown</t>
        </is>
      </c>
      <c r="M549" s="13" t="inlineStr">
        <is>
          <t>Date = page creation. Auto-collected 2026-10-14 (wikipedia); review.</t>
        </is>
      </c>
      <c r="N549" s="14" t="inlineStr">
        <is>
          <t>https://ta.wikipedia.org/wiki/%E0%AE%85%E0%AE%A9%E0%AF%81%E0%AE%B0%E0%AE%BE%E0%AE%A4%E0%AE%AA%E0%AF%81%E0%AE%B0%E0%AE%AE%E0%AF%8D_%E0%AE%A8%E0%AE%BE%E0%AE%A9%E0%AF%8D%E0%AE%95%E0%AF%81_%E0%AE%A8%E0%AE%BE%E0%AE%9F%E0%AF%8D%E0%AE%9F%E0%AE%BE%E0%AE%B0%E0%AF%8D_%E0%AE%95%E0%AE%B2%E0%AF%8D%E0%AE%B5%E0%AF%86%E0%AE%9F%E0%AF%8D%E0%AE%9F%E0%AF%81</t>
        </is>
      </c>
    </row>
    <row r="550">
      <c r="A550" s="7" t="inlineStr">
        <is>
          <t>ALL-0549</t>
        </is>
      </c>
      <c r="B550" s="7" t="inlineStr">
        <is>
          <t>Web Articles</t>
        </is>
      </c>
      <c r="C550" s="8" t="n"/>
      <c r="D550" s="7" t="n"/>
      <c r="E550" s="9" t="inlineStr">
        <is>
          <t>இலங்கையில் தமிழ் பிராமி கல்வெட்டுகள் பேராசிரியர் சி.பத்மநாதன் ...</t>
        </is>
      </c>
      <c r="F550" s="9" t="n"/>
      <c r="G550" s="9" t="inlineStr">
        <is>
          <t>ilakku.org</t>
        </is>
      </c>
      <c r="H550" s="7" t="inlineStr">
        <is>
          <t>Web page</t>
        </is>
      </c>
      <c r="I550" s="7" t="inlineStr">
        <is>
          <t>Tamil</t>
        </is>
      </c>
      <c r="J550" s="9" t="inlineStr">
        <is>
          <t>Inscriptions / கல்வெட்டு; Brahmi / பிராமி</t>
        </is>
      </c>
      <c r="K550" s="9" t="inlineStr">
        <is>
          <t>கல்வெட்டு; கல்வெட்டுகள்; பிராமி</t>
        </is>
      </c>
      <c r="L550" s="7" t="inlineStr">
        <is>
          <t>Unknown</t>
        </is>
      </c>
      <c r="M550" s="9" t="inlineStr">
        <is>
          <t>Web search: Sri Lanka Tamil Brahmi. Auto-collected 2026-10-15 (ddg); review.</t>
        </is>
      </c>
      <c r="N550" s="10" t="inlineStr">
        <is>
          <t>https://www.ilakku.org/tamil-brahmi-in-sri-lanka/</t>
        </is>
      </c>
    </row>
    <row r="551">
      <c r="A551" s="11" t="inlineStr">
        <is>
          <t>ALL-0550</t>
        </is>
      </c>
      <c r="B551" s="11" t="inlineStr">
        <is>
          <t>Web Articles</t>
        </is>
      </c>
      <c r="C551" s="12" t="n"/>
      <c r="D551" s="11" t="n"/>
      <c r="E551" s="13" t="inlineStr">
        <is>
          <t>ஈழத்தின் தொன்ம மொழியும் தொல்லியல் ஆதாரங்களும் - Tamil Heritage</t>
        </is>
      </c>
      <c r="F551" s="13" t="n"/>
      <c r="G551" s="13" t="inlineStr">
        <is>
          <t>telibrary.com</t>
        </is>
      </c>
      <c r="H551" s="11" t="inlineStr">
        <is>
          <t>Web page</t>
        </is>
      </c>
      <c r="I551" s="11" t="inlineStr">
        <is>
          <t>Tamil</t>
        </is>
      </c>
      <c r="J551" s="13" t="inlineStr">
        <is>
          <t>Archaeology / தொல்லியல்</t>
        </is>
      </c>
      <c r="K551" s="13" t="inlineStr">
        <is>
          <t>தொல்லியல்</t>
        </is>
      </c>
      <c r="L551" s="11" t="inlineStr">
        <is>
          <t>Unknown</t>
        </is>
      </c>
      <c r="M551" s="13" t="inlineStr">
        <is>
          <t>Web search: ஈழம் தொல்லியல் பிராமி. Auto-collected 2026-10-15 (ddg); review.</t>
        </is>
      </c>
      <c r="N551" s="14" t="inlineStr">
        <is>
          <t>https://telibrary.com/ancient-language-of-eelam-and-archaeological-evidence/</t>
        </is>
      </c>
    </row>
    <row r="552">
      <c r="A552" s="7" t="inlineStr">
        <is>
          <t>ALL-0551</t>
        </is>
      </c>
      <c r="B552" s="7" t="inlineStr">
        <is>
          <t>Web Articles</t>
        </is>
      </c>
      <c r="C552" s="8" t="n"/>
      <c r="D552" s="7" t="n"/>
      <c r="E552" s="9" t="inlineStr">
        <is>
          <t>கோப்பாய் சங்கிலியன் கோட்டை</t>
        </is>
      </c>
      <c r="F552" s="9" t="inlineStr">
        <is>
          <t>Wikipedia contributors</t>
        </is>
      </c>
      <c r="G552" s="9" t="inlineStr">
        <is>
          <t>Wikipedia (ta)</t>
        </is>
      </c>
      <c r="H552" s="7" t="inlineStr">
        <is>
          <t>Encyclopedia article</t>
        </is>
      </c>
      <c r="I552" s="7" t="inlineStr">
        <is>
          <t>Tamil</t>
        </is>
      </c>
      <c r="J552" s="9" t="n"/>
      <c r="K552" s="9" t="n"/>
      <c r="L552" s="7" t="inlineStr">
        <is>
          <t>Unknown</t>
        </is>
      </c>
      <c r="M552" s="9" t="inlineStr">
        <is>
          <t>Date = page creation. Auto-collected 2026-10-14 (wikipedia); review.</t>
        </is>
      </c>
      <c r="N552" s="10" t="inlineStr">
        <is>
          <t>https://ta.wikipedia.org/wiki/%E0%AE%95%E0%AF%8B%E0%AE%AA%E0%AF%8D%E0%AE%AA%E0%AE%BE%E0%AE%AF%E0%AF%8D_%E0%AE%9A%E0%AE%99%E0%AF%8D%E0%AE%95%E0%AE%BF%E0%AE%B2%E0%AE%BF%E0%AE%AF%E0%AE%A9%E0%AF%8D_%E0%AE%95%E0%AF%8B%E0%AE%9F%E0%AF%8D%E0%AE%9F%E0%AF%88</t>
        </is>
      </c>
    </row>
    <row r="553">
      <c r="A553" s="11" t="inlineStr">
        <is>
          <t>ALL-0552</t>
        </is>
      </c>
      <c r="B553" s="11" t="inlineStr">
        <is>
          <t>Web Articles</t>
        </is>
      </c>
      <c r="C553" s="12" t="n"/>
      <c r="D553" s="11" t="n"/>
      <c r="E553" s="13" t="inlineStr">
        <is>
          <t>சங்க இலக்கியங்களில் நடுகல் பற்றிய வகைப்பாடு | Kalanjiyam ...</t>
        </is>
      </c>
      <c r="F553" s="13" t="n"/>
      <c r="G553" s="13" t="inlineStr">
        <is>
          <t>ngmtamil.in</t>
        </is>
      </c>
      <c r="H553" s="11" t="inlineStr">
        <is>
          <t>Web page</t>
        </is>
      </c>
      <c r="I553" s="11" t="inlineStr">
        <is>
          <t>Tamil</t>
        </is>
      </c>
      <c r="J553" s="13" t="inlineStr">
        <is>
          <t>Hero stones / நடுகல்</t>
        </is>
      </c>
      <c r="K553" s="13" t="inlineStr">
        <is>
          <t>நடுகல்</t>
        </is>
      </c>
      <c r="L553" s="11" t="inlineStr">
        <is>
          <t>Unknown</t>
        </is>
      </c>
      <c r="M553" s="13" t="inlineStr">
        <is>
          <t>Web search: இலங்கை நடுகல். Auto-collected 2026-10-15 (ddg); review.</t>
        </is>
      </c>
      <c r="N553" s="14" t="inlineStr">
        <is>
          <t>https://ngmtamil.in/kalanjiyam-tamil/index.php/kalanjiyam/article/view/58</t>
        </is>
      </c>
    </row>
    <row r="554">
      <c r="A554" s="7" t="inlineStr">
        <is>
          <t>ALL-0553</t>
        </is>
      </c>
      <c r="B554" s="7" t="inlineStr">
        <is>
          <t>Web Articles</t>
        </is>
      </c>
      <c r="C554" s="8" t="n"/>
      <c r="D554" s="7" t="n"/>
      <c r="E554" s="9" t="inlineStr">
        <is>
          <t>தமிழ்க் கல்வெட்டுகள்</t>
        </is>
      </c>
      <c r="F554" s="9" t="inlineStr">
        <is>
          <t>Wikipedia contributors</t>
        </is>
      </c>
      <c r="G554" s="9" t="inlineStr">
        <is>
          <t>Wikipedia (ta)</t>
        </is>
      </c>
      <c r="H554" s="7" t="inlineStr">
        <is>
          <t>Encyclopedia article</t>
        </is>
      </c>
      <c r="I554" s="7" t="inlineStr">
        <is>
          <t>Tamil</t>
        </is>
      </c>
      <c r="J554" s="9" t="inlineStr">
        <is>
          <t>Inscriptions / கல்வெட்டு</t>
        </is>
      </c>
      <c r="K554" s="9" t="inlineStr">
        <is>
          <t>கல்வெட்டு; கல்வெட்டுகள்</t>
        </is>
      </c>
      <c r="L554" s="7" t="inlineStr">
        <is>
          <t>Unknown</t>
        </is>
      </c>
      <c r="M554" s="9" t="inlineStr">
        <is>
          <t>Date = page creation. Auto-collected 2026-10-14 (wikipedia); review.</t>
        </is>
      </c>
      <c r="N554" s="10" t="inlineStr">
        <is>
          <t>https://ta.wikipedia.org/wiki/%E0%AE%A4%E0%AE%AE%E0%AE%BF%E0%AE%B4%E0%AF%8D%E0%AE%95%E0%AF%8D_%E0%AE%95%E0%AE%B2%E0%AF%8D%E0%AE%B5%E0%AF%86%E0%AE%9F%E0%AF%8D%E0%AE%9F%E0%AF%81%E0%AE%95%E0%AE%B3%E0%AF%8D</t>
        </is>
      </c>
    </row>
    <row r="555">
      <c r="A555" s="11" t="inlineStr">
        <is>
          <t>ALL-0554</t>
        </is>
      </c>
      <c r="B555" s="11" t="inlineStr">
        <is>
          <t>Web Articles</t>
        </is>
      </c>
      <c r="C555" s="12" t="n"/>
      <c r="D555" s="11" t="n"/>
      <c r="E555" s="13" t="inlineStr">
        <is>
          <t>தம்பிலுவில் கல்வெட்டு</t>
        </is>
      </c>
      <c r="F555" s="13" t="inlineStr">
        <is>
          <t>Wikipedia contributors</t>
        </is>
      </c>
      <c r="G555" s="13" t="inlineStr">
        <is>
          <t>Wikipedia (ta)</t>
        </is>
      </c>
      <c r="H555" s="11" t="inlineStr">
        <is>
          <t>Encyclopedia article</t>
        </is>
      </c>
      <c r="I555" s="11" t="inlineStr">
        <is>
          <t>Tamil</t>
        </is>
      </c>
      <c r="J555" s="13" t="inlineStr">
        <is>
          <t>Inscriptions / கல்வெட்டு</t>
        </is>
      </c>
      <c r="K555" s="13" t="inlineStr">
        <is>
          <t>கல்வெட்டு</t>
        </is>
      </c>
      <c r="L555" s="11" t="inlineStr">
        <is>
          <t>Unknown</t>
        </is>
      </c>
      <c r="M555" s="13" t="inlineStr">
        <is>
          <t>Date = page creation. Auto-collected 2026-10-14 (wikipedia); review.</t>
        </is>
      </c>
      <c r="N555" s="14" t="inlineStr">
        <is>
          <t>https://ta.wikipedia.org/wiki/%E0%AE%A4%E0%AE%AE%E0%AF%8D%E0%AE%AA%E0%AE%BF%E0%AE%B2%E0%AF%81%E0%AE%B5%E0%AE%BF%E0%AE%B2%E0%AF%8D_%E0%AE%95%E0%AE%B2%E0%AF%8D%E0%AE%B5%E0%AF%86%E0%AE%9F%E0%AF%8D%E0%AE%9F%E0%AF%81</t>
        </is>
      </c>
    </row>
    <row r="556">
      <c r="A556" s="7" t="inlineStr">
        <is>
          <t>ALL-0555</t>
        </is>
      </c>
      <c r="B556" s="7" t="inlineStr">
        <is>
          <t>Web Articles</t>
        </is>
      </c>
      <c r="C556" s="8" t="n"/>
      <c r="D556" s="7" t="n"/>
      <c r="E556" s="9" t="inlineStr">
        <is>
          <t>திருகோணமலையில் மிக அரிய தமிழ்க் கல்வெட்டு கண்டுபிடிப்பு!</t>
        </is>
      </c>
      <c r="F556" s="9" t="n"/>
      <c r="G556" s="9" t="inlineStr">
        <is>
          <t>jvpnews.com</t>
        </is>
      </c>
      <c r="H556" s="7" t="inlineStr">
        <is>
          <t>Web page</t>
        </is>
      </c>
      <c r="I556" s="7" t="inlineStr">
        <is>
          <t>Tamil</t>
        </is>
      </c>
      <c r="J556" s="9" t="inlineStr">
        <is>
          <t>Inscriptions / கல்வெட்டு</t>
        </is>
      </c>
      <c r="K556" s="9" t="inlineStr">
        <is>
          <t>கல்வெட்டு</t>
        </is>
      </c>
      <c r="L556" s="7" t="inlineStr">
        <is>
          <t>Unknown</t>
        </is>
      </c>
      <c r="M556" s="9" t="inlineStr">
        <is>
          <t>Web search: Trincomalee Tamil inscription. Auto-collected 2026-10-15 (ddg); review.</t>
        </is>
      </c>
      <c r="N556" s="10" t="inlineStr">
        <is>
          <t>https://jvpnews.com/article/rare-tamil-inscription-found-in-trincomalee-1637737357</t>
        </is>
      </c>
    </row>
    <row r="557">
      <c r="A557" s="11" t="inlineStr">
        <is>
          <t>ALL-0556</t>
        </is>
      </c>
      <c r="B557" s="11" t="inlineStr">
        <is>
          <t>Web Articles</t>
        </is>
      </c>
      <c r="C557" s="12" t="n"/>
      <c r="D557" s="11" t="n"/>
      <c r="E557" s="13" t="inlineStr">
        <is>
          <t>தென்னிலங்கையில் கிடைத்த பண்டைய தமிழ் நாணயங்களின் வரலாற்றுப் பின்னணி</t>
        </is>
      </c>
      <c r="F557" s="13" t="n"/>
      <c r="G557" s="13" t="inlineStr">
        <is>
          <t>ezhunaonline.com</t>
        </is>
      </c>
      <c r="H557" s="11" t="inlineStr">
        <is>
          <t>Web page</t>
        </is>
      </c>
      <c r="I557" s="11" t="inlineStr">
        <is>
          <t>Tamil</t>
        </is>
      </c>
      <c r="J557" s="13" t="inlineStr">
        <is>
          <t>Coins / நாணயம்</t>
        </is>
      </c>
      <c r="K557" s="13" t="n"/>
      <c r="L557" s="11" t="inlineStr">
        <is>
          <t>Unknown</t>
        </is>
      </c>
      <c r="M557" s="13" t="inlineStr">
        <is>
          <t>Web search: Tamil coins Sri Lanka archaeology. Auto-collected 2026-10-21 (ddg); review.</t>
        </is>
      </c>
      <c r="N557" s="14" t="inlineStr">
        <is>
          <t>https://www.ezhunaonline.com/historical-background-of-ancient-tamil-coins-found-in-south-lanka/</t>
        </is>
      </c>
    </row>
    <row r="558">
      <c r="A558" s="7" t="inlineStr">
        <is>
          <t>ALL-0557</t>
        </is>
      </c>
      <c r="B558" s="7" t="inlineStr">
        <is>
          <t>Web Articles</t>
        </is>
      </c>
      <c r="C558" s="8" t="n"/>
      <c r="D558" s="7" t="n"/>
      <c r="E558" s="9" t="inlineStr">
        <is>
          <t>பிராமிக் கல்வெட்டுக்களும் தமிழும்</t>
        </is>
      </c>
      <c r="F558" s="9" t="n"/>
      <c r="G558" s="9" t="inlineStr">
        <is>
          <t>repo.lib.jfn.ac.lk</t>
        </is>
      </c>
      <c r="H558" s="7" t="inlineStr">
        <is>
          <t>Web page</t>
        </is>
      </c>
      <c r="I558" s="7" t="inlineStr">
        <is>
          <t>Tamil</t>
        </is>
      </c>
      <c r="J558" s="9" t="inlineStr">
        <is>
          <t>Inscriptions / கல்வெட்டு; Brahmi / பிராமி</t>
        </is>
      </c>
      <c r="K558" s="9" t="inlineStr">
        <is>
          <t>கல்வெட்டு; பிராமி</t>
        </is>
      </c>
      <c r="L558" s="7" t="inlineStr">
        <is>
          <t>Unknown</t>
        </is>
      </c>
      <c r="M558" s="9" t="inlineStr">
        <is>
          <t>Web search: ஈழம் தொல்லியல் பிராமி. Auto-collected 2026-10-15 (ddg); review.</t>
        </is>
      </c>
      <c r="N558" s="10" t="inlineStr">
        <is>
          <t>http://repo.lib.jfn.ac.lk/xmlui/handle/123456789/8444</t>
        </is>
      </c>
    </row>
    <row r="559">
      <c r="A559" s="11" t="inlineStr">
        <is>
          <t>ALL-0558</t>
        </is>
      </c>
      <c r="B559" s="11" t="inlineStr">
        <is>
          <t>Web Articles</t>
        </is>
      </c>
      <c r="C559" s="12" t="n"/>
      <c r="D559" s="11" t="n"/>
      <c r="E559" s="13" t="inlineStr">
        <is>
          <t>யாழ்ப்பாண இராச்சியம் - Tamil Heritage</t>
        </is>
      </c>
      <c r="F559" s="13" t="n"/>
      <c r="G559" s="13" t="inlineStr">
        <is>
          <t>telibrary.com</t>
        </is>
      </c>
      <c r="H559" s="11" t="inlineStr">
        <is>
          <t>Web page</t>
        </is>
      </c>
      <c r="I559" s="11" t="inlineStr">
        <is>
          <t>Tamil</t>
        </is>
      </c>
      <c r="J559" s="13" t="inlineStr">
        <is>
          <t>Archaeology / தொல்லியல்</t>
        </is>
      </c>
      <c r="K559" s="13" t="n"/>
      <c r="L559" s="11" t="inlineStr">
        <is>
          <t>Unknown</t>
        </is>
      </c>
      <c r="M559" s="13" t="inlineStr">
        <is>
          <t>Web search: யாழ்ப்பாணம் தொல்லியல். Auto-collected 2026-10-14 (ddg); review.</t>
        </is>
      </c>
      <c r="N559" s="14" t="inlineStr">
        <is>
          <t>https://telibrary.com/category/history/%E0%AE%AF%E0%AE%BE%E0%AE%B4%E0%AF%8D%E0%AE%AA%E0%AF%8D%E0%AE%AA%E0%AE%BE%E0%AE%A3-%E0%AE%87%E0%AE%B0%E0%AE%BE%E0%AE%9A%E0%AF%8D%E0%AE%9A%E0%AE%BF%E0%AE%AF%E0%AE%AE%E0%AF%8D/</t>
        </is>
      </c>
    </row>
    <row r="560">
      <c r="A560" s="7" t="inlineStr">
        <is>
          <t>ALL-0559</t>
        </is>
      </c>
      <c r="B560" s="7" t="inlineStr">
        <is>
          <t>Web Articles</t>
        </is>
      </c>
      <c r="C560" s="8" t="n"/>
      <c r="D560" s="7" t="n"/>
      <c r="E560" s="9" t="inlineStr">
        <is>
          <t>யாழ்ப்பாண வரலாறு - யாழ்ப்பாணப் பெட்டகம்</t>
        </is>
      </c>
      <c r="F560" s="9" t="n"/>
      <c r="G560" s="9" t="inlineStr">
        <is>
          <t>treasurehouseofjaffna.com</t>
        </is>
      </c>
      <c r="H560" s="7" t="inlineStr">
        <is>
          <t>Web page</t>
        </is>
      </c>
      <c r="I560" s="7" t="inlineStr">
        <is>
          <t>Tamil</t>
        </is>
      </c>
      <c r="J560" s="9" t="n"/>
      <c r="K560" s="9" t="n"/>
      <c r="L560" s="7" t="inlineStr">
        <is>
          <t>Unknown</t>
        </is>
      </c>
      <c r="M560" s="9" t="inlineStr">
        <is>
          <t>Web search: யாழ்ப்பாணம் தொல்லியல். Auto-collected 2026-10-14 (ddg); review.</t>
        </is>
      </c>
      <c r="N560" s="10" t="inlineStr">
        <is>
          <t>https://treasurehouseofjaffna.com/%E0%AE%AF%E0%AE%BE%E0%AE%B4%E0%AF%8D%E0%AE%AA%E0%AF%8D%E0%AE%AA%E0%AE%BE%E0%AE%A3-%E0%AE%B5%E0%AE%B0%E0%AE%B2%E0%AE%BE%E0%AE%B1%E0%AF%81/</t>
        </is>
      </c>
    </row>
    <row r="561">
      <c r="A561" s="11" t="inlineStr">
        <is>
          <t>ALL-0560</t>
        </is>
      </c>
      <c r="B561" s="11" t="inlineStr">
        <is>
          <t>Web Articles</t>
        </is>
      </c>
      <c r="C561" s="12" t="n"/>
      <c r="D561" s="11" t="n"/>
      <c r="E561" s="13" t="inlineStr">
        <is>
          <t>யாழ்ப்பாணம் ஆனைக்கோட்டை தொல்லியல் அகழ்வாய்வின் நிறைவு விழாவும் ...</t>
        </is>
      </c>
      <c r="F561" s="13" t="n"/>
      <c r="G561" s="13" t="inlineStr">
        <is>
          <t>jvpnews.com</t>
        </is>
      </c>
      <c r="H561" s="11" t="inlineStr">
        <is>
          <t>Web page</t>
        </is>
      </c>
      <c r="I561" s="11" t="inlineStr">
        <is>
          <t>Tamil</t>
        </is>
      </c>
      <c r="J561" s="13" t="inlineStr">
        <is>
          <t>Archaeology / தொல்லியல்</t>
        </is>
      </c>
      <c r="K561" s="13" t="inlineStr">
        <is>
          <t>தொல்லியல்</t>
        </is>
      </c>
      <c r="L561" s="11" t="inlineStr">
        <is>
          <t>Unknown</t>
        </is>
      </c>
      <c r="M561" s="13" t="inlineStr">
        <is>
          <t>Web search: யாழ்ப்பாணம் தொல்லியல். Auto-collected 2026-10-20 (ddg); review.</t>
        </is>
      </c>
      <c r="N561" s="14" t="inlineStr">
        <is>
          <t>https://jvpnews.com/article/ja-anaikottai-archeological-excavation-ceremony-1721384878</t>
        </is>
      </c>
    </row>
    <row r="562">
      <c r="A562" s="7" t="inlineStr">
        <is>
          <t>ALL-0561</t>
        </is>
      </c>
      <c r="B562" s="7" t="inlineStr">
        <is>
          <t>Web Articles</t>
        </is>
      </c>
      <c r="C562" s="8" t="n"/>
      <c r="D562" s="7" t="n"/>
      <c r="E562" s="9" t="inlineStr">
        <is>
          <t>யாழ்ப்பாணம் ஆனைக்கோட்டை தொல்லியல் கண்காட்சி ஆரம்பம்!</t>
        </is>
      </c>
      <c r="F562" s="9" t="n"/>
      <c r="G562" s="9" t="inlineStr">
        <is>
          <t>shritharan.com</t>
        </is>
      </c>
      <c r="H562" s="7" t="inlineStr">
        <is>
          <t>Web page</t>
        </is>
      </c>
      <c r="I562" s="7" t="inlineStr">
        <is>
          <t>Tamil</t>
        </is>
      </c>
      <c r="J562" s="9" t="inlineStr">
        <is>
          <t>Archaeology / தொல்லியல்</t>
        </is>
      </c>
      <c r="K562" s="9" t="inlineStr">
        <is>
          <t>தொல்லியல்</t>
        </is>
      </c>
      <c r="L562" s="7" t="inlineStr">
        <is>
          <t>Unknown</t>
        </is>
      </c>
      <c r="M562" s="9" t="inlineStr">
        <is>
          <t>Web search: யாழ்ப்பாணம் தொல்லியல். Auto-collected 2026-10-14 (ddg); review.</t>
        </is>
      </c>
      <c r="N562" s="10" t="inlineStr">
        <is>
          <t>https://shritharan.com/parliamentary-work/%E0%AE%AF%E0%AE%BE%E0%AE%B4%E0%AF%8D%E0%AE%AA%E0%AF%8D%E0%AE%AA%E0%AE%BE%E0%AE%A3%E0%AE%AE%E0%AF%8D-%E0%AE%86%E0%AE%A9%E0%AF%88%E0%AE%95%E0%AF%8D%E0%AE%95%E0%AF%8B%E0%AE%9F%E0%AF%8D%E0%AE%9F%E0%AF%88/</t>
        </is>
      </c>
    </row>
  </sheetData>
  <autoFilter ref="A1:N562"/>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2026-10-22T06:31:48Z</dcterms:created>
  <dcterms:modified xsi:type="dcterms:W3CDTF">2026-10-22T06:31:48Z</dcterms:modified>
</cp:coreProperties>
</file>