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All Records" sheetId="6" state="visible" r:id="rId6"/>
    <sheet name="Sources &amp; Method" sheetId="7" state="visible" r:id="rId7"/>
  </sheets>
  <definedNames>
    <definedName name="_xlnm._FilterDatabase" localSheetId="1" hidden="1">'Books'!$A$1:$M$33</definedName>
    <definedName name="_xlnm._FilterDatabase" localSheetId="2" hidden="1">'Research Papers'!$A$1:$M$96</definedName>
    <definedName name="_xlnm._FilterDatabase" localSheetId="3" hidden="1">'Newspaper Articles'!$A$1:$M$60</definedName>
    <definedName name="_xlnm._FilterDatabase" localSheetId="4" hidden="1">'Magazines &amp; Journals'!$A$1:$M$118</definedName>
    <definedName name="_xlnm._FilterDatabase" localSheetId="5" hidden="1">'All Records'!$A$1:$N$304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tamilguardian.com/content/prof-pathmanathans-new-book-sheds-light-early-jaffna-civilisation" TargetMode="External" Id="rId1" /><Relationship Type="http://schemas.openxmlformats.org/officeDocument/2006/relationships/hyperlink" Target="https://www.ezhunaonline.com/books/tamils-in-the-inscriptions-of-brahmi-and-sinhala/" TargetMode="External" Id="rId2" /><Relationship Type="http://schemas.openxmlformats.org/officeDocument/2006/relationships/hyperlink" Target="https://en.wikipedia.org/wiki/K._Indrapala" TargetMode="External" Id="rId3" /><Relationship Type="http://schemas.openxmlformats.org/officeDocument/2006/relationships/hyperlink" Target="https://www.his.jfn.ac.lk/index.php/profkarunthavarajah/" TargetMode="External" Id="rId4" /><Relationship Type="http://schemas.openxmlformats.org/officeDocument/2006/relationships/hyperlink" Target="https://www.his.jfn.ac.lk/index.php/profkarunthavarajah/" TargetMode="External" Id="rId5" /><Relationship Type="http://schemas.openxmlformats.org/officeDocument/2006/relationships/hyperlink" Target="https://opac.busl.ac.lk/bib/14671" TargetMode="External" Id="rId6" /><Relationship Type="http://schemas.openxmlformats.org/officeDocument/2006/relationships/hyperlink" Target="https://www.sundaytimes.lk/080504/Plus/plus000025.html" TargetMode="External" Id="rId7" /><Relationship Type="http://schemas.openxmlformats.org/officeDocument/2006/relationships/hyperlink" Target="https://jfn.ac.lk/prof-s-pathmanathan/" TargetMode="External" Id="rId8" /><Relationship Type="http://schemas.openxmlformats.org/officeDocument/2006/relationships/hyperlink" Target="https://en.wikipedia.org/wiki/S._Pathmanathan" TargetMode="External" Id="rId9" /><Relationship Type="http://schemas.openxmlformats.org/officeDocument/2006/relationships/hyperlink" Target="https://jfn.ac.lk/prof-s-pathmanathan/" TargetMode="External" Id="rId10" /><Relationship Type="http://schemas.openxmlformats.org/officeDocument/2006/relationships/hyperlink" Target="https://en.wikipedia.org/wiki/K._Indrapala" TargetMode="External" Id="rId11" /><Relationship Type="http://schemas.openxmlformats.org/officeDocument/2006/relationships/hyperlink" Target="https://unioncatalogue.dlp.gov.lk/Record/batt.35119/Similar" TargetMode="External" Id="rId12" /><Relationship Type="http://schemas.openxmlformats.org/officeDocument/2006/relationships/hyperlink" Target="https://jfn.ac.lk/prof-s-pathmanathan/" TargetMode="External" Id="rId13" /><Relationship Type="http://schemas.openxmlformats.org/officeDocument/2006/relationships/hyperlink" Target="https://en.wikipedia.org/wiki/S._Pathmanathan" TargetMode="External" Id="rId14" /><Relationship Type="http://schemas.openxmlformats.org/officeDocument/2006/relationships/hyperlink" Target="https://vedamsbooks.com/books/early_tamil_epigraphy_from_the_earliest_times_to_the_sixth_century_c_e_volume_1_tamil_brahmi_inscriptions" TargetMode="External" Id="rId15" /><Relationship Type="http://schemas.openxmlformats.org/officeDocument/2006/relationships/hyperlink" Target="https://jfn.ac.lk/prof-s-pathmanathan/" TargetMode="External" Id="rId16" /><Relationship Type="http://schemas.openxmlformats.org/officeDocument/2006/relationships/hyperlink" Target="https://mannar.dlp.gov.lk/bib/9820" TargetMode="External" Id="rId17" /><Relationship Type="http://schemas.openxmlformats.org/officeDocument/2006/relationships/hyperlink" Target="https://en.wikipedia.org/wiki/S._Pathmanathan" TargetMode="External" Id="rId18" /><Relationship Type="http://schemas.openxmlformats.org/officeDocument/2006/relationships/hyperlink" Target="https://jfn.ac.lk/prof-s-pathmanathan/" TargetMode="External" Id="rId19" /><Relationship Type="http://schemas.openxmlformats.org/officeDocument/2006/relationships/hyperlink" Target="https://jfn.ac.lk/prof-s-pathmanathan/" TargetMode="External" Id="rId20" /><Relationship Type="http://schemas.openxmlformats.org/officeDocument/2006/relationships/hyperlink" Target="https://www.sundaytimes.lk/000423/plus3.html" TargetMode="External" Id="rId21" /><Relationship Type="http://schemas.openxmlformats.org/officeDocument/2006/relationships/hyperlink" Target="https://unioncatalogue.dlp.gov.lk/Record/poin.4050/Description" TargetMode="External" Id="rId22" /><Relationship Type="http://schemas.openxmlformats.org/officeDocument/2006/relationships/hyperlink" Target="https://noolaham.org/wiki/index.php/Epigraphia_Zeylanica_3" TargetMode="External" Id="rId23" /><Relationship Type="http://schemas.openxmlformats.org/officeDocument/2006/relationships/hyperlink" Target="https://noolaham.org/wiki/index.php/%E0%AE%95%E0%AF%8B%E0%AE%A3%E0%AF%87%E0%AE%9A%E0%AE%B0%E0%AF%8D_%E0%AE%95%E0%AE%B2%E0%AF%8D%E0%AE%B5%E0%AF%86%E0%AE%9F%E0%AF%8D%E0%AE%9F%E0%AF%81" TargetMode="External" Id="rId24" /><Relationship Type="http://schemas.openxmlformats.org/officeDocument/2006/relationships/hyperlink" Target="https://noolaham.org/wiki/index.php/%E0%AE%AA%E0%AF%82%E0%AE%A8%E0%AE%95%E0%AE%B0%E0%AE%BF_%E0%AE%A4%E0%AF%8A%E0%AE%B2%E0%AF%8D%E0%AE%AA%E0%AF%8A%E0%AE%B0%E0%AF%81%E0%AE%B3%E0%AE%BE%E0%AE%AF%E0%AF%8D%E0%AE%B5%E0%AF%81" TargetMode="External" Id="rId25" /><Relationship Type="http://schemas.openxmlformats.org/officeDocument/2006/relationships/hyperlink" Target="https://noolaham.net/project/18/1733/1733.html" TargetMode="External" Id="rId26" /><Relationship Type="http://schemas.openxmlformats.org/officeDocument/2006/relationships/hyperlink" Target="https://find.library.upenn.edu/catalog/997779313503681" TargetMode="External" Id="rId27" /><Relationship Type="http://schemas.openxmlformats.org/officeDocument/2006/relationships/hyperlink" Target="https://www.lankapradeepa.com/2020/04/tamil-inscriptions-in-sri-lanka_16.html" TargetMode="External" Id="rId28" /><Relationship Type="http://schemas.openxmlformats.org/officeDocument/2006/relationships/hyperlink" Target="https://noolaham.net/project/977/97628/97628.pdf" TargetMode="External" Id="rId29" /><Relationship Type="http://schemas.openxmlformats.org/officeDocument/2006/relationships/hyperlink" Target="https://noolaham.net/project/1316/131542/131542.pdf" TargetMode="External" Id="rId30" /><Relationship Type="http://schemas.openxmlformats.org/officeDocument/2006/relationships/hyperlink" Target="https://noolaham.net/project/810/80954/80954.pdf" TargetMode="External" Id="rId31" /><Relationship Type="http://schemas.openxmlformats.org/officeDocument/2006/relationships/hyperlink" Target="http://lib.vau.jfn.ac.lk/cgi-bin/koha/opac-detail.pl?biblionumber=44042&amp;shelfbrowse_itemnumber=55269" TargetMode="External" Id="rId32"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32381/sear.2025.50.9" TargetMode="External" Id="rId2" /><Relationship Type="http://schemas.openxmlformats.org/officeDocument/2006/relationships/hyperlink" Target="https://doi.org/10.1007/s41636-026-00636-0" TargetMode="External" Id="rId3" /><Relationship Type="http://schemas.openxmlformats.org/officeDocument/2006/relationships/hyperlink" Target="https://fhss.niibs.lk/wp-content/uploads/2025/02/Investigation-of-Ancient-Pre-colonial-Monuments-in-Jaffna-Sri-Lanka.pdf" TargetMode="External" Id="rId4" /><Relationship Type="http://schemas.openxmlformats.org/officeDocument/2006/relationships/hyperlink" Target="https://www.his.jfn.ac.lk/index.php/__trashed/" TargetMode="External" Id="rId5" /><Relationship Type="http://schemas.openxmlformats.org/officeDocument/2006/relationships/hyperlink" Target="https://www.his.jfn.ac.lk/index.php/mrs-ajiththa-suganthan/" TargetMode="External" Id="rId6" /><Relationship Type="http://schemas.openxmlformats.org/officeDocument/2006/relationships/hyperlink" Target="https://zenodo.org/records/16599990" TargetMode="External" Id="rId7" /><Relationship Type="http://schemas.openxmlformats.org/officeDocument/2006/relationships/hyperlink" Target="https://doi.org/10.64920/drc2025027" TargetMode="External" Id="rId8" /><Relationship Type="http://schemas.openxmlformats.org/officeDocument/2006/relationships/hyperlink" Target="https://doi.org/10.29173/anlk872" TargetMode="External" Id="rId9" /><Relationship Type="http://schemas.openxmlformats.org/officeDocument/2006/relationships/hyperlink" Target="https://www.his.jfn.ac.lk/index.php/mrs-ajiththa-suganthan/" TargetMode="External" Id="rId10" /><Relationship Type="http://schemas.openxmlformats.org/officeDocument/2006/relationships/hyperlink" Target="https://www.his.jfn.ac.lk/index.php/__trashed/" TargetMode="External" Id="rId11" /><Relationship Type="http://schemas.openxmlformats.org/officeDocument/2006/relationships/hyperlink" Target="https://doi.org/10.29173/anlk838"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s-mahalingam-ushanthy/" TargetMode="External" Id="rId14" /><Relationship Type="http://schemas.openxmlformats.org/officeDocument/2006/relationships/hyperlink" Target="https://www.his.jfn.ac.lk/index.php/mrs-ajiththa-suganthan/" TargetMode="External" Id="rId15" /><Relationship Type="http://schemas.openxmlformats.org/officeDocument/2006/relationships/hyperlink" Target="https://www.his.jfn.ac.lk/?p=1706" TargetMode="External" Id="rId16" /><Relationship Type="http://schemas.openxmlformats.org/officeDocument/2006/relationships/hyperlink" Target="https://www.his.jfn.ac.lk/index.php/mrs-ajiththa-suganthan/" TargetMode="External" Id="rId17" /><Relationship Type="http://schemas.openxmlformats.org/officeDocument/2006/relationships/hyperlink" Target="https://www.his.jfn.ac.lk/index.php/__trashed/" TargetMode="External" Id="rId18" /><Relationship Type="http://schemas.openxmlformats.org/officeDocument/2006/relationships/hyperlink" Target="https://www.his.jfn.ac.lk/index.php/__trashed/" TargetMode="External" Id="rId19" /><Relationship Type="http://schemas.openxmlformats.org/officeDocument/2006/relationships/hyperlink" Target="https://www.his.jfn.ac.lk/index.php/__trashed/" TargetMode="External" Id="rId20" /><Relationship Type="http://schemas.openxmlformats.org/officeDocument/2006/relationships/hyperlink" Target="https://archaeology.gov.lk/media/attachments/2022/09/07/ac27updated.pdf" TargetMode="External" Id="rId21" /><Relationship Type="http://schemas.openxmlformats.org/officeDocument/2006/relationships/hyperlink" Target="https://www.his.jfn.ac.lk/?p=791" TargetMode="External" Id="rId22" /><Relationship Type="http://schemas.openxmlformats.org/officeDocument/2006/relationships/hyperlink" Target="https://www.his.jfn.ac.lk/index.php/mrs-ajiththa-suganthan/" TargetMode="External" Id="rId23" /><Relationship Type="http://schemas.openxmlformats.org/officeDocument/2006/relationships/hyperlink" Target="https://www.his.jfn.ac.lk/?p=1706" TargetMode="External" Id="rId24" /><Relationship Type="http://schemas.openxmlformats.org/officeDocument/2006/relationships/hyperlink" Target="https://doi.org/10.17501/26510243.2021.2101" TargetMode="External" Id="rId25" /><Relationship Type="http://schemas.openxmlformats.org/officeDocument/2006/relationships/hyperlink" Target="https://doi.org/10.54392/ijot2236" TargetMode="External" Id="rId26" /><Relationship Type="http://schemas.openxmlformats.org/officeDocument/2006/relationships/hyperlink" Target="https://doi.org/10.29173/anlk659" TargetMode="External" Id="rId27" /><Relationship Type="http://schemas.openxmlformats.org/officeDocument/2006/relationships/hyperlink" Target="https://www.his.jfn.ac.lk/index.php/mrs-s-arulanantham/" TargetMode="External" Id="rId28" /><Relationship Type="http://schemas.openxmlformats.org/officeDocument/2006/relationships/hyperlink" Target="https://www.his.jfn.ac.lk/?p=1706" TargetMode="External" Id="rId29" /><Relationship Type="http://schemas.openxmlformats.org/officeDocument/2006/relationships/hyperlink" Target="https://www.his.jfn.ac.lk/index.php/__trashed/" TargetMode="External" Id="rId30" /><Relationship Type="http://schemas.openxmlformats.org/officeDocument/2006/relationships/hyperlink" Target="https://www.his.jfn.ac.lk/index.php/__trashed/" TargetMode="External" Id="rId31" /><Relationship Type="http://schemas.openxmlformats.org/officeDocument/2006/relationships/hyperlink" Target="https://dspace.lib.seu.ac.lk/items/d37186eb-584d-43c3-8284-8e7e285c22d1/full" TargetMode="External" Id="rId32" /><Relationship Type="http://schemas.openxmlformats.org/officeDocument/2006/relationships/hyperlink" Target="https://www.his.jfn.ac.lk/?p=791" TargetMode="External" Id="rId33" /><Relationship Type="http://schemas.openxmlformats.org/officeDocument/2006/relationships/hyperlink" Target="https://www.his.jfn.ac.lk/?p=791" TargetMode="External" Id="rId34" /><Relationship Type="http://schemas.openxmlformats.org/officeDocument/2006/relationships/hyperlink" Target="https://www.his.jfn.ac.lk/?p=1706" TargetMode="External" Id="rId35" /><Relationship Type="http://schemas.openxmlformats.org/officeDocument/2006/relationships/hyperlink" Target="https://www.his.jfn.ac.lk/index.php/mrs-ajiththa-suganthan/" TargetMode="External" Id="rId36" /><Relationship Type="http://schemas.openxmlformats.org/officeDocument/2006/relationships/hyperlink" Target="https://www.his.jfn.ac.lk/?p=1706" TargetMode="External" Id="rId37" /><Relationship Type="http://schemas.openxmlformats.org/officeDocument/2006/relationships/hyperlink" Target="https://www.his.jfn.ac.lk/?p=791" TargetMode="External" Id="rId38" /><Relationship Type="http://schemas.openxmlformats.org/officeDocument/2006/relationships/hyperlink" Target="https://www.his.jfn.ac.lk/?p=791" TargetMode="External" Id="rId3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40" /><Relationship Type="http://schemas.openxmlformats.org/officeDocument/2006/relationships/hyperlink" Target="https://www.his.jfn.ac.lk/index.php/__trashed/" TargetMode="External" Id="rId41" /><Relationship Type="http://schemas.openxmlformats.org/officeDocument/2006/relationships/hyperlink" Target="https://www.his.jfn.ac.lk/?p=791" TargetMode="External" Id="rId42" /><Relationship Type="http://schemas.openxmlformats.org/officeDocument/2006/relationships/hyperlink" Target="https://doi.org/10.3390/rel10090537" TargetMode="External" Id="rId43" /><Relationship Type="http://schemas.openxmlformats.org/officeDocument/2006/relationships/hyperlink" Target="https://www.his.jfn.ac.lk/index.php/__trashed/" TargetMode="External" Id="rId44" /><Relationship Type="http://schemas.openxmlformats.org/officeDocument/2006/relationships/hyperlink" Target="https://www.his.jfn.ac.lk/?p=791" TargetMode="External" Id="rId45" /><Relationship Type="http://schemas.openxmlformats.org/officeDocument/2006/relationships/hyperlink" Target="https://www.his.jfn.ac.lk/?p=791"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p=791" TargetMode="External" Id="rId48" /><Relationship Type="http://schemas.openxmlformats.org/officeDocument/2006/relationships/hyperlink" Target="https://dspace.lib.seu.ac.lk/items/d9c75f55-5065-4c9d-9c54-98ec1717f8d1" TargetMode="External" Id="rId49" /><Relationship Type="http://schemas.openxmlformats.org/officeDocument/2006/relationships/hyperlink" Target="https://www.his.jfn.ac.lk/?p=791" TargetMode="External" Id="rId50" /><Relationship Type="http://schemas.openxmlformats.org/officeDocument/2006/relationships/hyperlink" Target="https://www.his.jfn.ac.lk/index.php/mrs-ajiththa-suganthan/" TargetMode="External" Id="rId51" /><Relationship Type="http://schemas.openxmlformats.org/officeDocument/2006/relationships/hyperlink" Target="https://www.his.jfn.ac.lk/?p=791" TargetMode="External" Id="rId52" /><Relationship Type="http://schemas.openxmlformats.org/officeDocument/2006/relationships/hyperlink" Target="https://www.his.jfn.ac.lk/index.php/profkarunthavarajah/" TargetMode="External" Id="rId53" /><Relationship Type="http://schemas.openxmlformats.org/officeDocument/2006/relationships/hyperlink" Target="https://www.his.jfn.ac.lk/index.php/mrs-s-arulanantham/" TargetMode="External" Id="rId54" /><Relationship Type="http://schemas.openxmlformats.org/officeDocument/2006/relationships/hyperlink" Target="https://rer.jfn.ac.lk/items/cf7a95e0-fe51-4ae1-88aa-4842327beb59/full" TargetMode="External" Id="rId55" /><Relationship Type="http://schemas.openxmlformats.org/officeDocument/2006/relationships/hyperlink" Target="https://www.his.jfn.ac.lk/?p=791" TargetMode="External" Id="rId56" /><Relationship Type="http://schemas.openxmlformats.org/officeDocument/2006/relationships/hyperlink" Target="https://www.his.jfn.ac.lk/index.php/mrs-s-arulanantham/" TargetMode="External" Id="rId57" /><Relationship Type="http://schemas.openxmlformats.org/officeDocument/2006/relationships/hyperlink" Target="https://www.his.jfn.ac.lk/index.php/profkarunthavarajah/" TargetMode="External" Id="rId58" /><Relationship Type="http://schemas.openxmlformats.org/officeDocument/2006/relationships/hyperlink" Target="https://www.his.jfn.ac.lk/index.php/profkarunthavarajah/" TargetMode="External" Id="rId59" /><Relationship Type="http://schemas.openxmlformats.org/officeDocument/2006/relationships/hyperlink" Target="https://www.his.jfn.ac.lk/index.php/profkarunthavarajah/" TargetMode="External" Id="rId60" /><Relationship Type="http://schemas.openxmlformats.org/officeDocument/2006/relationships/hyperlink" Target="https://www.his.jfn.ac.lk/index.php/mrs-s-arulanantham/" TargetMode="External" Id="rId61" /><Relationship Type="http://schemas.openxmlformats.org/officeDocument/2006/relationships/hyperlink" Target="https://www.lankapradeepa.com/2020/04/tamil-inscriptions-in-sri-lanka_16.html" TargetMode="External" Id="rId62" /><Relationship Type="http://schemas.openxmlformats.org/officeDocument/2006/relationships/hyperlink" Target="https://doi.org/10.4135/9788132104322.n1" TargetMode="External" Id="rId63" /><Relationship Type="http://schemas.openxmlformats.org/officeDocument/2006/relationships/hyperlink" Target="https://jfn.ac.lk/prof-s-pathmanathan/" TargetMode="External" Id="rId64" /><Relationship Type="http://schemas.openxmlformats.org/officeDocument/2006/relationships/hyperlink" Target="https://jfn.ac.lk/prof-s-pathmanathan/" TargetMode="External" Id="rId65" /><Relationship Type="http://schemas.openxmlformats.org/officeDocument/2006/relationships/hyperlink" Target="https://www.lankapradeepa.com/2020/04/tamil-inscriptions-in-sri-lanka_16.html" TargetMode="External" Id="rId66" /><Relationship Type="http://schemas.openxmlformats.org/officeDocument/2006/relationships/hyperlink" Target="https://jfn.ac.lk/prof-s-pathmanathan/" TargetMode="External" Id="rId67" /><Relationship Type="http://schemas.openxmlformats.org/officeDocument/2006/relationships/hyperlink" Target="https://jfn.ac.lk/prof-s-pathmanathan/" TargetMode="External" Id="rId68" /><Relationship Type="http://schemas.openxmlformats.org/officeDocument/2006/relationships/hyperlink" Target="https://jfn.ac.lk/prof-s-pathmanathan/" TargetMode="External" Id="rId69" /><Relationship Type="http://schemas.openxmlformats.org/officeDocument/2006/relationships/hyperlink" Target="https://jfn.ac.lk/prof-s-pathmanathan/" TargetMode="External" Id="rId70" /><Relationship Type="http://schemas.openxmlformats.org/officeDocument/2006/relationships/hyperlink" Target="https://jfn.ac.lk/prof-s-pathmanathan/" TargetMode="External" Id="rId71" /><Relationship Type="http://schemas.openxmlformats.org/officeDocument/2006/relationships/hyperlink" Target="https://jfn.ac.lk/prof-s-pathmanathan/" TargetMode="External" Id="rId72" /><Relationship Type="http://schemas.openxmlformats.org/officeDocument/2006/relationships/hyperlink" Target="https://www.lankapradeepa.com/2020/04/tamil-inscriptions-in-sri-lanka_16.html" TargetMode="External" Id="rId73" /><Relationship Type="http://schemas.openxmlformats.org/officeDocument/2006/relationships/hyperlink" Target="https://jfn.ac.lk/prof-s-pathmanathan/" TargetMode="External" Id="rId74" /><Relationship Type="http://schemas.openxmlformats.org/officeDocument/2006/relationships/hyperlink" Target="https://ir.lib.pdn.ac.lk/handle/20.500.14444/3809" TargetMode="External" Id="rId75" /><Relationship Type="http://schemas.openxmlformats.org/officeDocument/2006/relationships/hyperlink" Target="https://ir.lib.pdn.ac.lk/items/583155fd-b49e-4398-8b04-51776c4dbf8f/full" TargetMode="External" Id="rId76" /><Relationship Type="http://schemas.openxmlformats.org/officeDocument/2006/relationships/hyperlink" Target="https://www.lankapradeepa.com/2020/04/tamil-inscriptions-in-sri-lanka_16.html" TargetMode="External" Id="rId77" /><Relationship Type="http://schemas.openxmlformats.org/officeDocument/2006/relationships/hyperlink" Target="https://jfn.ac.lk/prof-s-pathmanathan/" TargetMode="External" Id="rId78" /><Relationship Type="http://schemas.openxmlformats.org/officeDocument/2006/relationships/hyperlink" Target="https://www.lankapradeepa.com/2020/04/tamil-inscriptions-in-sri-lanka_16.html" TargetMode="External" Id="rId79" /><Relationship Type="http://schemas.openxmlformats.org/officeDocument/2006/relationships/hyperlink" Target="https://jfn.ac.lk/prof-s-pathmanathan/" TargetMode="External" Id="rId80" /><Relationship Type="http://schemas.openxmlformats.org/officeDocument/2006/relationships/hyperlink" Target="https://siddham.network/tag/kayts/" TargetMode="External" Id="rId81" /><Relationship Type="http://schemas.openxmlformats.org/officeDocument/2006/relationships/hyperlink" Target="https://ir.lib.pdn.ac.lk/handle/20.500.14444/5038" TargetMode="External" Id="rId82" /><Relationship Type="http://schemas.openxmlformats.org/officeDocument/2006/relationships/hyperlink" Target="https://www.academia.edu/44307643/Annaikottai_Seal_Is_it_Tamil_Brahmi" TargetMode="External" Id="rId83" /><Relationship Type="http://schemas.openxmlformats.org/officeDocument/2006/relationships/hyperlink" Target="https://mrujs.mtroyal.ca/index.php/anlk/article/view/634" TargetMode="External" Id="rId84" /><Relationship Type="http://schemas.openxmlformats.org/officeDocument/2006/relationships/hyperlink" Target="https://irjt.iorpress.org/index.php/irjt/article/download/2607/2111/4821" TargetMode="External" Id="rId85" /><Relationship Type="http://schemas.openxmlformats.org/officeDocument/2006/relationships/hyperlink" Target="https://rer.jfn.ac.lk/items/69679e68-fe61-4cd9-a9de-ccff08422aac/full" TargetMode="External" Id="rId86" /><Relationship Type="http://schemas.openxmlformats.org/officeDocument/2006/relationships/hyperlink" Target="https://siddham.network/tag/609823/" TargetMode="External" Id="rId87" /><Relationship Type="http://schemas.openxmlformats.org/officeDocument/2006/relationships/hyperlink" Target="https://shanlaxjournals.in/journals/index.php/tamil/article/view/7777" TargetMode="External" Id="rId88" /><Relationship Type="http://schemas.openxmlformats.org/officeDocument/2006/relationships/hyperlink" Target="https://shanlaxjournals.in/journals/index.php/tamil/article/view/6193" TargetMode="External" Id="rId89" /><Relationship Type="http://schemas.openxmlformats.org/officeDocument/2006/relationships/hyperlink" Target="https://www.academia.edu/47759409/Making_Lanka_the_Tamil_way_a_temple_history_at_the_crossroads_of_landscapes_and_watersheds" TargetMode="External" Id="rId90" /><Relationship Type="http://schemas.openxmlformats.org/officeDocument/2006/relationships/hyperlink" Target="https://siddham.network/tag/vasabha/" TargetMode="External" Id="rId91" /><Relationship Type="http://schemas.openxmlformats.org/officeDocument/2006/relationships/hyperlink" Target="https://durham-repository.worktribe.com/output/1656993/recent-excavations-and-survey-at-jaffna-fort-in-2017-and-reflections-on-the-antiquity-of-indian-ocean-trade" TargetMode="External" Id="rId92" /><Relationship Type="http://schemas.openxmlformats.org/officeDocument/2006/relationships/hyperlink" Target="https://rer.jfn.ac.lk/items/fc0f248b-470f-449c-a7c6-8b8ec38517f0" TargetMode="External" Id="rId93" /><Relationship Type="http://schemas.openxmlformats.org/officeDocument/2006/relationships/hyperlink" Target="https://www.researchgate.net/publication/301336596_The_Peopling_of_Sri_Lanka_from_Prehistoric_to_Historic_Times_Biological_and_Archaeological_Evidence" TargetMode="External" Id="rId94" /><Relationship Type="http://schemas.openxmlformats.org/officeDocument/2006/relationships/hyperlink" Target="https://dspace.lib.seu.ac.lk/items/2bce5ebf-dc84-4b9c-a7ed-ca9bf13f1e7a/full" TargetMode="External" Id="rId95" /></Relationships>
</file>

<file path=xl/worksheets/_rels/sheet4.xml.rels><Relationships xmlns="http://schemas.openxmlformats.org/package/2006/relationships"><Relationship Type="http://schemas.openxmlformats.org/officeDocument/2006/relationships/hyperlink" Target="https://www.colombotelegraph.com/index.php/a-historian-in-focus-the-dark-side-of-s-pathmanathan/" TargetMode="External" Id="rId1" /><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2"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3" /><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4" /><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5"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6" /><Relationship Type="http://schemas.openxmlformats.org/officeDocument/2006/relationships/hyperlink" Target="https://ibctamil.com/article/an-underground-city-discovered-in-polonnaruwa-sl-1708747886" TargetMode="External" Id="rId7"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8"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9"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0" /><Relationship Type="http://schemas.openxmlformats.org/officeDocument/2006/relationships/hyperlink" Target="https://news.google.com/rss/articles/CBMiSkFVX3lxTE9RWHRpZjlDZE92MEg4bC1VRXFNMjNpSlotREpZclVwU2tncGcyRWFNUnpxQ1ZJTmlRZS1VanBPWl9XNVdjcWhtd29R?oc=5" TargetMode="External" Id="rId11"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2"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3" /><Relationship Type="http://schemas.openxmlformats.org/officeDocument/2006/relationships/hyperlink" Target="https://news.google.com/rss/articles/CBMiV0FVX3lxTE0xSVZDa2M2cjhyOFJNVzZ4UEt2TnRyanBkaXBhSmxhTElobUFMNWhic0dWMlloejhDY3NaOGVEMnNnN0liY1B6cjR1OTFMOVowUUp1YzQ1WQ?oc=5" TargetMode="External" Id="rId14" /><Relationship Type="http://schemas.openxmlformats.org/officeDocument/2006/relationships/hyperlink" Target="https://news.google.com/rss/articles/CBMiUkFVX3lxTE1fNTgzSTJzeXFaeXJrVU44Z3ZlcE13OFR5YU00WTBQRTVhUnJxSm1IeFFVdEVMaVI4M0dsREhFd1ZsMG9WT0pEZVU0Nms2TFRfLVE?oc=5" TargetMode="External" Id="rId1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16"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17"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18" /><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1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2" /><Relationship Type="http://schemas.openxmlformats.org/officeDocument/2006/relationships/hyperlink" Target="https://news.google.com/rss/articles/CBMiUEFVX3lxTFBoclkwMTRjdmdKLWZ2aVE4Tk5VNUd5VlAyeVM4WG5EVHBNUFFfT2lwTkVweC1qLTJNODhBRE1wdUcxdVpvU3NVXzJFeGFKMXFp?oc=5" TargetMode="External" Id="rId23" /><Relationship Type="http://schemas.openxmlformats.org/officeDocument/2006/relationships/hyperlink" Target="https://www.sundaytimes.lk/180211/plus/head-to-the-east-for-a-feast-of-archaeological-sites-281129.html" TargetMode="External" Id="rId2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6" /><Relationship Type="http://schemas.openxmlformats.org/officeDocument/2006/relationships/hyperlink" Target="https://archives1.dailynews.lk/2017/01/04/features/103659" TargetMode="External" Id="rId27"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8"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9" /><Relationship Type="http://schemas.openxmlformats.org/officeDocument/2006/relationships/hyperlink" Target="https://archives.sundayobserver.lk/2013/03/10/mon13.asp" TargetMode="External" Id="rId30" /><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31"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32" /><Relationship Type="http://schemas.openxmlformats.org/officeDocument/2006/relationships/hyperlink" Target="https://tamilnet.com/art.html?artid=35707&amp;catid=79" TargetMode="External" Id="rId33" /><Relationship Type="http://schemas.openxmlformats.org/officeDocument/2006/relationships/hyperlink" Target="https://www.his.jfn.ac.lk/?p=791" TargetMode="External" Id="rId34" /><Relationship Type="http://schemas.openxmlformats.org/officeDocument/2006/relationships/hyperlink" Target="https://archives.thinakaran.lk/2011/02/15/?fn=i1102155&amp;p=1" TargetMode="External" Id="rId35" /><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36" /><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37"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38" /><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39" /><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40" /><Relationship Type="http://schemas.openxmlformats.org/officeDocument/2006/relationships/hyperlink" Target="https://www.sundaytimes.lk/080504/Plus/plus000025.html" TargetMode="External" Id="rId41" /><Relationship Type="http://schemas.openxmlformats.org/officeDocument/2006/relationships/hyperlink" Target="https://www.sundaytimes.lk/000423/plus3.html" TargetMode="External" Id="rId42" /><Relationship Type="http://schemas.openxmlformats.org/officeDocument/2006/relationships/hyperlink" Target="https://www.tamilguardian.com/content/2000-year-old-tamil-brahmi-inscriptions-discovered-egypts-valley-kings" TargetMode="External" Id="rId43" /><Relationship Type="http://schemas.openxmlformats.org/officeDocument/2006/relationships/hyperlink" Target="https://www.tamilguardian.com/content/3400-year-old-human-remains-discovered-velanai-jaffna" TargetMode="External" Id="rId44" /><Relationship Type="http://schemas.openxmlformats.org/officeDocument/2006/relationships/hyperlink" Target="https://www.tamilguardian.com/content/ancient-pandyan-coins-bring-intrigue-and-dispute-sri-lanka" TargetMode="External" Id="rId45" /><Relationship Type="http://schemas.openxmlformats.org/officeDocument/2006/relationships/hyperlink" Target="https://www.colombotelegraph.com/index.php/book-review-the-historian-as-bridge/" TargetMode="External" Id="rId46" /><Relationship Type="http://schemas.openxmlformats.org/officeDocument/2006/relationships/hyperlink" Target="https://archives1.sundayobserver.lk/node/26758" TargetMode="External" Id="rId47" /><Relationship Type="http://schemas.openxmlformats.org/officeDocument/2006/relationships/hyperlink" Target="https://island.lk/little-known-facets-of-sri-lankan-historya-chola-princess-and-the-old-name-for-jaffna/" TargetMode="External" Id="rId48" /><Relationship Type="http://schemas.openxmlformats.org/officeDocument/2006/relationships/hyperlink" Target="https://archives1.sundayobserver.lk/node/59637" TargetMode="External" Id="rId49" /><Relationship Type="http://schemas.openxmlformats.org/officeDocument/2006/relationships/hyperlink" Target="https://island.lk/reptiles-in-rock-and-time-unveiling-sri-lankas-ancient-herpetological-art/" TargetMode="External" Id="rId50" /><Relationship Type="http://schemas.openxmlformats.org/officeDocument/2006/relationships/hyperlink" Target="https://archives1.sundayobserver.lk/node/44600" TargetMode="External" Id="rId51" /><Relationship Type="http://schemas.openxmlformats.org/officeDocument/2006/relationships/hyperlink" Target="https://www.tamilguardian.com/index.php/node/955066" TargetMode="External" Id="rId52" /><Relationship Type="http://schemas.openxmlformats.org/officeDocument/2006/relationships/hyperlink" Target="https://www.colombotelegraph.com/index.php/sri-lankas-role-in-south-asias-earliest-writing-controversy/" TargetMode="External" Id="rId53" /><Relationship Type="http://schemas.openxmlformats.org/officeDocument/2006/relationships/hyperlink" Target="https://www.tamilguardian.com/content/tamil-civilisation-it-oldest" TargetMode="External" Id="rId54" /><Relationship Type="http://schemas.openxmlformats.org/officeDocument/2006/relationships/hyperlink" Target="https://www.colombotelegraph.com/index.php/the-tamils-are-the-original-inhabitants-of-sri-lanka/" TargetMode="External" Id="rId55" /><Relationship Type="http://schemas.openxmlformats.org/officeDocument/2006/relationships/hyperlink" Target="https://www.tamilguardian.com/index.php/content/trilingual-inscription-tamil-chinese-and-persian-recognised-unesco" TargetMode="External" Id="rId56" /><Relationship Type="http://schemas.openxmlformats.org/officeDocument/2006/relationships/hyperlink" Target="https://thinakkural.lk/article/45056" TargetMode="External" Id="rId57" /><Relationship Type="http://schemas.openxmlformats.org/officeDocument/2006/relationships/hyperlink" Target="https://www.tamilmirror.lk/91-286936" TargetMode="External" Id="rId58" /><Relationship Type="http://schemas.openxmlformats.org/officeDocument/2006/relationships/hyperlink" Target="https://www.virakesari.lk/article/160191" TargetMode="External" Id="rId59"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discovery-of-rare-tamil-inscription-in-trincomalee-re-examines-previous-historical-view-of-origin-of-tamil-kingdom/" TargetMode="External" Id="rId63" /><Relationship Type="http://schemas.openxmlformats.org/officeDocument/2006/relationships/hyperlink" Target="https://www.ezhunaonline.com/later-inscriptions-refer-to-tamils/" TargetMode="External" Id="rId64" /><Relationship Type="http://schemas.openxmlformats.org/officeDocument/2006/relationships/hyperlink" Target="https://www.ezhunaonline.com/kizhargalin-vampa-vendar/" TargetMode="External" Id="rId65" /><Relationship Type="http://schemas.openxmlformats.org/officeDocument/2006/relationships/hyperlink" Target="https://www.ezhunaonline.com/tamaraveva-pillar-inscription-referring-to-the-tamil-official-mahasathan/" TargetMode="External" Id="rId66" /><Relationship Type="http://schemas.openxmlformats.org/officeDocument/2006/relationships/hyperlink" Target="https://www.ezhunaonline.com/badulla-inscription/" TargetMode="External" Id="rId67" /><Relationship Type="http://schemas.openxmlformats.org/officeDocument/2006/relationships/hyperlink" Target="https://www.ezhunaonline.com/rediscovery-of-tamil-inscription-at-tambalagama/" TargetMode="External" Id="rId68" /><Relationship Type="http://schemas.openxmlformats.org/officeDocument/2006/relationships/hyperlink" Target="https://www.ezhunaonline.com/anuradhapura-inscription/" TargetMode="External" Id="rId69" /><Relationship Type="http://schemas.openxmlformats.org/officeDocument/2006/relationships/hyperlink" Target="https://www.ezhunaonline.com/rankoth-viharai-inscription/" TargetMode="External" Id="rId70" /><Relationship Type="http://schemas.openxmlformats.org/officeDocument/2006/relationships/hyperlink" Target="https://www.ezhunaonline.com/wessagiri-inscription/" TargetMode="External" Id="rId71" /><Relationship Type="http://schemas.openxmlformats.org/officeDocument/2006/relationships/hyperlink" Target="https://www.ezhunaonline.com/keekhakarai-paravani-inscriptioniii/" TargetMode="External" Id="rId72" /><Relationship Type="http://schemas.openxmlformats.org/officeDocument/2006/relationships/hyperlink" Target="https://www.ezhunaonline.com/the-biggest-undiscovered-tourist-destination-in-vanni/" TargetMode="External" Id="rId73" /><Relationship Type="http://schemas.openxmlformats.org/officeDocument/2006/relationships/hyperlink" Target="https://www.ezhunaonline.com/jaffna-fort-3/" TargetMode="External" Id="rId74" /><Relationship Type="http://schemas.openxmlformats.org/officeDocument/2006/relationships/hyperlink" Target="https://www.ezhunaonline.com/archaeological-research-of-jaffna-fort/" TargetMode="External" Id="rId75" /><Relationship Type="http://schemas.openxmlformats.org/officeDocument/2006/relationships/hyperlink" Target="https://www.ezhunaonline.com/the-coins-of-bhuvanaikabahu/" TargetMode="External" Id="rId76" /><Relationship Type="http://schemas.openxmlformats.org/officeDocument/2006/relationships/hyperlink" Target="https://www.ezhunaonline.com/batticaloa-history-iii/" TargetMode="External" Id="rId77" /><Relationship Type="http://schemas.openxmlformats.org/officeDocument/2006/relationships/hyperlink" Target="https://www.ezhunaonline.com/tamil-coin-of-ellalan/" TargetMode="External" Id="rId78" /><Relationship Type="http://schemas.openxmlformats.org/officeDocument/2006/relationships/hyperlink" Target="https://www.ezhunaonline.com/an-inscription-and-a-ruined-house-in-vanni/" TargetMode="External" Id="rId79" /><Relationship Type="http://schemas.openxmlformats.org/officeDocument/2006/relationships/hyperlink" Target="https://www.ezhunaonline.com/the-other-myths-of-batticaloa-2/" TargetMode="External" Id="rId80" /><Relationship Type="http://schemas.openxmlformats.org/officeDocument/2006/relationships/hyperlink" Target="https://www.ezhunaonline.com/timeline-of-sri-lankan-pre-history/" TargetMode="External" Id="rId81" /><Relationship Type="http://schemas.openxmlformats.org/officeDocument/2006/relationships/hyperlink" Target="https://www.ezhunaonline.com/the-initial-stage-of-sri-lankan-history-period/" TargetMode="External" Id="rId82" /><Relationship Type="http://schemas.openxmlformats.org/officeDocument/2006/relationships/hyperlink" Target="https://www.ezhunaonline.com/%e0%ae%ae%e0%ae%b0%e0%ae%aa%e0%af%81%e0%ae%b0%e0%ae%bf%e0%ae%ae%e0%af%88%e0%ae%95%e0%ae%b3%e0%af%88%e0%ae%aa%e0%af%8d-%e0%ae%aa%e0%ae%b1%e0%af%88%e0%ae%a4%e0%ae%b2%e0%af%8d-%e0%ae%87%e0%ae%b2/" TargetMode="External" Id="rId83" /><Relationship Type="http://schemas.openxmlformats.org/officeDocument/2006/relationships/hyperlink" Target="https://www.ezhunaonline.com/brahmic-inscriptions-on-tamils-in-ceylon-an-introduction/" TargetMode="External" Id="rId84" /><Relationship Type="http://schemas.openxmlformats.org/officeDocument/2006/relationships/hyperlink" Target="https://www.ezhunaonline.com/paleolithic-culture-and-contemporary-tamil-culture/" TargetMode="External" Id="rId85" /><Relationship Type="http://schemas.openxmlformats.org/officeDocument/2006/relationships/hyperlink" Target="https://www.ezhunaonline.com/5brahmic-in-icriptions-tamils/" TargetMode="External" Id="rId86" /><Relationship Type="http://schemas.openxmlformats.org/officeDocument/2006/relationships/hyperlink" Target="https://www.ezhunaonline.com/historical-evidence-of-keekhakarai/" TargetMode="External" Id="rId87" /><Relationship Type="http://schemas.openxmlformats.org/officeDocument/2006/relationships/hyperlink" Target="https://www.ezhunaonline.com/tamil-vanikan-puliankulam-inscriptions/"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amazinglanka.com/wp/sankiliyatital/" TargetMode="External" Id="rId93" /><Relationship Type="http://schemas.openxmlformats.org/officeDocument/2006/relationships/hyperlink" Target="https://www.ezhunaonline.com/alinthu-varum-maraburimai-sinnangal/" TargetMode="External" Id="rId94" /><Relationship Type="http://schemas.openxmlformats.org/officeDocument/2006/relationships/hyperlink" Target="https://www.ezhunaonline.com/yaalpana-nagarukku-mundhiya-thalainagarangal/" TargetMode="External" Id="rId95" /><Relationship Type="http://schemas.openxmlformats.org/officeDocument/2006/relationships/hyperlink" Target="https://www.lankapradeepa.com/2020/04/tamil-inscriptions-in-sri-lanka_16.html" TargetMode="External" Id="rId96" /><Relationship Type="http://schemas.openxmlformats.org/officeDocument/2006/relationships/hyperlink" Target="https://www.his.jfn.ac.lk/?p=791"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p=791" TargetMode="External" Id="rId99" /><Relationship Type="http://schemas.openxmlformats.org/officeDocument/2006/relationships/hyperlink" Target="https://www.worldgenweb.org/lkawgw/tamil-brahmi.htm" TargetMode="External" Id="rId100" /><Relationship Type="http://schemas.openxmlformats.org/officeDocument/2006/relationships/hyperlink" Target="https://amazinglanka.com/wp/buddhist-shrines-in-batticaloa-and-ampara/" TargetMode="External" Id="rId101" /><Relationship Type="http://schemas.openxmlformats.org/officeDocument/2006/relationships/hyperlink" Target="https://amazinglanka.com/wp/jaffna/" TargetMode="External" Id="rId102" /><Relationship Type="http://schemas.openxmlformats.org/officeDocument/2006/relationships/hyperlink" Target="https://amazinglanka.com/wp/tikali/" TargetMode="External" Id="rId103" /><Relationship Type="http://schemas.openxmlformats.org/officeDocument/2006/relationships/hyperlink" Target="https://amazinglanka.com/wp/manniththalai-settlements/" TargetMode="External" Id="rId104" /><Relationship Type="http://schemas.openxmlformats.org/officeDocument/2006/relationships/hyperlink" Target="https://amazinglanka.com/wp/vanni-bandara-en/" TargetMode="External" Id="rId105" /><Relationship Type="http://schemas.openxmlformats.org/officeDocument/2006/relationships/hyperlink" Target="https://www.ezhunaonline.com/article/brahmin-and-brahmatheya-in-sri-lankan-tamil-inscriptions/" TargetMode="External" Id="rId106" /><Relationship Type="http://schemas.openxmlformats.org/officeDocument/2006/relationships/hyperlink" Target="https://www.ezhunaonline.com/sangam-age-in-sri-lankan-brahmic-inscriptions/" TargetMode="External" Id="rId107" /><Relationship Type="http://schemas.openxmlformats.org/officeDocument/2006/relationships/hyperlink" Target="https://www.ezhunaonline.com/how-kannagi-worship-entered-sri-lanka/" TargetMode="External" Id="rId108" /><Relationship Type="http://schemas.openxmlformats.org/officeDocument/2006/relationships/hyperlink" Target="https://www.ezhunaonline.com/the-kallanchiya-rock-inscription-tells-of-king-nagan/" TargetMode="External" Id="rId109" /><Relationship Type="http://schemas.openxmlformats.org/officeDocument/2006/relationships/hyperlink" Target="https://www.ezhunaonline.com/the-archaeological-value-of-cheddikulam/" TargetMode="External" Id="rId110" /><Relationship Type="http://schemas.openxmlformats.org/officeDocument/2006/relationships/hyperlink" Target="https://www.ezhunaonline.com/folk-religion-and-hinduism/" TargetMode="External" Id="rId111" /><Relationship Type="http://schemas.openxmlformats.org/officeDocument/2006/relationships/hyperlink" Target="https://www.ezhunaonline.com/kanaki-worship-in-ancient-tamil-culture/" TargetMode="External" Id="rId112" /><Relationship Type="http://schemas.openxmlformats.org/officeDocument/2006/relationships/hyperlink" Target="https://www.ezhunaonline.com/article/brahmi-script-and-early-literacy/" TargetMode="External" Id="rId113" /><Relationship Type="http://schemas.openxmlformats.org/officeDocument/2006/relationships/hyperlink" Target="https://www.ezhunaonline.com/compilation/buddhism-and-tamils-during-megalith-of-srilanka/" TargetMode="External" Id="rId114" /><Relationship Type="http://schemas.openxmlformats.org/officeDocument/2006/relationships/hyperlink" Target="https://www.ezhunaonline.com/history-of-ariya-kulam-jaffna/" TargetMode="External" Id="rId115" /><Relationship Type="http://schemas.openxmlformats.org/officeDocument/2006/relationships/hyperlink" Target="https://www.ezhunaonline.com/tamil-rasathani-in-vanni-kurundankula-temple/" TargetMode="External" Id="rId116" /><Relationship Type="http://schemas.openxmlformats.org/officeDocument/2006/relationships/hyperlink" Target="https://www.ezhunaonline.com/velana-palaeolithic-culture-at-chatti/" TargetMode="External" Id="rId117" /></Relationships>
</file>

<file path=xl/worksheets/_rels/sheet6.xml.rels><Relationships xmlns="http://schemas.openxmlformats.org/package/2006/relationships"><Relationship Type="http://schemas.openxmlformats.org/officeDocument/2006/relationships/hyperlink" Target="https://www.tamilguardian.com/content/prof-pathmanathans-new-book-sheds-light-early-jaffna-civilisation" TargetMode="External" Id="rId1" /><Relationship Type="http://schemas.openxmlformats.org/officeDocument/2006/relationships/hyperlink" Target="https://www.ezhunaonline.com/books/tamils-in-the-inscriptions-of-brahmi-and-sinhala/" TargetMode="External" Id="rId2" /><Relationship Type="http://schemas.openxmlformats.org/officeDocument/2006/relationships/hyperlink" Target="https://en.wikipedia.org/wiki/K._Indrapala" TargetMode="External" Id="rId3" /><Relationship Type="http://schemas.openxmlformats.org/officeDocument/2006/relationships/hyperlink" Target="https://www.his.jfn.ac.lk/index.php/profkarunthavarajah/" TargetMode="External" Id="rId4" /><Relationship Type="http://schemas.openxmlformats.org/officeDocument/2006/relationships/hyperlink" Target="https://www.his.jfn.ac.lk/index.php/profkarunthavarajah/" TargetMode="External" Id="rId5" /><Relationship Type="http://schemas.openxmlformats.org/officeDocument/2006/relationships/hyperlink" Target="https://opac.busl.ac.lk/bib/14671" TargetMode="External" Id="rId6" /><Relationship Type="http://schemas.openxmlformats.org/officeDocument/2006/relationships/hyperlink" Target="https://www.sundaytimes.lk/080504/Plus/plus000025.html" TargetMode="External" Id="rId7" /><Relationship Type="http://schemas.openxmlformats.org/officeDocument/2006/relationships/hyperlink" Target="https://jfn.ac.lk/prof-s-pathmanathan/" TargetMode="External" Id="rId8" /><Relationship Type="http://schemas.openxmlformats.org/officeDocument/2006/relationships/hyperlink" Target="https://en.wikipedia.org/wiki/S._Pathmanathan" TargetMode="External" Id="rId9" /><Relationship Type="http://schemas.openxmlformats.org/officeDocument/2006/relationships/hyperlink" Target="https://jfn.ac.lk/prof-s-pathmanathan/" TargetMode="External" Id="rId10" /><Relationship Type="http://schemas.openxmlformats.org/officeDocument/2006/relationships/hyperlink" Target="https://en.wikipedia.org/wiki/K._Indrapala" TargetMode="External" Id="rId11" /><Relationship Type="http://schemas.openxmlformats.org/officeDocument/2006/relationships/hyperlink" Target="https://unioncatalogue.dlp.gov.lk/Record/batt.35119/Similar" TargetMode="External" Id="rId12" /><Relationship Type="http://schemas.openxmlformats.org/officeDocument/2006/relationships/hyperlink" Target="https://jfn.ac.lk/prof-s-pathmanathan/" TargetMode="External" Id="rId13" /><Relationship Type="http://schemas.openxmlformats.org/officeDocument/2006/relationships/hyperlink" Target="https://en.wikipedia.org/wiki/S._Pathmanathan" TargetMode="External" Id="rId14" /><Relationship Type="http://schemas.openxmlformats.org/officeDocument/2006/relationships/hyperlink" Target="https://vedamsbooks.com/books/early_tamil_epigraphy_from_the_earliest_times_to_the_sixth_century_c_e_volume_1_tamil_brahmi_inscriptions" TargetMode="External" Id="rId15" /><Relationship Type="http://schemas.openxmlformats.org/officeDocument/2006/relationships/hyperlink" Target="https://jfn.ac.lk/prof-s-pathmanathan/" TargetMode="External" Id="rId16" /><Relationship Type="http://schemas.openxmlformats.org/officeDocument/2006/relationships/hyperlink" Target="https://mannar.dlp.gov.lk/bib/9820" TargetMode="External" Id="rId17" /><Relationship Type="http://schemas.openxmlformats.org/officeDocument/2006/relationships/hyperlink" Target="https://en.wikipedia.org/wiki/S._Pathmanathan" TargetMode="External" Id="rId18" /><Relationship Type="http://schemas.openxmlformats.org/officeDocument/2006/relationships/hyperlink" Target="https://jfn.ac.lk/prof-s-pathmanathan/" TargetMode="External" Id="rId19" /><Relationship Type="http://schemas.openxmlformats.org/officeDocument/2006/relationships/hyperlink" Target="https://jfn.ac.lk/prof-s-pathmanathan/" TargetMode="External" Id="rId20" /><Relationship Type="http://schemas.openxmlformats.org/officeDocument/2006/relationships/hyperlink" Target="https://www.sundaytimes.lk/000423/plus3.html" TargetMode="External" Id="rId21" /><Relationship Type="http://schemas.openxmlformats.org/officeDocument/2006/relationships/hyperlink" Target="https://unioncatalogue.dlp.gov.lk/Record/poin.4050/Description" TargetMode="External" Id="rId22" /><Relationship Type="http://schemas.openxmlformats.org/officeDocument/2006/relationships/hyperlink" Target="https://noolaham.org/wiki/index.php/Epigraphia_Zeylanica_3" TargetMode="External" Id="rId23" /><Relationship Type="http://schemas.openxmlformats.org/officeDocument/2006/relationships/hyperlink" Target="https://noolaham.org/wiki/index.php/%E0%AE%95%E0%AF%8B%E0%AE%A3%E0%AF%87%E0%AE%9A%E0%AE%B0%E0%AF%8D_%E0%AE%95%E0%AE%B2%E0%AF%8D%E0%AE%B5%E0%AF%86%E0%AE%9F%E0%AF%8D%E0%AE%9F%E0%AF%81" TargetMode="External" Id="rId24" /><Relationship Type="http://schemas.openxmlformats.org/officeDocument/2006/relationships/hyperlink" Target="https://noolaham.org/wiki/index.php/%E0%AE%AA%E0%AF%82%E0%AE%A8%E0%AE%95%E0%AE%B0%E0%AE%BF_%E0%AE%A4%E0%AF%8A%E0%AE%B2%E0%AF%8D%E0%AE%AA%E0%AF%8A%E0%AE%B0%E0%AF%81%E0%AE%B3%E0%AE%BE%E0%AE%AF%E0%AF%8D%E0%AE%B5%E0%AF%81" TargetMode="External" Id="rId25" /><Relationship Type="http://schemas.openxmlformats.org/officeDocument/2006/relationships/hyperlink" Target="https://noolaham.net/project/18/1733/1733.html" TargetMode="External" Id="rId26" /><Relationship Type="http://schemas.openxmlformats.org/officeDocument/2006/relationships/hyperlink" Target="https://find.library.upenn.edu/catalog/997779313503681" TargetMode="External" Id="rId27" /><Relationship Type="http://schemas.openxmlformats.org/officeDocument/2006/relationships/hyperlink" Target="https://www.lankapradeepa.com/2020/04/tamil-inscriptions-in-sri-lanka_16.html" TargetMode="External" Id="rId28" /><Relationship Type="http://schemas.openxmlformats.org/officeDocument/2006/relationships/hyperlink" Target="https://noolaham.net/project/977/97628/97628.pdf" TargetMode="External" Id="rId29" /><Relationship Type="http://schemas.openxmlformats.org/officeDocument/2006/relationships/hyperlink" Target="https://noolaham.net/project/1316/131542/131542.pdf" TargetMode="External" Id="rId30" /><Relationship Type="http://schemas.openxmlformats.org/officeDocument/2006/relationships/hyperlink" Target="https://noolaham.net/project/810/80954/80954.pdf" TargetMode="External" Id="rId31" /><Relationship Type="http://schemas.openxmlformats.org/officeDocument/2006/relationships/hyperlink" Target="http://lib.vau.jfn.ac.lk/cgi-bin/koha/opac-detail.pl?biblionumber=44042&amp;shelfbrowse_itemnumber=55269"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doi.org/10.32381/sear.2025.50.9" TargetMode="External" Id="rId34" /><Relationship Type="http://schemas.openxmlformats.org/officeDocument/2006/relationships/hyperlink" Target="https://doi.org/10.1007/s41636-026-00636-0" TargetMode="External" Id="rId35" /><Relationship Type="http://schemas.openxmlformats.org/officeDocument/2006/relationships/hyperlink" Target="https://fhss.niibs.lk/wp-content/uploads/2025/02/Investigation-of-Ancient-Pre-colonial-Monuments-in-Jaffna-Sri-Lanka.pdf"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mrs-ajiththa-suganthan/" TargetMode="External" Id="rId38" /><Relationship Type="http://schemas.openxmlformats.org/officeDocument/2006/relationships/hyperlink" Target="https://zenodo.org/records/16599990" TargetMode="External" Id="rId39" /><Relationship Type="http://schemas.openxmlformats.org/officeDocument/2006/relationships/hyperlink" Target="https://doi.org/10.64920/drc2025027" TargetMode="External" Id="rId40" /><Relationship Type="http://schemas.openxmlformats.org/officeDocument/2006/relationships/hyperlink" Target="https://doi.org/10.29173/anlk872" TargetMode="External" Id="rId41" /><Relationship Type="http://schemas.openxmlformats.org/officeDocument/2006/relationships/hyperlink" Target="https://www.his.jfn.ac.lk/index.php/mrs-ajiththa-suganthan/" TargetMode="External" Id="rId42" /><Relationship Type="http://schemas.openxmlformats.org/officeDocument/2006/relationships/hyperlink" Target="https://www.his.jfn.ac.lk/index.php/__trashed/" TargetMode="External" Id="rId43" /><Relationship Type="http://schemas.openxmlformats.org/officeDocument/2006/relationships/hyperlink" Target="https://doi.org/10.29173/anlk838" TargetMode="External" Id="rId44" /><Relationship Type="http://schemas.openxmlformats.org/officeDocument/2006/relationships/hyperlink" Target="https://www.his.jfn.ac.lk/index.php/__trashed/" TargetMode="External" Id="rId45" /><Relationship Type="http://schemas.openxmlformats.org/officeDocument/2006/relationships/hyperlink" Target="https://www.his.jfn.ac.lk/index.php/ms-mahalingam-ushanthy/" TargetMode="External" Id="rId46" /><Relationship Type="http://schemas.openxmlformats.org/officeDocument/2006/relationships/hyperlink" Target="https://www.his.jfn.ac.lk/index.php/mrs-ajiththa-suganthan/" TargetMode="External" Id="rId47" /><Relationship Type="http://schemas.openxmlformats.org/officeDocument/2006/relationships/hyperlink" Target="https://www.his.jfn.ac.lk/?p=1706" TargetMode="External" Id="rId48" /><Relationship Type="http://schemas.openxmlformats.org/officeDocument/2006/relationships/hyperlink" Target="https://www.his.jfn.ac.lk/index.php/mrs-ajiththa-suganthan/" TargetMode="External" Id="rId49" /><Relationship Type="http://schemas.openxmlformats.org/officeDocument/2006/relationships/hyperlink" Target="https://www.his.jfn.ac.lk/index.php/__trashed/" TargetMode="External" Id="rId50" /><Relationship Type="http://schemas.openxmlformats.org/officeDocument/2006/relationships/hyperlink" Target="https://www.his.jfn.ac.lk/index.php/__trashed/" TargetMode="External" Id="rId51" /><Relationship Type="http://schemas.openxmlformats.org/officeDocument/2006/relationships/hyperlink" Target="https://www.his.jfn.ac.lk/index.php/__trashed/" TargetMode="External" Id="rId52" /><Relationship Type="http://schemas.openxmlformats.org/officeDocument/2006/relationships/hyperlink" Target="https://archaeology.gov.lk/media/attachments/2022/09/07/ac27updated.pdf" TargetMode="External" Id="rId53" /><Relationship Type="http://schemas.openxmlformats.org/officeDocument/2006/relationships/hyperlink" Target="https://www.his.jfn.ac.lk/?p=791" TargetMode="External" Id="rId54" /><Relationship Type="http://schemas.openxmlformats.org/officeDocument/2006/relationships/hyperlink" Target="https://www.his.jfn.ac.lk/index.php/mrs-ajiththa-suganthan/" TargetMode="External" Id="rId55" /><Relationship Type="http://schemas.openxmlformats.org/officeDocument/2006/relationships/hyperlink" Target="https://www.his.jfn.ac.lk/?p=1706" TargetMode="External" Id="rId56" /><Relationship Type="http://schemas.openxmlformats.org/officeDocument/2006/relationships/hyperlink" Target="https://doi.org/10.17501/26510243.2021.2101" TargetMode="External" Id="rId57" /><Relationship Type="http://schemas.openxmlformats.org/officeDocument/2006/relationships/hyperlink" Target="https://doi.org/10.54392/ijot2236" TargetMode="External" Id="rId58" /><Relationship Type="http://schemas.openxmlformats.org/officeDocument/2006/relationships/hyperlink" Target="https://doi.org/10.29173/anlk659" TargetMode="External" Id="rId59" /><Relationship Type="http://schemas.openxmlformats.org/officeDocument/2006/relationships/hyperlink" Target="https://www.his.jfn.ac.lk/index.php/mrs-s-arulanantham/" TargetMode="External" Id="rId60" /><Relationship Type="http://schemas.openxmlformats.org/officeDocument/2006/relationships/hyperlink" Target="https://www.his.jfn.ac.lk/?p=1706"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__trashed/" TargetMode="External" Id="rId63" /><Relationship Type="http://schemas.openxmlformats.org/officeDocument/2006/relationships/hyperlink" Target="https://dspace.lib.seu.ac.lk/items/d37186eb-584d-43c3-8284-8e7e285c22d1/full" TargetMode="External" Id="rId64" /><Relationship Type="http://schemas.openxmlformats.org/officeDocument/2006/relationships/hyperlink" Target="https://www.his.jfn.ac.lk/?p=791" TargetMode="External" Id="rId65" /><Relationship Type="http://schemas.openxmlformats.org/officeDocument/2006/relationships/hyperlink" Target="https://www.his.jfn.ac.lk/?p=791" TargetMode="External" Id="rId66" /><Relationship Type="http://schemas.openxmlformats.org/officeDocument/2006/relationships/hyperlink" Target="https://www.his.jfn.ac.lk/?p=1706" TargetMode="External" Id="rId67" /><Relationship Type="http://schemas.openxmlformats.org/officeDocument/2006/relationships/hyperlink" Target="https://www.his.jfn.ac.lk/index.php/mrs-ajiththa-suganthan/" TargetMode="External" Id="rId68" /><Relationship Type="http://schemas.openxmlformats.org/officeDocument/2006/relationships/hyperlink" Target="https://www.his.jfn.ac.lk/?p=170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2" /><Relationship Type="http://schemas.openxmlformats.org/officeDocument/2006/relationships/hyperlink" Target="https://www.his.jfn.ac.lk/index.php/__trashed/" TargetMode="External" Id="rId73" /><Relationship Type="http://schemas.openxmlformats.org/officeDocument/2006/relationships/hyperlink" Target="https://www.his.jfn.ac.lk/?p=791" TargetMode="External" Id="rId74" /><Relationship Type="http://schemas.openxmlformats.org/officeDocument/2006/relationships/hyperlink" Target="https://doi.org/10.3390/rel10090537"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p=791" TargetMode="External" Id="rId78" /><Relationship Type="http://schemas.openxmlformats.org/officeDocument/2006/relationships/hyperlink" Target="https://www.his.jfn.ac.lk/?p=791" TargetMode="External" Id="rId79" /><Relationship Type="http://schemas.openxmlformats.org/officeDocument/2006/relationships/hyperlink" Target="https://www.his.jfn.ac.lk/?p=791" TargetMode="External" Id="rId80" /><Relationship Type="http://schemas.openxmlformats.org/officeDocument/2006/relationships/hyperlink" Target="https://dspace.lib.seu.ac.lk/items/d9c75f55-5065-4c9d-9c54-98ec1717f8d1" TargetMode="External" Id="rId81" /><Relationship Type="http://schemas.openxmlformats.org/officeDocument/2006/relationships/hyperlink" Target="https://www.his.jfn.ac.lk/?p=791" TargetMode="External" Id="rId82" /><Relationship Type="http://schemas.openxmlformats.org/officeDocument/2006/relationships/hyperlink" Target="https://www.his.jfn.ac.lk/index.php/mrs-ajiththa-suganthan/" TargetMode="External" Id="rId83" /><Relationship Type="http://schemas.openxmlformats.org/officeDocument/2006/relationships/hyperlink" Target="https://www.his.jfn.ac.lk/?p=791" TargetMode="External" Id="rId84" /><Relationship Type="http://schemas.openxmlformats.org/officeDocument/2006/relationships/hyperlink" Target="https://www.his.jfn.ac.lk/index.php/profkarunthavarajah/" TargetMode="External" Id="rId85" /><Relationship Type="http://schemas.openxmlformats.org/officeDocument/2006/relationships/hyperlink" Target="https://www.his.jfn.ac.lk/index.php/mrs-s-arulanantham/" TargetMode="External" Id="rId86" /><Relationship Type="http://schemas.openxmlformats.org/officeDocument/2006/relationships/hyperlink" Target="https://rer.jfn.ac.lk/items/cf7a95e0-fe51-4ae1-88aa-4842327beb59/full"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index.php/mrs-s-arulanantham/" TargetMode="External" Id="rId89" /><Relationship Type="http://schemas.openxmlformats.org/officeDocument/2006/relationships/hyperlink" Target="https://www.his.jfn.ac.lk/index.php/profkarunthavarajah/" TargetMode="External" Id="rId90" /><Relationship Type="http://schemas.openxmlformats.org/officeDocument/2006/relationships/hyperlink" Target="https://www.his.jfn.ac.lk/index.php/profkarunthavarajah/" TargetMode="External" Id="rId91" /><Relationship Type="http://schemas.openxmlformats.org/officeDocument/2006/relationships/hyperlink" Target="https://www.his.jfn.ac.lk/index.php/profkarunthavarajah/" TargetMode="External" Id="rId92" /><Relationship Type="http://schemas.openxmlformats.org/officeDocument/2006/relationships/hyperlink" Target="https://www.his.jfn.ac.lk/index.php/mrs-s-arulanantham/" TargetMode="External" Id="rId93" /><Relationship Type="http://schemas.openxmlformats.org/officeDocument/2006/relationships/hyperlink" Target="https://www.lankapradeepa.com/2020/04/tamil-inscriptions-in-sri-lanka_16.html" TargetMode="External" Id="rId94" /><Relationship Type="http://schemas.openxmlformats.org/officeDocument/2006/relationships/hyperlink" Target="https://doi.org/10.4135/9788132104322.n1" TargetMode="External" Id="rId95" /><Relationship Type="http://schemas.openxmlformats.org/officeDocument/2006/relationships/hyperlink" Target="https://jfn.ac.lk/prof-s-pathmanathan/" TargetMode="External" Id="rId96" /><Relationship Type="http://schemas.openxmlformats.org/officeDocument/2006/relationships/hyperlink" Target="https://jfn.ac.lk/prof-s-pathmanathan/" TargetMode="External" Id="rId97" /><Relationship Type="http://schemas.openxmlformats.org/officeDocument/2006/relationships/hyperlink" Target="https://www.lankapradeepa.com/2020/04/tamil-inscriptions-in-sri-lanka_16.html" TargetMode="External" Id="rId98" /><Relationship Type="http://schemas.openxmlformats.org/officeDocument/2006/relationships/hyperlink" Target="https://jfn.ac.lk/prof-s-pathmanathan/" TargetMode="External" Id="rId99" /><Relationship Type="http://schemas.openxmlformats.org/officeDocument/2006/relationships/hyperlink" Target="https://jfn.ac.lk/prof-s-pathmanathan/" TargetMode="External" Id="rId100" /><Relationship Type="http://schemas.openxmlformats.org/officeDocument/2006/relationships/hyperlink" Target="https://jfn.ac.lk/prof-s-pathmanathan/" TargetMode="External" Id="rId101" /><Relationship Type="http://schemas.openxmlformats.org/officeDocument/2006/relationships/hyperlink" Target="https://jfn.ac.lk/prof-s-pathmanathan/" TargetMode="External" Id="rId102" /><Relationship Type="http://schemas.openxmlformats.org/officeDocument/2006/relationships/hyperlink" Target="https://jfn.ac.lk/prof-s-pathmanathan/" TargetMode="External" Id="rId103" /><Relationship Type="http://schemas.openxmlformats.org/officeDocument/2006/relationships/hyperlink" Target="https://jfn.ac.lk/prof-s-pathmanathan/" TargetMode="External" Id="rId104" /><Relationship Type="http://schemas.openxmlformats.org/officeDocument/2006/relationships/hyperlink" Target="https://www.lankapradeepa.com/2020/04/tamil-inscriptions-in-sri-lanka_16.html" TargetMode="External" Id="rId105" /><Relationship Type="http://schemas.openxmlformats.org/officeDocument/2006/relationships/hyperlink" Target="https://jfn.ac.lk/prof-s-pathmanathan/" TargetMode="External" Id="rId106" /><Relationship Type="http://schemas.openxmlformats.org/officeDocument/2006/relationships/hyperlink" Target="https://ir.lib.pdn.ac.lk/handle/20.500.14444/3809" TargetMode="External" Id="rId107" /><Relationship Type="http://schemas.openxmlformats.org/officeDocument/2006/relationships/hyperlink" Target="https://ir.lib.pdn.ac.lk/items/583155fd-b49e-4398-8b04-51776c4dbf8f/full" TargetMode="External" Id="rId108" /><Relationship Type="http://schemas.openxmlformats.org/officeDocument/2006/relationships/hyperlink" Target="https://www.lankapradeepa.com/2020/04/tamil-inscriptions-in-sri-lanka_16.html" TargetMode="External" Id="rId109" /><Relationship Type="http://schemas.openxmlformats.org/officeDocument/2006/relationships/hyperlink" Target="https://jfn.ac.lk/prof-s-pathmanathan/" TargetMode="External" Id="rId110" /><Relationship Type="http://schemas.openxmlformats.org/officeDocument/2006/relationships/hyperlink" Target="https://www.lankapradeepa.com/2020/04/tamil-inscriptions-in-sri-lanka_16.html" TargetMode="External" Id="rId111" /><Relationship Type="http://schemas.openxmlformats.org/officeDocument/2006/relationships/hyperlink" Target="https://jfn.ac.lk/prof-s-pathmanathan/" TargetMode="External" Id="rId112" /><Relationship Type="http://schemas.openxmlformats.org/officeDocument/2006/relationships/hyperlink" Target="https://siddham.network/tag/kayts/" TargetMode="External" Id="rId113" /><Relationship Type="http://schemas.openxmlformats.org/officeDocument/2006/relationships/hyperlink" Target="https://ir.lib.pdn.ac.lk/handle/20.500.14444/5038" TargetMode="External" Id="rId114" /><Relationship Type="http://schemas.openxmlformats.org/officeDocument/2006/relationships/hyperlink" Target="https://www.academia.edu/44307643/Annaikottai_Seal_Is_it_Tamil_Brahmi" TargetMode="External" Id="rId115" /><Relationship Type="http://schemas.openxmlformats.org/officeDocument/2006/relationships/hyperlink" Target="https://mrujs.mtroyal.ca/index.php/anlk/article/view/634" TargetMode="External" Id="rId116" /><Relationship Type="http://schemas.openxmlformats.org/officeDocument/2006/relationships/hyperlink" Target="https://irjt.iorpress.org/index.php/irjt/article/download/2607/2111/4821" TargetMode="External" Id="rId117" /><Relationship Type="http://schemas.openxmlformats.org/officeDocument/2006/relationships/hyperlink" Target="https://rer.jfn.ac.lk/items/69679e68-fe61-4cd9-a9de-ccff08422aac/full" TargetMode="External" Id="rId118" /><Relationship Type="http://schemas.openxmlformats.org/officeDocument/2006/relationships/hyperlink" Target="https://siddham.network/tag/609823/" TargetMode="External" Id="rId119" /><Relationship Type="http://schemas.openxmlformats.org/officeDocument/2006/relationships/hyperlink" Target="https://shanlaxjournals.in/journals/index.php/tamil/article/view/7777" TargetMode="External" Id="rId120" /><Relationship Type="http://schemas.openxmlformats.org/officeDocument/2006/relationships/hyperlink" Target="https://shanlaxjournals.in/journals/index.php/tamil/article/view/6193" TargetMode="External" Id="rId121" /><Relationship Type="http://schemas.openxmlformats.org/officeDocument/2006/relationships/hyperlink" Target="https://www.academia.edu/47759409/Making_Lanka_the_Tamil_way_a_temple_history_at_the_crossroads_of_landscapes_and_watersheds" TargetMode="External" Id="rId122" /><Relationship Type="http://schemas.openxmlformats.org/officeDocument/2006/relationships/hyperlink" Target="https://siddham.network/tag/vasabha/" TargetMode="External" Id="rId123" /><Relationship Type="http://schemas.openxmlformats.org/officeDocument/2006/relationships/hyperlink" Target="https://durham-repository.worktribe.com/output/1656993/recent-excavations-and-survey-at-jaffna-fort-in-2017-and-reflections-on-the-antiquity-of-indian-ocean-trade" TargetMode="External" Id="rId124" /><Relationship Type="http://schemas.openxmlformats.org/officeDocument/2006/relationships/hyperlink" Target="https://rer.jfn.ac.lk/items/fc0f248b-470f-449c-a7c6-8b8ec38517f0" TargetMode="External" Id="rId125" /><Relationship Type="http://schemas.openxmlformats.org/officeDocument/2006/relationships/hyperlink" Target="https://www.researchgate.net/publication/301336596_The_Peopling_of_Sri_Lanka_from_Prehistoric_to_Historic_Times_Biological_and_Archaeological_Evidence" TargetMode="External" Id="rId126" /><Relationship Type="http://schemas.openxmlformats.org/officeDocument/2006/relationships/hyperlink" Target="https://dspace.lib.seu.ac.lk/items/2bce5ebf-dc84-4b9c-a7ed-ca9bf13f1e7a/full" TargetMode="External" Id="rId127" /><Relationship Type="http://schemas.openxmlformats.org/officeDocument/2006/relationships/hyperlink" Target="https://www.colombotelegraph.com/index.php/a-historian-in-focus-the-dark-side-of-s-pathmanathan/" TargetMode="External" Id="rId128" /><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129"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130" /><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131" /><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13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3" /><Relationship Type="http://schemas.openxmlformats.org/officeDocument/2006/relationships/hyperlink" Target="https://ibctamil.com/article/an-underground-city-discovered-in-polonnaruwa-sl-1708747886" TargetMode="External" Id="rId13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35"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13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37" /><Relationship Type="http://schemas.openxmlformats.org/officeDocument/2006/relationships/hyperlink" Target="https://news.google.com/rss/articles/CBMiSkFVX3lxTE9RWHRpZjlDZE92MEg4bC1VRXFNMjNpSlotREpZclVwU2tncGcyRWFNUnpxQ1ZJTmlRZS1VanBPWl9XNVdjcWhtd29R?oc=5" TargetMode="External" Id="rId138"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39"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40" /><Relationship Type="http://schemas.openxmlformats.org/officeDocument/2006/relationships/hyperlink" Target="https://news.google.com/rss/articles/CBMiV0FVX3lxTE0xSVZDa2M2cjhyOFJNVzZ4UEt2TnRyanBkaXBhSmxhTElobUFMNWhic0dWMlloejhDY3NaOGVEMnNnN0liY1B6cjR1OTFMOVowUUp1YzQ1WQ?oc=5" TargetMode="External" Id="rId141" /><Relationship Type="http://schemas.openxmlformats.org/officeDocument/2006/relationships/hyperlink" Target="https://news.google.com/rss/articles/CBMiUkFVX3lxTE1fNTgzSTJzeXFaeXJrVU44Z3ZlcE13OFR5YU00WTBQRTVhUnJxSm1IeFFVdEVMaVI4M0dsREhFd1ZsMG9WT0pEZVU0Nms2TFRfLVE?oc=5" TargetMode="External" Id="rId142"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14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14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145" /><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146"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147"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148"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149" /><Relationship Type="http://schemas.openxmlformats.org/officeDocument/2006/relationships/hyperlink" Target="https://news.google.com/rss/articles/CBMiUEFVX3lxTFBoclkwMTRjdmdKLWZ2aVE4Tk5VNUd5VlAyeVM4WG5EVHBNUFFfT2lwTkVweC1qLTJNODhBRE1wdUcxdVpvU3NVXzJFeGFKMXFp?oc=5" TargetMode="External" Id="rId150" /><Relationship Type="http://schemas.openxmlformats.org/officeDocument/2006/relationships/hyperlink" Target="https://www.sundaytimes.lk/180211/plus/head-to-the-east-for-a-feast-of-archaeological-sites-281129.html" TargetMode="External" Id="rId151"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152"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153" /><Relationship Type="http://schemas.openxmlformats.org/officeDocument/2006/relationships/hyperlink" Target="https://archives1.dailynews.lk/2017/01/04/features/103659" TargetMode="External" Id="rId15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155"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156" /><Relationship Type="http://schemas.openxmlformats.org/officeDocument/2006/relationships/hyperlink" Target="https://archives.sundayobserver.lk/2013/03/10/mon13.asp" TargetMode="External" Id="rId157" /><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158"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159" /><Relationship Type="http://schemas.openxmlformats.org/officeDocument/2006/relationships/hyperlink" Target="https://tamilnet.com/art.html?artid=35707&amp;catid=79" TargetMode="External" Id="rId160" /><Relationship Type="http://schemas.openxmlformats.org/officeDocument/2006/relationships/hyperlink" Target="https://www.his.jfn.ac.lk/?p=791" TargetMode="External" Id="rId161" /><Relationship Type="http://schemas.openxmlformats.org/officeDocument/2006/relationships/hyperlink" Target="https://archives.thinakaran.lk/2011/02/15/?fn=i1102155&amp;p=1" TargetMode="External" Id="rId162" /><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163" /><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164"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165" /><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166" /><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167" /><Relationship Type="http://schemas.openxmlformats.org/officeDocument/2006/relationships/hyperlink" Target="https://www.sundaytimes.lk/080504/Plus/plus000025.html" TargetMode="External" Id="rId168" /><Relationship Type="http://schemas.openxmlformats.org/officeDocument/2006/relationships/hyperlink" Target="https://www.sundaytimes.lk/000423/plus3.html" TargetMode="External" Id="rId169" /><Relationship Type="http://schemas.openxmlformats.org/officeDocument/2006/relationships/hyperlink" Target="https://www.tamilguardian.com/content/2000-year-old-tamil-brahmi-inscriptions-discovered-egypts-valley-kings" TargetMode="External" Id="rId170" /><Relationship Type="http://schemas.openxmlformats.org/officeDocument/2006/relationships/hyperlink" Target="https://www.tamilguardian.com/content/3400-year-old-human-remains-discovered-velanai-jaffna" TargetMode="External" Id="rId171" /><Relationship Type="http://schemas.openxmlformats.org/officeDocument/2006/relationships/hyperlink" Target="https://www.tamilguardian.com/content/ancient-pandyan-coins-bring-intrigue-and-dispute-sri-lanka" TargetMode="External" Id="rId172" /><Relationship Type="http://schemas.openxmlformats.org/officeDocument/2006/relationships/hyperlink" Target="https://www.colombotelegraph.com/index.php/book-review-the-historian-as-bridge/" TargetMode="External" Id="rId173" /><Relationship Type="http://schemas.openxmlformats.org/officeDocument/2006/relationships/hyperlink" Target="https://archives1.sundayobserver.lk/node/26758" TargetMode="External" Id="rId174" /><Relationship Type="http://schemas.openxmlformats.org/officeDocument/2006/relationships/hyperlink" Target="https://island.lk/little-known-facets-of-sri-lankan-historya-chola-princess-and-the-old-name-for-jaffna/" TargetMode="External" Id="rId175" /><Relationship Type="http://schemas.openxmlformats.org/officeDocument/2006/relationships/hyperlink" Target="https://archives1.sundayobserver.lk/node/59637" TargetMode="External" Id="rId176" /><Relationship Type="http://schemas.openxmlformats.org/officeDocument/2006/relationships/hyperlink" Target="https://island.lk/reptiles-in-rock-and-time-unveiling-sri-lankas-ancient-herpetological-art/" TargetMode="External" Id="rId177" /><Relationship Type="http://schemas.openxmlformats.org/officeDocument/2006/relationships/hyperlink" Target="https://archives1.sundayobserver.lk/node/44600" TargetMode="External" Id="rId178" /><Relationship Type="http://schemas.openxmlformats.org/officeDocument/2006/relationships/hyperlink" Target="https://www.tamilguardian.com/index.php/node/955066" TargetMode="External" Id="rId179" /><Relationship Type="http://schemas.openxmlformats.org/officeDocument/2006/relationships/hyperlink" Target="https://www.colombotelegraph.com/index.php/sri-lankas-role-in-south-asias-earliest-writing-controversy/" TargetMode="External" Id="rId180" /><Relationship Type="http://schemas.openxmlformats.org/officeDocument/2006/relationships/hyperlink" Target="https://www.tamilguardian.com/content/tamil-civilisation-it-oldest" TargetMode="External" Id="rId181" /><Relationship Type="http://schemas.openxmlformats.org/officeDocument/2006/relationships/hyperlink" Target="https://www.colombotelegraph.com/index.php/the-tamils-are-the-original-inhabitants-of-sri-lanka/" TargetMode="External" Id="rId182" /><Relationship Type="http://schemas.openxmlformats.org/officeDocument/2006/relationships/hyperlink" Target="https://www.tamilguardian.com/index.php/content/trilingual-inscription-tamil-chinese-and-persian-recognised-unesco" TargetMode="External" Id="rId183" /><Relationship Type="http://schemas.openxmlformats.org/officeDocument/2006/relationships/hyperlink" Target="https://thinakkural.lk/article/45056" TargetMode="External" Id="rId184" /><Relationship Type="http://schemas.openxmlformats.org/officeDocument/2006/relationships/hyperlink" Target="https://www.tamilmirror.lk/91-286936" TargetMode="External" Id="rId185" /><Relationship Type="http://schemas.openxmlformats.org/officeDocument/2006/relationships/hyperlink" Target="https://www.virakesari.lk/article/160191" TargetMode="External" Id="rId186" /><Relationship Type="http://schemas.openxmlformats.org/officeDocument/2006/relationships/hyperlink" Target="https://www.ezhunaonline.com/manthai-the-seafaring-trading-center-of-ancient-sri-lanka/" TargetMode="External" Id="rId187" /><Relationship Type="http://schemas.openxmlformats.org/officeDocument/2006/relationships/hyperlink" Target="https://www.ezhunaonline.com/from-tradition-to-tradition-the-southern-modic-koothu-of-jaffna/" TargetMode="External" Id="rId188" /><Relationship Type="http://schemas.openxmlformats.org/officeDocument/2006/relationships/hyperlink" Target="https://www.ezhunaonline.com/ancient-religious-practices-in-ancient-jaffna-part-2/" TargetMode="External" Id="rId189" /><Relationship Type="http://schemas.openxmlformats.org/officeDocument/2006/relationships/hyperlink" Target="https://www.ezhunaonline.com/jaffna-buddhism-100-bc-1200-ad-part-2/" TargetMode="External" Id="rId190" /><Relationship Type="http://schemas.openxmlformats.org/officeDocument/2006/relationships/hyperlink" Target="https://www.ezhunaonline.com/ancient-coins-found-in-kandy-and-northern-sri-lanka-part-1/" TargetMode="External" Id="rId191" /><Relationship Type="http://schemas.openxmlformats.org/officeDocument/2006/relationships/hyperlink" Target="https://www.ezhunaonline.com/ancient-coins-found-in-kandy-and-northern-sri-lanka-part-2/" TargetMode="External" Id="rId192" /><Relationship Type="http://schemas.openxmlformats.org/officeDocument/2006/relationships/hyperlink" Target="https://www.ezhunaonline.com/origin-and-gradual-development-of-the-gandharoda-civilization-part-4/" TargetMode="External" Id="rId193" /><Relationship Type="http://schemas.openxmlformats.org/officeDocument/2006/relationships/hyperlink" Target="https://www.ezhunaonline.com/the-gandarodai-archaeological-site-and-scientific-studies-on-the-early-iron-age-that-overturned-the-mahavamsa-history-of-sri-lanka-part-5/" TargetMode="External" Id="rId194" /><Relationship Type="http://schemas.openxmlformats.org/officeDocument/2006/relationships/hyperlink" Target="https://www.ezhunaonline.com/archaeology-and-weaponizing-the-past-part-2/" TargetMode="External" Id="rId195" /><Relationship Type="http://schemas.openxmlformats.org/officeDocument/2006/relationships/hyperlink" Target="https://www.ezhunaonline.com/the-genetic-origins-of-the-dravidian-people-and-the-evolutionary-emergence-of-the-tamil-language-an-introduction/" TargetMode="External" Id="rId196" /><Relationship Type="http://schemas.openxmlformats.org/officeDocument/2006/relationships/hyperlink" Target="https://www.ezhunaonline.com/dietary-habits-of-the-people-of-jaffna-2500-years-ago-facts-revealed-by-the-anaicottai-excavation/" TargetMode="External" Id="rId197" /><Relationship Type="http://schemas.openxmlformats.org/officeDocument/2006/relationships/hyperlink" Target="https://www.ezhunaonline.com/ochapu-kallu-is-an-ancient-nagar-settlement/" TargetMode="External" Id="rId198" /><Relationship Type="http://schemas.openxmlformats.org/officeDocument/2006/relationships/hyperlink" Target="https://www.ezhunaonline.com/inscription-about-nagar-on-thanga-tirumala-by-brahmin-divakan/" TargetMode="External" Id="rId199" /><Relationship Type="http://schemas.openxmlformats.org/officeDocument/2006/relationships/hyperlink" Target="https://www.ezhunaonline.com/on-the-border-of-ghazigamalai/" TargetMode="External" Id="rId200" /><Relationship Type="http://schemas.openxmlformats.org/officeDocument/2006/relationships/hyperlink" Target="https://www.ezhunaonline.com/inscriptions-about-nagar-found-on-rittikala-hill-arita-parvata-hill/" TargetMode="External" Id="rId201" /><Relationship Type="http://schemas.openxmlformats.org/officeDocument/2006/relationships/hyperlink" Target="https://www.ezhunaonline.com/inscription-of-naga-maharaja-on-rithi-viharai-hill/" TargetMode="External" Id="rId202" /><Relationship Type="http://schemas.openxmlformats.org/officeDocument/2006/relationships/hyperlink" Target="https://www.ezhunaonline.com/gandharoda-civilization-of-ancient-jaffna/" TargetMode="External" Id="rId203" /><Relationship Type="http://schemas.openxmlformats.org/officeDocument/2006/relationships/hyperlink" Target="https://www.ezhunaonline.com/geology-topography-and-ancient-settlements-of-jaffna/" TargetMode="External" Id="rId204" /><Relationship Type="http://schemas.openxmlformats.org/officeDocument/2006/relationships/hyperlink" Target="https://www.ezhunaonline.com/andiyagala-hill-inscription-where-siddhas-lived-2000-years-ago/" TargetMode="External" Id="rId205" /><Relationship Type="http://schemas.openxmlformats.org/officeDocument/2006/relationships/hyperlink" Target="https://www.ezhunaonline.com/hibauwa-inscription-about-the-naga-clan/" TargetMode="External" Id="rId206" /><Relationship Type="http://schemas.openxmlformats.org/officeDocument/2006/relationships/hyperlink" Target="https://www.ezhunaonline.com/nagaland-and-the-nagas-in-history-and-literary-records-part-2/" TargetMode="External" Id="rId207" /><Relationship Type="http://schemas.openxmlformats.org/officeDocument/2006/relationships/hyperlink" Target="https://www.ezhunaonline.com/the-dating-of-archaeological-artefacts/" TargetMode="External" Id="rId208" /><Relationship Type="http://schemas.openxmlformats.org/officeDocument/2006/relationships/hyperlink" Target="https://www.ezhunaonline.com/archaeology-of-kantarodai-part-3/" TargetMode="External" Id="rId209" /><Relationship Type="http://schemas.openxmlformats.org/officeDocument/2006/relationships/hyperlink" Target="https://www.ezhunaonline.com/anaikottai-archaeological-survey/" TargetMode="External" Id="rId210" /><Relationship Type="http://schemas.openxmlformats.org/officeDocument/2006/relationships/hyperlink" Target="https://www.ezhunaonline.com/the-kallanchiya-rock-inscription-tells-of-king-nagan/" TargetMode="External" Id="rId211" /><Relationship Type="http://schemas.openxmlformats.org/officeDocument/2006/relationships/hyperlink" Target="https://www.ezhunaonline.com/jaffna-city-pongoli-water-lion-city-part-2/" TargetMode="External" Id="rId212" /><Relationship Type="http://schemas.openxmlformats.org/officeDocument/2006/relationships/hyperlink" Target="https://www.ezhunaonline.com/vallipuram-and-nagercoil/" TargetMode="External" Id="rId213" /><Relationship Type="http://schemas.openxmlformats.org/officeDocument/2006/relationships/hyperlink" Target="https://www.ezhunaonline.com/early-settlements-near-the-jaffna-peninsula/" TargetMode="External" Id="rId214" /><Relationship Type="http://schemas.openxmlformats.org/officeDocument/2006/relationships/hyperlink" Target="https://www.ezhunaonline.com/primitive-settlements-in-the-northern-mainland-of-sri-lanka/" TargetMode="External" Id="rId215" /><Relationship Type="http://schemas.openxmlformats.org/officeDocument/2006/relationships/hyperlink" Target="https://www.ezhunaonline.com/early-iron-age-and-neolithic-culture-in-sri-lanka-part-3/" TargetMode="External" Id="rId216" /><Relationship Type="http://schemas.openxmlformats.org/officeDocument/2006/relationships/hyperlink" Target="https://www.ezhunaonline.com/history-of-naga-and-anuradhapura-kings-in-eastern-srilanka/" TargetMode="External" Id="rId217" /><Relationship Type="http://schemas.openxmlformats.org/officeDocument/2006/relationships/hyperlink" Target="https://www.ezhunaonline.com/the-first-ten-clans-of-eastern-sri-lanka/" TargetMode="External" Id="rId218" /><Relationship Type="http://schemas.openxmlformats.org/officeDocument/2006/relationships/hyperlink" Target="https://www.ezhunaonline.com/an-introduction-to-brahmi-inscriptions-in-sri-lanka/" TargetMode="External" Id="rId219" /><Relationship Type="http://schemas.openxmlformats.org/officeDocument/2006/relationships/hyperlink" Target="https://www.ezhunaonline.com/tamil-brahmi-inscription-in-ambanthotta-2/" TargetMode="External" Id="rId220" /><Relationship Type="http://schemas.openxmlformats.org/officeDocument/2006/relationships/hyperlink" Target="https://www.ezhunaonline.com/from-vattagamini-to-vattagamini/" TargetMode="External" Id="rId221" /><Relationship Type="http://schemas.openxmlformats.org/officeDocument/2006/relationships/hyperlink" Target="https://www.ezhunaonline.com/history-of-nagar-in-northern-sri-lanka/" TargetMode="External" Id="rId222" /><Relationship Type="http://schemas.openxmlformats.org/officeDocument/2006/relationships/hyperlink" Target="https://www.ezhunaonline.com/eastern-ruhunu-until-the-period-of-mahasenan/" TargetMode="External" Id="rId223" /><Relationship Type="http://schemas.openxmlformats.org/officeDocument/2006/relationships/hyperlink" Target="https://www.ezhunaonline.com/naga-culture-in-mihintala-anuradhapura/" TargetMode="External" Id="rId224" /><Relationship Type="http://schemas.openxmlformats.org/officeDocument/2006/relationships/hyperlink" Target="https://www.ezhunaonline.com/thissamaharama-inscription/" TargetMode="External" Id="rId225" /><Relationship Type="http://schemas.openxmlformats.org/officeDocument/2006/relationships/hyperlink" Target="https://www.ezhunaonline.com/archaeological-reseachers-of-nagar-in-sri-lanka/" TargetMode="External" Id="rId226" /><Relationship Type="http://schemas.openxmlformats.org/officeDocument/2006/relationships/hyperlink" Target="https://www.ezhunaonline.com/nagar-culture-in-sri-lankan-history-part-2/" TargetMode="External" Id="rId227" /><Relationship Type="http://schemas.openxmlformats.org/officeDocument/2006/relationships/hyperlink" Target="https://www.ezhunaonline.com/pidurangala-bhirami-inscription/" TargetMode="External" Id="rId228" /><Relationship Type="http://schemas.openxmlformats.org/officeDocument/2006/relationships/hyperlink" Target="https://www.ezhunaonline.com/sri-lanka-eastern-province-ancient-history/" TargetMode="External" Id="rId229" /><Relationship Type="http://schemas.openxmlformats.org/officeDocument/2006/relationships/hyperlink" Target="https://www.ezhunaonline.com/brahmi-inscription-about-sri-lankan-kingdoms/" TargetMode="External" Id="rId230" /><Relationship Type="http://schemas.openxmlformats.org/officeDocument/2006/relationships/hyperlink" Target="https://www.ezhunaonline.com/vessagiriya-inscription-that-tells-about-naga-blacksmith/" TargetMode="External" Id="rId231" /><Relationship Type="http://schemas.openxmlformats.org/officeDocument/2006/relationships/hyperlink" Target="https://www.ezhunaonline.com/the-wife-of-akkapothi-sri-lankan-eastern-history/" TargetMode="External" Id="rId232" /><Relationship Type="http://schemas.openxmlformats.org/officeDocument/2006/relationships/hyperlink" Target="https://www.ezhunaonline.com/kathirgamam-inscription-by-tamil-king-maha-nagan/" TargetMode="External" Id="rId233" /><Relationship Type="http://schemas.openxmlformats.org/officeDocument/2006/relationships/hyperlink" Target="https://www.ezhunaonline.com/siththar-rock-inscription-which-tell-about-maharajan/" TargetMode="External" Id="rId234" /><Relationship Type="http://schemas.openxmlformats.org/officeDocument/2006/relationships/hyperlink" Target="https://www.ezhunaonline.com/irakkamam-a-tax-free-village-for-anuradhapura-commander/" TargetMode="External" Id="rId235" /><Relationship Type="http://schemas.openxmlformats.org/officeDocument/2006/relationships/hyperlink" Target="https://www.ezhunaonline.com/archaeological-view-of-kathiramalai-kingdom/" TargetMode="External" Id="rId236" /><Relationship Type="http://schemas.openxmlformats.org/officeDocument/2006/relationships/hyperlink" Target="https://www.ezhunaonline.com/pandakiriya-inscription/" TargetMode="External" Id="rId237" /><Relationship Type="http://schemas.openxmlformats.org/officeDocument/2006/relationships/hyperlink" Target="https://www.ezhunaonline.com/padarkal-malai-inscrption/" TargetMode="External" Id="rId238" /><Relationship Type="http://schemas.openxmlformats.org/officeDocument/2006/relationships/hyperlink" Target="https://www.ezhunaonline.com/velodum-malai-nagamalai-inscription-mentions-maha-naga-king/" TargetMode="External" Id="rId239" /><Relationship Type="http://schemas.openxmlformats.org/officeDocument/2006/relationships/hyperlink" Target="https://www.ezhunaonline.com/inscriptions-about-nagar-on-pambarakasthalava-hill-nagaparvata-hill/" TargetMode="External" Id="rId240" /><Relationship Type="http://schemas.openxmlformats.org/officeDocument/2006/relationships/hyperlink" Target="https://www.ezhunaonline.com/tamil-brahmic-charters-of-vel-eelam-recently-discovered-in-poonagri-region/" TargetMode="External" Id="rId241" /><Relationship Type="http://schemas.openxmlformats.org/officeDocument/2006/relationships/hyperlink" Target="https://www.ezhunaonline.com/kalladi-niliyamman-hill-inscriptions-sri-lanka-mentions-the-naga-king-and-the-naga-canal/" TargetMode="External" Id="rId242" /><Relationship Type="http://schemas.openxmlformats.org/officeDocument/2006/relationships/hyperlink" Target="https://www.ezhunaonline.com/the-rajagala-inscriptions-refer-to-nagar/" TargetMode="External" Id="rId243" /><Relationship Type="http://schemas.openxmlformats.org/officeDocument/2006/relationships/hyperlink" Target="https://www.ezhunaonline.com/the-kudumbigala-hill-inscription-mentions-the-village-officer-nagan/" TargetMode="External" Id="rId244" /><Relationship Type="http://schemas.openxmlformats.org/officeDocument/2006/relationships/hyperlink" Target="https://www.ezhunaonline.com/chola-in-keekhagarai/" TargetMode="External" Id="rId245" /><Relationship Type="http://schemas.openxmlformats.org/officeDocument/2006/relationships/hyperlink" Target="https://www.ezhunaonline.com/muthukal-hill-inscriptions-mention-nagar/" TargetMode="External" Id="rId246" /><Relationship Type="http://schemas.openxmlformats.org/officeDocument/2006/relationships/hyperlink" Target="https://www.ezhunaonline.com/kayanguda-kumacholai-inscription-of-eastern-ceylon-viceroy/" TargetMode="External" Id="rId247" /><Relationship Type="http://schemas.openxmlformats.org/officeDocument/2006/relationships/hyperlink" Target="https://www.ezhunaonline.com/handagala-brahmic-inscriptions-refer-to-nagar/" TargetMode="External" Id="rId248" /><Relationship Type="http://schemas.openxmlformats.org/officeDocument/2006/relationships/hyperlink" Target="https://www.ezhunaonline.com/discovery-of-rare-tamil-inscription-in-trincomalee-re-examines-previous-historical-view-of-origin-of-tamil-kingdom/" TargetMode="External" Id="rId249" /><Relationship Type="http://schemas.openxmlformats.org/officeDocument/2006/relationships/hyperlink" Target="https://www.ezhunaonline.com/later-inscriptions-refer-to-tamils/" TargetMode="External" Id="rId250" /><Relationship Type="http://schemas.openxmlformats.org/officeDocument/2006/relationships/hyperlink" Target="https://www.ezhunaonline.com/kizhargalin-vampa-vendar/" TargetMode="External" Id="rId251" /><Relationship Type="http://schemas.openxmlformats.org/officeDocument/2006/relationships/hyperlink" Target="https://www.ezhunaonline.com/tamaraveva-pillar-inscription-referring-to-the-tamil-official-mahasathan/" TargetMode="External" Id="rId252" /><Relationship Type="http://schemas.openxmlformats.org/officeDocument/2006/relationships/hyperlink" Target="https://www.ezhunaonline.com/badulla-inscription/" TargetMode="External" Id="rId253" /><Relationship Type="http://schemas.openxmlformats.org/officeDocument/2006/relationships/hyperlink" Target="https://www.ezhunaonline.com/rediscovery-of-tamil-inscription-at-tambalagama/" TargetMode="External" Id="rId254" /><Relationship Type="http://schemas.openxmlformats.org/officeDocument/2006/relationships/hyperlink" Target="https://www.ezhunaonline.com/anuradhapura-inscription/" TargetMode="External" Id="rId255" /><Relationship Type="http://schemas.openxmlformats.org/officeDocument/2006/relationships/hyperlink" Target="https://www.ezhunaonline.com/rankoth-viharai-inscription/" TargetMode="External" Id="rId256" /><Relationship Type="http://schemas.openxmlformats.org/officeDocument/2006/relationships/hyperlink" Target="https://www.ezhunaonline.com/wessagiri-inscription/" TargetMode="External" Id="rId257" /><Relationship Type="http://schemas.openxmlformats.org/officeDocument/2006/relationships/hyperlink" Target="https://www.ezhunaonline.com/keekhakarai-paravani-inscriptioniii/" TargetMode="External" Id="rId258" /><Relationship Type="http://schemas.openxmlformats.org/officeDocument/2006/relationships/hyperlink" Target="https://www.ezhunaonline.com/the-biggest-undiscovered-tourist-destination-in-vanni/" TargetMode="External" Id="rId259" /><Relationship Type="http://schemas.openxmlformats.org/officeDocument/2006/relationships/hyperlink" Target="https://www.ezhunaonline.com/jaffna-fort-3/" TargetMode="External" Id="rId260" /><Relationship Type="http://schemas.openxmlformats.org/officeDocument/2006/relationships/hyperlink" Target="https://www.ezhunaonline.com/archaeological-research-of-jaffna-fort/" TargetMode="External" Id="rId261" /><Relationship Type="http://schemas.openxmlformats.org/officeDocument/2006/relationships/hyperlink" Target="https://www.ezhunaonline.com/the-coins-of-bhuvanaikabahu/" TargetMode="External" Id="rId262" /><Relationship Type="http://schemas.openxmlformats.org/officeDocument/2006/relationships/hyperlink" Target="https://www.ezhunaonline.com/batticaloa-history-iii/" TargetMode="External" Id="rId263" /><Relationship Type="http://schemas.openxmlformats.org/officeDocument/2006/relationships/hyperlink" Target="https://www.ezhunaonline.com/tamil-coin-of-ellalan/" TargetMode="External" Id="rId264" /><Relationship Type="http://schemas.openxmlformats.org/officeDocument/2006/relationships/hyperlink" Target="https://www.ezhunaonline.com/an-inscription-and-a-ruined-house-in-vanni/" TargetMode="External" Id="rId265" /><Relationship Type="http://schemas.openxmlformats.org/officeDocument/2006/relationships/hyperlink" Target="https://www.ezhunaonline.com/the-other-myths-of-batticaloa-2/" TargetMode="External" Id="rId266" /><Relationship Type="http://schemas.openxmlformats.org/officeDocument/2006/relationships/hyperlink" Target="https://www.ezhunaonline.com/timeline-of-sri-lankan-pre-history/" TargetMode="External" Id="rId267" /><Relationship Type="http://schemas.openxmlformats.org/officeDocument/2006/relationships/hyperlink" Target="https://www.ezhunaonline.com/the-initial-stage-of-sri-lankan-history-period/" TargetMode="External" Id="rId268" /><Relationship Type="http://schemas.openxmlformats.org/officeDocument/2006/relationships/hyperlink" Target="https://www.ezhunaonline.com/%e0%ae%ae%e0%ae%b0%e0%ae%aa%e0%af%81%e0%ae%b0%e0%ae%bf%e0%ae%ae%e0%af%88%e0%ae%95%e0%ae%b3%e0%af%88%e0%ae%aa%e0%af%8d-%e0%ae%aa%e0%ae%b1%e0%af%88%e0%ae%a4%e0%ae%b2%e0%af%8d-%e0%ae%87%e0%ae%b2/" TargetMode="External" Id="rId269" /><Relationship Type="http://schemas.openxmlformats.org/officeDocument/2006/relationships/hyperlink" Target="https://www.ezhunaonline.com/brahmic-inscriptions-on-tamils-in-ceylon-an-introduction/" TargetMode="External" Id="rId270" /><Relationship Type="http://schemas.openxmlformats.org/officeDocument/2006/relationships/hyperlink" Target="https://www.ezhunaonline.com/paleolithic-culture-and-contemporary-tamil-culture/" TargetMode="External" Id="rId271" /><Relationship Type="http://schemas.openxmlformats.org/officeDocument/2006/relationships/hyperlink" Target="https://www.ezhunaonline.com/5brahmic-in-icriptions-tamils/" TargetMode="External" Id="rId272" /><Relationship Type="http://schemas.openxmlformats.org/officeDocument/2006/relationships/hyperlink" Target="https://www.ezhunaonline.com/historical-evidence-of-keekhakarai/" TargetMode="External" Id="rId273" /><Relationship Type="http://schemas.openxmlformats.org/officeDocument/2006/relationships/hyperlink" Target="https://www.ezhunaonline.com/tamil-vanikan-puliankulam-inscriptions/" TargetMode="External" Id="rId274" /><Relationship Type="http://schemas.openxmlformats.org/officeDocument/2006/relationships/hyperlink" Target="https://www.ezhunaonline.com/seruvila-inscription-on-tamil-family-leader-guttan/" TargetMode="External" Id="rId275" /><Relationship Type="http://schemas.openxmlformats.org/officeDocument/2006/relationships/hyperlink" Target="https://www.ezhunaonline.com/tamil-inscription-found-in-the-vanni/" TargetMode="External" Id="rId276" /><Relationship Type="http://schemas.openxmlformats.org/officeDocument/2006/relationships/hyperlink" Target="https://www.ezhunaonline.com/gudvil-inscription-about-a-tamil-merchant-who-was-a-resident-of-dikavapi/" TargetMode="External" Id="rId277" /><Relationship Type="http://schemas.openxmlformats.org/officeDocument/2006/relationships/hyperlink" Target="https://www.ezhunaonline.com/evidence-for-keekhakarai-tamil-literature/" TargetMode="External" Id="rId278" /><Relationship Type="http://schemas.openxmlformats.org/officeDocument/2006/relationships/hyperlink" Target="https://amazinglanka.com/wp/sankiliyatital/" TargetMode="External" Id="rId279" /><Relationship Type="http://schemas.openxmlformats.org/officeDocument/2006/relationships/hyperlink" Target="https://www.ezhunaonline.com/alinthu-varum-maraburimai-sinnangal/" TargetMode="External" Id="rId280" /><Relationship Type="http://schemas.openxmlformats.org/officeDocument/2006/relationships/hyperlink" Target="https://www.ezhunaonline.com/yaalpana-nagarukku-mundhiya-thalainagarangal/" TargetMode="External" Id="rId281" /><Relationship Type="http://schemas.openxmlformats.org/officeDocument/2006/relationships/hyperlink" Target="https://www.lankapradeepa.com/2020/04/tamil-inscriptions-in-sri-lanka_16.html" TargetMode="External" Id="rId282" /><Relationship Type="http://schemas.openxmlformats.org/officeDocument/2006/relationships/hyperlink" Target="https://www.his.jfn.ac.lk/?p=791" TargetMode="External" Id="rId283" /><Relationship Type="http://schemas.openxmlformats.org/officeDocument/2006/relationships/hyperlink" Target="https://www.his.jfn.ac.lk/?p=791" TargetMode="External" Id="rId284" /><Relationship Type="http://schemas.openxmlformats.org/officeDocument/2006/relationships/hyperlink" Target="https://www.his.jfn.ac.lk/?p=791" TargetMode="External" Id="rId285" /><Relationship Type="http://schemas.openxmlformats.org/officeDocument/2006/relationships/hyperlink" Target="https://www.worldgenweb.org/lkawgw/tamil-brahmi.htm" TargetMode="External" Id="rId286" /><Relationship Type="http://schemas.openxmlformats.org/officeDocument/2006/relationships/hyperlink" Target="https://amazinglanka.com/wp/buddhist-shrines-in-batticaloa-and-ampara/" TargetMode="External" Id="rId287" /><Relationship Type="http://schemas.openxmlformats.org/officeDocument/2006/relationships/hyperlink" Target="https://amazinglanka.com/wp/jaffna/" TargetMode="External" Id="rId288" /><Relationship Type="http://schemas.openxmlformats.org/officeDocument/2006/relationships/hyperlink" Target="https://amazinglanka.com/wp/tikali/" TargetMode="External" Id="rId289" /><Relationship Type="http://schemas.openxmlformats.org/officeDocument/2006/relationships/hyperlink" Target="https://amazinglanka.com/wp/manniththalai-settlements/" TargetMode="External" Id="rId290" /><Relationship Type="http://schemas.openxmlformats.org/officeDocument/2006/relationships/hyperlink" Target="https://amazinglanka.com/wp/vanni-bandara-en/" TargetMode="External" Id="rId291" /><Relationship Type="http://schemas.openxmlformats.org/officeDocument/2006/relationships/hyperlink" Target="https://www.ezhunaonline.com/article/brahmin-and-brahmatheya-in-sri-lankan-tamil-inscriptions/" TargetMode="External" Id="rId292" /><Relationship Type="http://schemas.openxmlformats.org/officeDocument/2006/relationships/hyperlink" Target="https://www.ezhunaonline.com/sangam-age-in-sri-lankan-brahmic-inscriptions/" TargetMode="External" Id="rId293" /><Relationship Type="http://schemas.openxmlformats.org/officeDocument/2006/relationships/hyperlink" Target="https://www.ezhunaonline.com/how-kannagi-worship-entered-sri-lanka/" TargetMode="External" Id="rId294" /><Relationship Type="http://schemas.openxmlformats.org/officeDocument/2006/relationships/hyperlink" Target="https://www.ezhunaonline.com/the-kallanchiya-rock-inscription-tells-of-king-nagan/" TargetMode="External" Id="rId295" /><Relationship Type="http://schemas.openxmlformats.org/officeDocument/2006/relationships/hyperlink" Target="https://www.ezhunaonline.com/the-archaeological-value-of-cheddikulam/" TargetMode="External" Id="rId296" /><Relationship Type="http://schemas.openxmlformats.org/officeDocument/2006/relationships/hyperlink" Target="https://www.ezhunaonline.com/folk-religion-and-hinduism/" TargetMode="External" Id="rId297" /><Relationship Type="http://schemas.openxmlformats.org/officeDocument/2006/relationships/hyperlink" Target="https://www.ezhunaonline.com/kanaki-worship-in-ancient-tamil-culture/" TargetMode="External" Id="rId298" /><Relationship Type="http://schemas.openxmlformats.org/officeDocument/2006/relationships/hyperlink" Target="https://www.ezhunaonline.com/article/brahmi-script-and-early-literacy/" TargetMode="External" Id="rId299" /><Relationship Type="http://schemas.openxmlformats.org/officeDocument/2006/relationships/hyperlink" Target="https://www.ezhunaonline.com/compilation/buddhism-and-tamils-during-megalith-of-srilanka/" TargetMode="External" Id="rId300" /><Relationship Type="http://schemas.openxmlformats.org/officeDocument/2006/relationships/hyperlink" Target="https://www.ezhunaonline.com/history-of-ariya-kulam-jaffna/" TargetMode="External" Id="rId301" /><Relationship Type="http://schemas.openxmlformats.org/officeDocument/2006/relationships/hyperlink" Target="https://www.ezhunaonline.com/tamil-rasathani-in-vanni-kurundankula-temple/" TargetMode="External" Id="rId302" /><Relationship Type="http://schemas.openxmlformats.org/officeDocument/2006/relationships/hyperlink" Target="https://www.ezhunaonline.com/velana-palaeolithic-culture-at-chatti/" TargetMode="External" Id="rId303" /></Relationships>
</file>

<file path=xl/worksheets/_rels/sheet7.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Records'!$B$2:$B$304,A6)</f>
        <v/>
      </c>
      <c r="C6" s="2">
        <f>COUNTIFS('All Records'!$B$2:$B$304,A6,'All Records'!$L$2:$L$304,"Yes")</f>
        <v/>
      </c>
    </row>
    <row r="7">
      <c r="A7" s="2" t="inlineStr">
        <is>
          <t>Research Papers</t>
        </is>
      </c>
      <c r="B7" s="2">
        <f>COUNTIF('All Records'!$B$2:$B$304,A7)</f>
        <v/>
      </c>
      <c r="C7" s="2">
        <f>COUNTIFS('All Records'!$B$2:$B$304,A7,'All Records'!$L$2:$L$304,"Yes")</f>
        <v/>
      </c>
    </row>
    <row r="8">
      <c r="A8" s="2" t="inlineStr">
        <is>
          <t>Newspaper Articles</t>
        </is>
      </c>
      <c r="B8" s="2">
        <f>COUNTIF('All Records'!$B$2:$B$304,A8)</f>
        <v/>
      </c>
      <c r="C8" s="2">
        <f>COUNTIFS('All Records'!$B$2:$B$304,A8,'All Records'!$L$2:$L$304,"Yes")</f>
        <v/>
      </c>
    </row>
    <row r="9">
      <c r="A9" s="2" t="inlineStr">
        <is>
          <t>Magazines/Journals</t>
        </is>
      </c>
      <c r="B9" s="2">
        <f>COUNTIF('All Records'!$B$2:$B$304,A9)</f>
        <v/>
      </c>
      <c r="C9" s="2">
        <f>COUNTIFS('All Records'!$B$2:$B$304,A9,'All Records'!$L$2:$L$304,"Yes")</f>
        <v/>
      </c>
    </row>
    <row r="10">
      <c r="A10" s="4" t="inlineStr">
        <is>
          <t>Total</t>
        </is>
      </c>
      <c r="B10" s="4">
        <f>SUM(B6:B9)</f>
        <v/>
      </c>
      <c r="C10" s="4">
        <f>SUM(C6:C9)</f>
        <v/>
      </c>
    </row>
    <row r="12">
      <c r="A12" s="3" t="inlineStr">
        <is>
          <t>Theme</t>
        </is>
      </c>
      <c r="B12" s="3" t="inlineStr">
        <is>
          <t>Records</t>
        </is>
      </c>
    </row>
    <row r="13">
      <c r="A13" s="2" t="inlineStr">
        <is>
          <t>Inscriptions / கல்வெட்டு</t>
        </is>
      </c>
      <c r="B13" s="2">
        <f>COUNTIF('All Records'!$J$2:$J$304,"*"&amp;A13&amp;"*")</f>
        <v/>
      </c>
    </row>
    <row r="14">
      <c r="A14" s="2" t="inlineStr">
        <is>
          <t>Brahmi / பிராமி</t>
        </is>
      </c>
      <c r="B14" s="2">
        <f>COUNTIF('All Records'!$J$2:$J$304,"*"&amp;A14&amp;"*")</f>
        <v/>
      </c>
    </row>
    <row r="15">
      <c r="A15" s="2" t="inlineStr">
        <is>
          <t>Archaeology / தொல்லியல்</t>
        </is>
      </c>
      <c r="B15" s="2">
        <f>COUNTIF('All Records'!$J$2:$J$304,"*"&amp;A15&amp;"*")</f>
        <v/>
      </c>
    </row>
    <row r="16">
      <c r="A16" s="2" t="inlineStr">
        <is>
          <t>Hero stones / நடுகல்</t>
        </is>
      </c>
      <c r="B16" s="2">
        <f>COUNTIF('All Records'!$J$2:$J$304,"*"&amp;A16&amp;"*")</f>
        <v/>
      </c>
    </row>
    <row r="17">
      <c r="A17" s="2" t="inlineStr">
        <is>
          <t>Rock art / பாறை ஓவியம்</t>
        </is>
      </c>
      <c r="B17" s="2">
        <f>COUNTIF('All Records'!$J$2:$J$304,"*"&amp;A17&amp;"*")</f>
        <v/>
      </c>
    </row>
    <row r="18">
      <c r="A18" s="2" t="inlineStr">
        <is>
          <t>Coins / நாணயம்</t>
        </is>
      </c>
      <c r="B18" s="2">
        <f>COUNTIF('All Records'!$J$2:$J$304,"*"&amp;A18&amp;"*")</f>
        <v/>
      </c>
    </row>
    <row r="19">
      <c r="A19" s="5" t="inlineStr">
        <is>
          <t>A record can carry several themes, so theme counts add up to more than the total.</t>
        </is>
      </c>
    </row>
    <row r="21">
      <c r="A21" s="3" t="inlineStr">
        <is>
          <t>Period</t>
        </is>
      </c>
      <c r="B21" s="3" t="inlineStr">
        <is>
          <t>Books</t>
        </is>
      </c>
      <c r="C21" s="3" t="inlineStr">
        <is>
          <t>Research Papers</t>
        </is>
      </c>
      <c r="D21" s="3" t="inlineStr">
        <is>
          <t>Newspaper Articles</t>
        </is>
      </c>
      <c r="E21" s="3" t="inlineStr">
        <is>
          <t>Magazines/Journals</t>
        </is>
      </c>
      <c r="F21" s="3" t="inlineStr">
        <is>
          <t>All</t>
        </is>
      </c>
    </row>
    <row r="22">
      <c r="A22" s="2" t="inlineStr">
        <is>
          <t>1996-2000</t>
        </is>
      </c>
      <c r="B22" s="2">
        <f>SUMPRODUCT(('All Records'!$B$2:$B$304="Books")*(IFERROR(VALUE(LEFT('All Records'!$C$2:$C$304,4)),0)&gt;=1996)*(IFERROR(VALUE(LEFT('All Records'!$C$2:$C$304,4)),0)&lt;=2000))</f>
        <v/>
      </c>
      <c r="C22" s="2">
        <f>SUMPRODUCT(('All Records'!$B$2:$B$304="Research Papers")*(IFERROR(VALUE(LEFT('All Records'!$C$2:$C$304,4)),0)&gt;=1996)*(IFERROR(VALUE(LEFT('All Records'!$C$2:$C$304,4)),0)&lt;=2000))</f>
        <v/>
      </c>
      <c r="D22" s="2">
        <f>SUMPRODUCT(('All Records'!$B$2:$B$304="Newspaper Articles")*(IFERROR(VALUE(LEFT('All Records'!$C$2:$C$304,4)),0)&gt;=1996)*(IFERROR(VALUE(LEFT('All Records'!$C$2:$C$304,4)),0)&lt;=2000))</f>
        <v/>
      </c>
      <c r="E22" s="2">
        <f>SUMPRODUCT(('All Records'!$B$2:$B$304="Magazines/Journals")*(IFERROR(VALUE(LEFT('All Records'!$C$2:$C$304,4)),0)&gt;=1996)*(IFERROR(VALUE(LEFT('All Records'!$C$2:$C$304,4)),0)&lt;=2000))</f>
        <v/>
      </c>
      <c r="F22" s="4">
        <f>SUM(B22:E22)</f>
        <v/>
      </c>
    </row>
    <row r="23">
      <c r="A23" s="2" t="inlineStr">
        <is>
          <t>2001-2005</t>
        </is>
      </c>
      <c r="B23" s="2">
        <f>SUMPRODUCT(('All Records'!$B$2:$B$304="Books")*(IFERROR(VALUE(LEFT('All Records'!$C$2:$C$304,4)),0)&gt;=2001)*(IFERROR(VALUE(LEFT('All Records'!$C$2:$C$304,4)),0)&lt;=2005))</f>
        <v/>
      </c>
      <c r="C23" s="2">
        <f>SUMPRODUCT(('All Records'!$B$2:$B$304="Research Papers")*(IFERROR(VALUE(LEFT('All Records'!$C$2:$C$304,4)),0)&gt;=2001)*(IFERROR(VALUE(LEFT('All Records'!$C$2:$C$304,4)),0)&lt;=2005))</f>
        <v/>
      </c>
      <c r="D23" s="2">
        <f>SUMPRODUCT(('All Records'!$B$2:$B$304="Newspaper Articles")*(IFERROR(VALUE(LEFT('All Records'!$C$2:$C$304,4)),0)&gt;=2001)*(IFERROR(VALUE(LEFT('All Records'!$C$2:$C$304,4)),0)&lt;=2005))</f>
        <v/>
      </c>
      <c r="E23" s="2">
        <f>SUMPRODUCT(('All Records'!$B$2:$B$304="Magazines/Journals")*(IFERROR(VALUE(LEFT('All Records'!$C$2:$C$304,4)),0)&gt;=2001)*(IFERROR(VALUE(LEFT('All Records'!$C$2:$C$304,4)),0)&lt;=2005))</f>
        <v/>
      </c>
      <c r="F23" s="4">
        <f>SUM(B23:E23)</f>
        <v/>
      </c>
    </row>
    <row r="24">
      <c r="A24" s="2" t="inlineStr">
        <is>
          <t>2006-2010</t>
        </is>
      </c>
      <c r="B24" s="2">
        <f>SUMPRODUCT(('All Records'!$B$2:$B$304="Books")*(IFERROR(VALUE(LEFT('All Records'!$C$2:$C$304,4)),0)&gt;=2006)*(IFERROR(VALUE(LEFT('All Records'!$C$2:$C$304,4)),0)&lt;=2010))</f>
        <v/>
      </c>
      <c r="C24" s="2">
        <f>SUMPRODUCT(('All Records'!$B$2:$B$304="Research Papers")*(IFERROR(VALUE(LEFT('All Records'!$C$2:$C$304,4)),0)&gt;=2006)*(IFERROR(VALUE(LEFT('All Records'!$C$2:$C$304,4)),0)&lt;=2010))</f>
        <v/>
      </c>
      <c r="D24" s="2">
        <f>SUMPRODUCT(('All Records'!$B$2:$B$304="Newspaper Articles")*(IFERROR(VALUE(LEFT('All Records'!$C$2:$C$304,4)),0)&gt;=2006)*(IFERROR(VALUE(LEFT('All Records'!$C$2:$C$304,4)),0)&lt;=2010))</f>
        <v/>
      </c>
      <c r="E24" s="2">
        <f>SUMPRODUCT(('All Records'!$B$2:$B$304="Magazines/Journals")*(IFERROR(VALUE(LEFT('All Records'!$C$2:$C$304,4)),0)&gt;=2006)*(IFERROR(VALUE(LEFT('All Records'!$C$2:$C$304,4)),0)&lt;=2010))</f>
        <v/>
      </c>
      <c r="F24" s="4">
        <f>SUM(B24:E24)</f>
        <v/>
      </c>
    </row>
    <row r="25">
      <c r="A25" s="2" t="inlineStr">
        <is>
          <t>2011-2015</t>
        </is>
      </c>
      <c r="B25" s="2">
        <f>SUMPRODUCT(('All Records'!$B$2:$B$304="Books")*(IFERROR(VALUE(LEFT('All Records'!$C$2:$C$304,4)),0)&gt;=2011)*(IFERROR(VALUE(LEFT('All Records'!$C$2:$C$304,4)),0)&lt;=2015))</f>
        <v/>
      </c>
      <c r="C25" s="2">
        <f>SUMPRODUCT(('All Records'!$B$2:$B$304="Research Papers")*(IFERROR(VALUE(LEFT('All Records'!$C$2:$C$304,4)),0)&gt;=2011)*(IFERROR(VALUE(LEFT('All Records'!$C$2:$C$304,4)),0)&lt;=2015))</f>
        <v/>
      </c>
      <c r="D25" s="2">
        <f>SUMPRODUCT(('All Records'!$B$2:$B$304="Newspaper Articles")*(IFERROR(VALUE(LEFT('All Records'!$C$2:$C$304,4)),0)&gt;=2011)*(IFERROR(VALUE(LEFT('All Records'!$C$2:$C$304,4)),0)&lt;=2015))</f>
        <v/>
      </c>
      <c r="E25" s="2">
        <f>SUMPRODUCT(('All Records'!$B$2:$B$304="Magazines/Journals")*(IFERROR(VALUE(LEFT('All Records'!$C$2:$C$304,4)),0)&gt;=2011)*(IFERROR(VALUE(LEFT('All Records'!$C$2:$C$304,4)),0)&lt;=2015))</f>
        <v/>
      </c>
      <c r="F25" s="4">
        <f>SUM(B25:E25)</f>
        <v/>
      </c>
    </row>
    <row r="26">
      <c r="A26" s="2" t="inlineStr">
        <is>
          <t>2016-2020</t>
        </is>
      </c>
      <c r="B26" s="2">
        <f>SUMPRODUCT(('All Records'!$B$2:$B$304="Books")*(IFERROR(VALUE(LEFT('All Records'!$C$2:$C$304,4)),0)&gt;=2016)*(IFERROR(VALUE(LEFT('All Records'!$C$2:$C$304,4)),0)&lt;=2020))</f>
        <v/>
      </c>
      <c r="C26" s="2">
        <f>SUMPRODUCT(('All Records'!$B$2:$B$304="Research Papers")*(IFERROR(VALUE(LEFT('All Records'!$C$2:$C$304,4)),0)&gt;=2016)*(IFERROR(VALUE(LEFT('All Records'!$C$2:$C$304,4)),0)&lt;=2020))</f>
        <v/>
      </c>
      <c r="D26" s="2">
        <f>SUMPRODUCT(('All Records'!$B$2:$B$304="Newspaper Articles")*(IFERROR(VALUE(LEFT('All Records'!$C$2:$C$304,4)),0)&gt;=2016)*(IFERROR(VALUE(LEFT('All Records'!$C$2:$C$304,4)),0)&lt;=2020))</f>
        <v/>
      </c>
      <c r="E26" s="2">
        <f>SUMPRODUCT(('All Records'!$B$2:$B$304="Magazines/Journals")*(IFERROR(VALUE(LEFT('All Records'!$C$2:$C$304,4)),0)&gt;=2016)*(IFERROR(VALUE(LEFT('All Records'!$C$2:$C$304,4)),0)&lt;=2020))</f>
        <v/>
      </c>
      <c r="F26" s="4">
        <f>SUM(B26:E26)</f>
        <v/>
      </c>
    </row>
    <row r="27">
      <c r="A27" s="2" t="inlineStr">
        <is>
          <t>2021-2026</t>
        </is>
      </c>
      <c r="B27" s="2">
        <f>SUMPRODUCT(('All Records'!$B$2:$B$304="Books")*(IFERROR(VALUE(LEFT('All Records'!$C$2:$C$304,4)),0)&gt;=2021)*(IFERROR(VALUE(LEFT('All Records'!$C$2:$C$304,4)),0)&lt;=2026))</f>
        <v/>
      </c>
      <c r="C27" s="2">
        <f>SUMPRODUCT(('All Records'!$B$2:$B$304="Research Papers")*(IFERROR(VALUE(LEFT('All Records'!$C$2:$C$304,4)),0)&gt;=2021)*(IFERROR(VALUE(LEFT('All Records'!$C$2:$C$304,4)),0)&lt;=2026))</f>
        <v/>
      </c>
      <c r="D27" s="2">
        <f>SUMPRODUCT(('All Records'!$B$2:$B$304="Newspaper Articles")*(IFERROR(VALUE(LEFT('All Records'!$C$2:$C$304,4)),0)&gt;=2021)*(IFERROR(VALUE(LEFT('All Records'!$C$2:$C$304,4)),0)&lt;=2026))</f>
        <v/>
      </c>
      <c r="E27" s="2">
        <f>SUMPRODUCT(('All Records'!$B$2:$B$304="Magazines/Journals")*(IFERROR(VALUE(LEFT('All Records'!$C$2:$C$304,4)),0)&gt;=2021)*(IFERROR(VALUE(LEFT('All Records'!$C$2:$C$304,4)),0)&lt;=2026))</f>
        <v/>
      </c>
      <c r="F27" s="4">
        <f>SUM(B27:E27)</f>
        <v/>
      </c>
    </row>
    <row r="28">
      <c r="A28"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2026-04-11</t>
        </is>
      </c>
      <c r="D2" s="9" t="inlineStr">
        <is>
          <t>Glimpses of an Ancient Civilisation: Society and Culture in Jaffna (300 BC to AD 500)</t>
        </is>
      </c>
      <c r="E2" s="9" t="inlineStr">
        <is>
          <t>S. Pathmanathan</t>
        </is>
      </c>
      <c r="F2" s="9" t="n"/>
      <c r="G2" s="7" t="inlineStr">
        <is>
          <t>Book</t>
        </is>
      </c>
      <c r="H2" s="7" t="inlineStr">
        <is>
          <t>English</t>
        </is>
      </c>
      <c r="I2" s="9" t="inlineStr">
        <is>
          <t>Brahmi / பிராமி; Archaeology / தொல்லியல்; Coins / நாணயம்</t>
        </is>
      </c>
      <c r="J2" s="9" t="inlineStr">
        <is>
          <t>Tamil-Brahmi; Vallipuram gold plate; Roman coins; archaeology</t>
        </is>
      </c>
      <c r="K2" s="7" t="inlineStr">
        <is>
          <t>Yes</t>
        </is>
      </c>
      <c r="L2" s="9" t="inlineStr">
        <is>
          <t>Launched 11 Apr 2026</t>
        </is>
      </c>
      <c r="M2" s="10" t="inlineStr">
        <is>
          <t>https://www.tamilguardian.com/content/prof-pathmanathans-new-book-sheds-light-early-jaffna-civilisation</t>
        </is>
      </c>
    </row>
    <row r="3">
      <c r="A3" s="11" t="inlineStr">
        <is>
          <t>BK-0002</t>
        </is>
      </c>
      <c r="B3" s="12" t="inlineStr">
        <is>
          <t>2025</t>
        </is>
      </c>
      <c r="C3" s="11" t="n"/>
      <c r="D3" s="13" t="inlineStr">
        <is>
          <t>இலங்கையின் பிராமி மற்றும் சிங்களக் கல்வெட்டுகளில் தமிழர் (Tamils in the Brahmi and Sinhala Inscriptions of Sri Lanka)</t>
        </is>
      </c>
      <c r="E3" s="13" t="inlineStr">
        <is>
          <t>N. K. S. Thiruchelvam</t>
        </is>
      </c>
      <c r="F3" s="13" t="inlineStr">
        <is>
          <t>Ezhuna</t>
        </is>
      </c>
      <c r="G3" s="11" t="inlineStr">
        <is>
          <t>Book</t>
        </is>
      </c>
      <c r="H3" s="11" t="inlineStr">
        <is>
          <t>Tamil</t>
        </is>
      </c>
      <c r="I3" s="13" t="inlineStr">
        <is>
          <t>Inscriptions / கல்வெட்டு; Brahmi / பிராமி</t>
        </is>
      </c>
      <c r="J3" s="13" t="inlineStr">
        <is>
          <t>Brahmi; கல்வெட்டு; Tamils</t>
        </is>
      </c>
      <c r="K3" s="11" t="inlineStr">
        <is>
          <t>Yes</t>
        </is>
      </c>
      <c r="L3" s="13" t="inlineStr">
        <is>
          <t>Book launch 26 Jul 2025, Trincomalee</t>
        </is>
      </c>
      <c r="M3" s="14" t="inlineStr">
        <is>
          <t>https://www.ezhunaonline.com/books/tamils-in-the-inscriptions-of-brahmi-and-sinhala/</t>
        </is>
      </c>
    </row>
    <row r="4">
      <c r="A4" s="7" t="inlineStr">
        <is>
          <t>BK-0003</t>
        </is>
      </c>
      <c r="B4" s="8" t="inlineStr">
        <is>
          <t>2022</t>
        </is>
      </c>
      <c r="C4" s="7" t="n"/>
      <c r="D4" s="9" t="inlineStr">
        <is>
          <t>Ancient Sri Lanka: Glimpses of the Past</t>
        </is>
      </c>
      <c r="E4" s="9" t="inlineStr">
        <is>
          <t>K. Indrapala</t>
        </is>
      </c>
      <c r="F4" s="9" t="inlineStr">
        <is>
          <t>Ohm Books Publishing</t>
        </is>
      </c>
      <c r="G4" s="7" t="inlineStr">
        <is>
          <t>Book</t>
        </is>
      </c>
      <c r="H4" s="7" t="inlineStr">
        <is>
          <t>English</t>
        </is>
      </c>
      <c r="I4" s="9" t="inlineStr">
        <is>
          <t>Archaeology / தொல்லியல்</t>
        </is>
      </c>
      <c r="J4" s="9" t="inlineStr">
        <is>
          <t>archaeology; history</t>
        </is>
      </c>
      <c r="K4" s="7" t="inlineStr">
        <is>
          <t>Yes</t>
        </is>
      </c>
      <c r="L4" s="9" t="n"/>
      <c r="M4" s="10" t="inlineStr">
        <is>
          <t>https://en.wikipedia.org/wiki/K._Indrapala</t>
        </is>
      </c>
    </row>
    <row r="5">
      <c r="A5" s="11" t="inlineStr">
        <is>
          <t>BK-0004</t>
        </is>
      </c>
      <c r="B5" s="12" t="inlineStr">
        <is>
          <t>2014</t>
        </is>
      </c>
      <c r="C5" s="11" t="n"/>
      <c r="D5" s="13" t="inlineStr">
        <is>
          <t>Collection of Historical Articles of Prof. V. Sivasamy</t>
        </is>
      </c>
      <c r="E5" s="13" t="inlineStr">
        <is>
          <t>K. Arunthavarajah (ed.)</t>
        </is>
      </c>
      <c r="F5" s="13" t="inlineStr">
        <is>
          <t>Anchu Publication, Nallur</t>
        </is>
      </c>
      <c r="G5" s="11" t="inlineStr">
        <is>
          <t>Edited volume</t>
        </is>
      </c>
      <c r="H5" s="11" t="inlineStr">
        <is>
          <t>Tamil</t>
        </is>
      </c>
      <c r="I5" s="13" t="inlineStr">
        <is>
          <t>Inscriptions / கல்வெட்டு</t>
        </is>
      </c>
      <c r="J5" s="13" t="inlineStr">
        <is>
          <t>history; epigraphy</t>
        </is>
      </c>
      <c r="K5" s="11" t="inlineStr">
        <is>
          <t>Yes</t>
        </is>
      </c>
      <c r="L5" s="13" t="n"/>
      <c r="M5" s="14" t="inlineStr">
        <is>
          <t>https://www.his.jfn.ac.lk/index.php/profkarunthavarajah/</t>
        </is>
      </c>
    </row>
    <row r="6">
      <c r="A6" s="7" t="inlineStr">
        <is>
          <t>BK-0005</t>
        </is>
      </c>
      <c r="B6" s="8" t="inlineStr">
        <is>
          <t>2012</t>
        </is>
      </c>
      <c r="C6" s="7" t="n"/>
      <c r="D6" s="9" t="inlineStr">
        <is>
          <t>Life Style of Jaffna</t>
        </is>
      </c>
      <c r="E6" s="9" t="inlineStr">
        <is>
          <t>K. Arunthavarajah (managing ed.)</t>
        </is>
      </c>
      <c r="F6" s="9" t="inlineStr">
        <is>
          <t>Department of History, University of Jaffna, with Veerakesari</t>
        </is>
      </c>
      <c r="G6" s="7" t="inlineStr">
        <is>
          <t>Edited volume</t>
        </is>
      </c>
      <c r="H6" s="7" t="inlineStr">
        <is>
          <t>English</t>
        </is>
      </c>
      <c r="I6" s="9" t="inlineStr">
        <is>
          <t>Archaeology / தொல்லியல்</t>
        </is>
      </c>
      <c r="J6" s="9" t="inlineStr">
        <is>
          <t>material culture; heritage</t>
        </is>
      </c>
      <c r="K6" s="7" t="inlineStr">
        <is>
          <t>Yes</t>
        </is>
      </c>
      <c r="L6" s="9" t="n"/>
      <c r="M6" s="10" t="inlineStr">
        <is>
          <t>https://www.his.jfn.ac.lk/index.php/profkarunthavarajah/</t>
        </is>
      </c>
    </row>
    <row r="7">
      <c r="A7" s="11" t="inlineStr">
        <is>
          <t>BK-0006</t>
        </is>
      </c>
      <c r="B7" s="12" t="inlineStr">
        <is>
          <t>2010</t>
        </is>
      </c>
      <c r="C7" s="11" t="n"/>
      <c r="D7" s="13" t="inlineStr">
        <is>
          <t>Spolia Zeylanica Vol. 47: Tamil Inscriptions in the Colombo National Museum</t>
        </is>
      </c>
      <c r="E7" s="13" t="inlineStr">
        <is>
          <t>Department of National Museums</t>
        </is>
      </c>
      <c r="F7" s="13" t="inlineStr">
        <is>
          <t>Department of National Museums, Colombo</t>
        </is>
      </c>
      <c r="G7" s="11" t="inlineStr">
        <is>
          <t>Book</t>
        </is>
      </c>
      <c r="H7" s="11" t="inlineStr">
        <is>
          <t>English</t>
        </is>
      </c>
      <c r="I7" s="13" t="inlineStr">
        <is>
          <t>Inscriptions / கல்வெட்டு</t>
        </is>
      </c>
      <c r="J7" s="13" t="inlineStr">
        <is>
          <t>Tamil inscriptions; museum catalogue</t>
        </is>
      </c>
      <c r="K7" s="11" t="inlineStr">
        <is>
          <t>Yes</t>
        </is>
      </c>
      <c r="L7" s="13" t="inlineStr">
        <is>
          <t>ISBN 9789555780278</t>
        </is>
      </c>
      <c r="M7" s="14" t="inlineStr">
        <is>
          <t>https://opac.busl.ac.lk/bib/14671</t>
        </is>
      </c>
    </row>
    <row r="8">
      <c r="A8" s="7" t="inlineStr">
        <is>
          <t>BK-0007</t>
        </is>
      </c>
      <c r="B8" s="8" t="inlineStr">
        <is>
          <t>2008</t>
        </is>
      </c>
      <c r="C8" s="7" t="n"/>
      <c r="D8" s="9" t="inlineStr">
        <is>
          <t>Rock and Wall Paintings of Sri Lanka (facsimile edition)</t>
        </is>
      </c>
      <c r="E8" s="9" t="inlineStr">
        <is>
          <t>Senaka Bandaranayake</t>
        </is>
      </c>
      <c r="F8" s="9" t="inlineStr">
        <is>
          <t>Stamford Lake</t>
        </is>
      </c>
      <c r="G8" s="7" t="inlineStr">
        <is>
          <t>Book</t>
        </is>
      </c>
      <c r="H8" s="7" t="inlineStr">
        <is>
          <t>English</t>
        </is>
      </c>
      <c r="I8" s="9" t="inlineStr">
        <is>
          <t>Rock art / பாறை ஓவியம்</t>
        </is>
      </c>
      <c r="J8" s="9" t="inlineStr">
        <is>
          <t>பாறை ஓவியம்; rock art; wall paintings</t>
        </is>
      </c>
      <c r="K8" s="7" t="inlineStr">
        <is>
          <t>Yes</t>
        </is>
      </c>
      <c r="L8" s="9" t="inlineStr">
        <is>
          <t>Publisher to verify</t>
        </is>
      </c>
      <c r="M8" s="10" t="inlineStr">
        <is>
          <t>https://www.sundaytimes.lk/080504/Plus/plus000025.html</t>
        </is>
      </c>
    </row>
    <row r="9">
      <c r="A9" s="11" t="inlineStr">
        <is>
          <t>BK-0008</t>
        </is>
      </c>
      <c r="B9" s="12" t="inlineStr">
        <is>
          <t>2006</t>
        </is>
      </c>
      <c r="C9" s="11" t="n"/>
      <c r="D9" s="13" t="inlineStr">
        <is>
          <t>Ilankait Tamilc Cacanankal c. AD 800-1300 (Tamil Inscriptions of Sri Lanka)</t>
        </is>
      </c>
      <c r="E9" s="13" t="inlineStr">
        <is>
          <t>S. Pathmanathan</t>
        </is>
      </c>
      <c r="F9" s="13" t="inlineStr">
        <is>
          <t>Department of Hindu Religious and Cultural Affairs</t>
        </is>
      </c>
      <c r="G9" s="11" t="inlineStr">
        <is>
          <t>Book</t>
        </is>
      </c>
      <c r="H9" s="11" t="inlineStr">
        <is>
          <t>Tamil</t>
        </is>
      </c>
      <c r="I9" s="13" t="inlineStr">
        <is>
          <t>Inscriptions / கல்வெட்டு</t>
        </is>
      </c>
      <c r="J9" s="13" t="inlineStr">
        <is>
          <t>கல்வெட்டு; inscriptions corpus</t>
        </is>
      </c>
      <c r="K9" s="11" t="inlineStr">
        <is>
          <t>Yes</t>
        </is>
      </c>
      <c r="L9" s="13" t="inlineStr">
        <is>
          <t>Same as entry from Wikipedia; fuller title</t>
        </is>
      </c>
      <c r="M9" s="14" t="inlineStr">
        <is>
          <t>https://jfn.ac.lk/prof-s-pathmanathan/</t>
        </is>
      </c>
    </row>
    <row r="10">
      <c r="A10" s="7" t="inlineStr">
        <is>
          <t>BK-0009</t>
        </is>
      </c>
      <c r="B10" s="8" t="inlineStr">
        <is>
          <t>2006</t>
        </is>
      </c>
      <c r="C10" s="7" t="n"/>
      <c r="D10" s="9" t="inlineStr">
        <is>
          <t>இலங்கைத் தமிழ்ச் சாசனங்கள் (Tamil Inscriptions in Sri Lanka)</t>
        </is>
      </c>
      <c r="E10" s="9" t="inlineStr">
        <is>
          <t>S. Pathmanathan</t>
        </is>
      </c>
      <c r="F10" s="9" t="inlineStr">
        <is>
          <t>Department of Hindu Religious &amp; Cultural Affairs, Colombo</t>
        </is>
      </c>
      <c r="G10" s="7" t="inlineStr">
        <is>
          <t>Book</t>
        </is>
      </c>
      <c r="H10" s="7" t="inlineStr">
        <is>
          <t>Tamil</t>
        </is>
      </c>
      <c r="I10" s="9" t="inlineStr">
        <is>
          <t>Inscriptions / கல்வெட்டு</t>
        </is>
      </c>
      <c r="J10" s="9" t="inlineStr">
        <is>
          <t>inscriptions; கல்வெட்டு</t>
        </is>
      </c>
      <c r="K10" s="7" t="inlineStr">
        <is>
          <t>Yes</t>
        </is>
      </c>
      <c r="L10" s="9" t="n"/>
      <c r="M10" s="10" t="inlineStr">
        <is>
          <t>https://en.wikipedia.org/wiki/S._Pathmanathan</t>
        </is>
      </c>
    </row>
    <row r="11">
      <c r="A11" s="11" t="inlineStr">
        <is>
          <t>BK-0010</t>
        </is>
      </c>
      <c r="B11" s="12" t="inlineStr">
        <is>
          <t>2005</t>
        </is>
      </c>
      <c r="C11" s="11" t="n"/>
      <c r="D11" s="13" t="inlineStr">
        <is>
          <t>Hindu Encyclopaedia (Tamil), Parts I-IX (1992-2008)</t>
        </is>
      </c>
      <c r="E11" s="13" t="inlineStr">
        <is>
          <t>S. Pathmanathan (ed.-in-chief)</t>
        </is>
      </c>
      <c r="F11" s="13" t="inlineStr">
        <is>
          <t>Department of Hindu Religious and Cultural Affairs</t>
        </is>
      </c>
      <c r="G11" s="11" t="inlineStr">
        <is>
          <t>Encyclopaedia</t>
        </is>
      </c>
      <c r="H11" s="11" t="inlineStr">
        <is>
          <t>Tamil</t>
        </is>
      </c>
      <c r="I11" s="13" t="n"/>
      <c r="J11" s="13" t="inlineStr">
        <is>
          <t>encyclopaedia; temples</t>
        </is>
      </c>
      <c r="K11" s="11" t="inlineStr">
        <is>
          <t>Yes</t>
        </is>
      </c>
      <c r="L11" s="13" t="inlineStr">
        <is>
          <t>Parts: III 1996, IV 1998, V 2001, VI 2003, VII 2005, VIII 2006, IX 2008</t>
        </is>
      </c>
      <c r="M11" s="14" t="inlineStr">
        <is>
          <t>https://jfn.ac.lk/prof-s-pathmanathan/</t>
        </is>
      </c>
    </row>
    <row r="12">
      <c r="A12" s="7" t="inlineStr">
        <is>
          <t>BK-0011</t>
        </is>
      </c>
      <c r="B12" s="8" t="inlineStr">
        <is>
          <t>2005</t>
        </is>
      </c>
      <c r="C12" s="7" t="n"/>
      <c r="D12" s="9" t="inlineStr">
        <is>
          <t>The Evolution of an Ethnic Identity: The Tamils of Sri Lanka c. 300 BCE to c. 1200 CE</t>
        </is>
      </c>
      <c r="E12" s="9" t="inlineStr">
        <is>
          <t>K. Indrapala</t>
        </is>
      </c>
      <c r="F12" s="9" t="inlineStr">
        <is>
          <t>MV Publications (Sydney); reissued Vijitha Yapa 2007, Ohm Books 2015</t>
        </is>
      </c>
      <c r="G12" s="7" t="inlineStr">
        <is>
          <t>Book</t>
        </is>
      </c>
      <c r="H12" s="7" t="inlineStr">
        <is>
          <t>English</t>
        </is>
      </c>
      <c r="I12" s="9" t="inlineStr">
        <is>
          <t>Inscriptions / கல்வெட்டு; Brahmi / பிராமி</t>
        </is>
      </c>
      <c r="J12" s="9" t="inlineStr">
        <is>
          <t>Tamil Brahmi; inscriptions; ethnic history</t>
        </is>
      </c>
      <c r="K12" s="7" t="inlineStr">
        <is>
          <t>Yes</t>
        </is>
      </c>
      <c r="L12" s="9" t="n"/>
      <c r="M12" s="10" t="inlineStr">
        <is>
          <t>https://en.wikipedia.org/wiki/K._Indrapala</t>
        </is>
      </c>
    </row>
    <row r="13">
      <c r="A13" s="11" t="inlineStr">
        <is>
          <t>BK-0012</t>
        </is>
      </c>
      <c r="B13" s="12" t="inlineStr">
        <is>
          <t>2004</t>
        </is>
      </c>
      <c r="C13" s="11" t="n"/>
      <c r="D13" s="13" t="inlineStr">
        <is>
          <t>A Study of the Language of the Tamil Inscriptions of the 7th and 8th Centuries A.D.</t>
        </is>
      </c>
      <c r="E13" s="13" t="inlineStr">
        <is>
          <t>K. Kanapathypillai</t>
        </is>
      </c>
      <c r="F13" s="13" t="inlineStr">
        <is>
          <t>Kumaran Book House, Colombo-Chennai</t>
        </is>
      </c>
      <c r="G13" s="11" t="inlineStr">
        <is>
          <t>Book</t>
        </is>
      </c>
      <c r="H13" s="11" t="inlineStr">
        <is>
          <t>English</t>
        </is>
      </c>
      <c r="I13" s="13" t="inlineStr">
        <is>
          <t>Inscriptions / கல்வெட்டு</t>
        </is>
      </c>
      <c r="J13" s="13" t="inlineStr">
        <is>
          <t>Tamil inscriptions; epigraphy</t>
        </is>
      </c>
      <c r="K13" s="11" t="inlineStr">
        <is>
          <t>Yes</t>
        </is>
      </c>
      <c r="L13" s="13" t="inlineStr">
        <is>
          <t>1st edition 2004 (reprint)</t>
        </is>
      </c>
      <c r="M13" s="14" t="inlineStr">
        <is>
          <t>https://unioncatalogue.dlp.gov.lk/Record/batt.35119/Similar</t>
        </is>
      </c>
    </row>
    <row r="14">
      <c r="A14" s="7" t="inlineStr">
        <is>
          <t>BK-0013</t>
        </is>
      </c>
      <c r="B14" s="8" t="inlineStr">
        <is>
          <t>2004</t>
        </is>
      </c>
      <c r="C14" s="7" t="n"/>
      <c r="D14" s="9" t="inlineStr">
        <is>
          <t>Ilankaiyil Intu Camayam (Hinduism in Sri Lanka)</t>
        </is>
      </c>
      <c r="E14" s="9" t="inlineStr">
        <is>
          <t>S. Pathmanathan</t>
        </is>
      </c>
      <c r="F14" s="9" t="inlineStr">
        <is>
          <t>Kumaran Book House, Colombo-Chennai</t>
        </is>
      </c>
      <c r="G14" s="7" t="inlineStr">
        <is>
          <t>Book</t>
        </is>
      </c>
      <c r="H14" s="7" t="inlineStr">
        <is>
          <t>Tamil</t>
        </is>
      </c>
      <c r="I14" s="9" t="n"/>
      <c r="J14" s="9" t="inlineStr">
        <is>
          <t>Hinduism; history</t>
        </is>
      </c>
      <c r="K14" s="7" t="inlineStr">
        <is>
          <t>Yes</t>
        </is>
      </c>
      <c r="L14" s="9" t="n"/>
      <c r="M14" s="10" t="inlineStr">
        <is>
          <t>https://jfn.ac.lk/prof-s-pathmanathan/</t>
        </is>
      </c>
    </row>
    <row r="15">
      <c r="A15" s="11" t="inlineStr">
        <is>
          <t>BK-0014</t>
        </is>
      </c>
      <c r="B15" s="12" t="inlineStr">
        <is>
          <t>2004</t>
        </is>
      </c>
      <c r="C15" s="11" t="n"/>
      <c r="D15" s="13" t="inlineStr">
        <is>
          <t>Tamil Literature and Historical Traditions in Sri Lanka</t>
        </is>
      </c>
      <c r="E15" s="13" t="inlineStr">
        <is>
          <t>S. Pathmanathan</t>
        </is>
      </c>
      <c r="F15" s="13" t="inlineStr">
        <is>
          <t>Kumaran Press</t>
        </is>
      </c>
      <c r="G15" s="11" t="inlineStr">
        <is>
          <t>Book</t>
        </is>
      </c>
      <c r="H15" s="11" t="inlineStr">
        <is>
          <t>Tamil</t>
        </is>
      </c>
      <c r="I15" s="13" t="n"/>
      <c r="J15" s="13" t="inlineStr">
        <is>
          <t>history</t>
        </is>
      </c>
      <c r="K15" s="11" t="inlineStr">
        <is>
          <t>Yes</t>
        </is>
      </c>
      <c r="L15" s="13" t="n"/>
      <c r="M15" s="14" t="inlineStr">
        <is>
          <t>https://en.wikipedia.org/wiki/S._Pathmanathan</t>
        </is>
      </c>
    </row>
    <row r="16">
      <c r="A16" s="7" t="inlineStr">
        <is>
          <t>BK-0015</t>
        </is>
      </c>
      <c r="B16" s="8" t="inlineStr">
        <is>
          <t>2003</t>
        </is>
      </c>
      <c r="C16" s="7" t="n"/>
      <c r="D16" s="9" t="inlineStr">
        <is>
          <t>Early Tamil Epigraphy: From the Earliest Times to the Sixth Century A.D.</t>
        </is>
      </c>
      <c r="E16" s="9" t="inlineStr">
        <is>
          <t>Iravatham Mahadevan</t>
        </is>
      </c>
      <c r="F16" s="9" t="inlineStr">
        <is>
          <t>Cre-A, Chennai &amp; Harvard University</t>
        </is>
      </c>
      <c r="G16" s="7" t="inlineStr">
        <is>
          <t>Book</t>
        </is>
      </c>
      <c r="H16" s="7" t="inlineStr">
        <is>
          <t>English</t>
        </is>
      </c>
      <c r="I16" s="9" t="inlineStr">
        <is>
          <t>Inscriptions / கல்வெட்டு; Brahmi / பிராமி</t>
        </is>
      </c>
      <c r="J16" s="9" t="inlineStr">
        <is>
          <t>Tamil Brahmi; epigraphy; Sri Lanka parallels</t>
        </is>
      </c>
      <c r="K16" s="7" t="inlineStr">
        <is>
          <t>Yes</t>
        </is>
      </c>
      <c r="L16" s="9" t="inlineStr">
        <is>
          <t>Discusses Sri Lankan Brahmi</t>
        </is>
      </c>
      <c r="M16" s="10" t="inlineStr">
        <is>
          <t>https://vedamsbooks.com/books/early_tamil_epigraphy_from_the_earliest_times_to_the_sixth_century_c_e_volume_1_tamil_brahmi_inscriptions</t>
        </is>
      </c>
    </row>
    <row r="17">
      <c r="A17" s="11" t="inlineStr">
        <is>
          <t>BK-0016</t>
        </is>
      </c>
      <c r="B17" s="12" t="inlineStr">
        <is>
          <t>2003</t>
        </is>
      </c>
      <c r="C17" s="11" t="n"/>
      <c r="D17" s="13" t="inlineStr">
        <is>
          <t>Glimpses of Hindu Heritage</t>
        </is>
      </c>
      <c r="E17" s="13" t="inlineStr">
        <is>
          <t>S. Pathmanathan (joint ed.)</t>
        </is>
      </c>
      <c r="F17" s="13" t="inlineStr">
        <is>
          <t>Ministry of Hindu Religious Affairs</t>
        </is>
      </c>
      <c r="G17" s="11" t="inlineStr">
        <is>
          <t>Edited volume</t>
        </is>
      </c>
      <c r="H17" s="11" t="inlineStr">
        <is>
          <t>English</t>
        </is>
      </c>
      <c r="I17" s="13" t="inlineStr">
        <is>
          <t>Archaeology / தொல்லியல்</t>
        </is>
      </c>
      <c r="J17" s="13" t="inlineStr">
        <is>
          <t>heritage; bronzes</t>
        </is>
      </c>
      <c r="K17" s="11" t="inlineStr">
        <is>
          <t>Yes</t>
        </is>
      </c>
      <c r="L17" s="13" t="n"/>
      <c r="M17" s="14" t="inlineStr">
        <is>
          <t>https://jfn.ac.lk/prof-s-pathmanathan/</t>
        </is>
      </c>
    </row>
    <row r="18">
      <c r="A18" s="7" t="inlineStr">
        <is>
          <t>BK-0017</t>
        </is>
      </c>
      <c r="B18" s="8" t="inlineStr">
        <is>
          <t>2002</t>
        </is>
      </c>
      <c r="C18" s="7" t="n"/>
      <c r="D18" s="9" t="inlineStr">
        <is>
          <t>Ancient Coins of Sri Lankan Tamil Rulers</t>
        </is>
      </c>
      <c r="E18" s="9" t="inlineStr">
        <is>
          <t>P. Pushparatnam</t>
        </is>
      </c>
      <c r="F18" s="9" t="inlineStr">
        <is>
          <t>Bavani Patippakam, Jaffna</t>
        </is>
      </c>
      <c r="G18" s="7" t="inlineStr">
        <is>
          <t>Book</t>
        </is>
      </c>
      <c r="H18" s="7" t="inlineStr">
        <is>
          <t>English</t>
        </is>
      </c>
      <c r="I18" s="9" t="inlineStr">
        <is>
          <t>Brahmi / பிராமி; Archaeology / தொல்லியல்; Coins / நாணயம்</t>
        </is>
      </c>
      <c r="J18" s="9" t="inlineStr">
        <is>
          <t>coins; Tamil Brahmi; archaeology</t>
        </is>
      </c>
      <c r="K18" s="7" t="inlineStr">
        <is>
          <t>Yes</t>
        </is>
      </c>
      <c r="L18" s="9" t="inlineStr">
        <is>
          <t>192 pp.</t>
        </is>
      </c>
      <c r="M18" s="10" t="inlineStr">
        <is>
          <t>https://mannar.dlp.gov.lk/bib/9820</t>
        </is>
      </c>
    </row>
    <row r="19">
      <c r="A19" s="11" t="inlineStr">
        <is>
          <t>BK-0018</t>
        </is>
      </c>
      <c r="B19" s="12" t="inlineStr">
        <is>
          <t>2001</t>
        </is>
      </c>
      <c r="C19" s="11" t="n"/>
      <c r="D19" s="13" t="inlineStr">
        <is>
          <t>Hindu Culture in Sri Lanka, Vol. 1: Temple Art &amp; Architecture (ed.)</t>
        </is>
      </c>
      <c r="E19" s="13" t="inlineStr">
        <is>
          <t>S. Pathmanathan (ed.)</t>
        </is>
      </c>
      <c r="F19" s="13" t="inlineStr">
        <is>
          <t>Department of Hindu Religious &amp; Cultural Affairs</t>
        </is>
      </c>
      <c r="G19" s="11" t="inlineStr">
        <is>
          <t>Book</t>
        </is>
      </c>
      <c r="H19" s="11" t="inlineStr">
        <is>
          <t>Tamil</t>
        </is>
      </c>
      <c r="I19" s="13" t="inlineStr">
        <is>
          <t>Archaeology / தொல்லியல்</t>
        </is>
      </c>
      <c r="J19" s="13" t="inlineStr">
        <is>
          <t>temple architecture; archaeology</t>
        </is>
      </c>
      <c r="K19" s="11" t="inlineStr">
        <is>
          <t>Yes</t>
        </is>
      </c>
      <c r="L19" s="13" t="n"/>
      <c r="M19" s="14" t="inlineStr">
        <is>
          <t>https://en.wikipedia.org/wiki/S._Pathmanathan</t>
        </is>
      </c>
    </row>
    <row r="20">
      <c r="A20" s="7" t="inlineStr">
        <is>
          <t>BK-0019</t>
        </is>
      </c>
      <c r="B20" s="8" t="inlineStr">
        <is>
          <t>2000</t>
        </is>
      </c>
      <c r="C20" s="7" t="n"/>
      <c r="D20" s="9" t="inlineStr">
        <is>
          <t>History and Archaeology of Sri Lanka, Vol. I: Reflections on a Heritage</t>
        </is>
      </c>
      <c r="E20" s="9" t="inlineStr">
        <is>
          <t>R.A.L.H. Gunawardana, S. Pathmanathan, M. Rohanadheera (eds.)</t>
        </is>
      </c>
      <c r="F20" s="9" t="inlineStr">
        <is>
          <t>Central Cultural Fund, Colombo</t>
        </is>
      </c>
      <c r="G20" s="7" t="inlineStr">
        <is>
          <t>Edited volume</t>
        </is>
      </c>
      <c r="H20" s="7" t="inlineStr">
        <is>
          <t>English</t>
        </is>
      </c>
      <c r="I20" s="9" t="inlineStr">
        <is>
          <t>Archaeology / தொல்லியல்</t>
        </is>
      </c>
      <c r="J20" s="9" t="inlineStr">
        <is>
          <t>archaeology; history</t>
        </is>
      </c>
      <c r="K20" s="7" t="inlineStr">
        <is>
          <t>Yes</t>
        </is>
      </c>
      <c r="L20" s="9" t="n"/>
      <c r="M20" s="10" t="inlineStr">
        <is>
          <t>https://jfn.ac.lk/prof-s-pathmanathan/</t>
        </is>
      </c>
    </row>
    <row r="21">
      <c r="A21" s="11" t="inlineStr">
        <is>
          <t>BK-0020</t>
        </is>
      </c>
      <c r="B21" s="12" t="inlineStr">
        <is>
          <t>2000</t>
        </is>
      </c>
      <c r="C21" s="11" t="n"/>
      <c r="D21" s="13" t="inlineStr">
        <is>
          <t>Temples of Siva in Sri Lanka</t>
        </is>
      </c>
      <c r="E21" s="13" t="inlineStr">
        <is>
          <t>S. Pathmanathan (chief ed.)</t>
        </is>
      </c>
      <c r="F21" s="13" t="inlineStr">
        <is>
          <t>Chinmaya Mission of Sri Lanka</t>
        </is>
      </c>
      <c r="G21" s="11" t="inlineStr">
        <is>
          <t>Edited volume</t>
        </is>
      </c>
      <c r="H21" s="11" t="inlineStr">
        <is>
          <t>English</t>
        </is>
      </c>
      <c r="I21" s="13" t="inlineStr">
        <is>
          <t>Inscriptions / கல்வெட்டு</t>
        </is>
      </c>
      <c r="J21" s="13" t="inlineStr">
        <is>
          <t>temples; inscriptions</t>
        </is>
      </c>
      <c r="K21" s="11" t="inlineStr">
        <is>
          <t>Yes</t>
        </is>
      </c>
      <c r="L21" s="13" t="inlineStr">
        <is>
          <t>Page gives 1999/2000</t>
        </is>
      </c>
      <c r="M21" s="14" t="inlineStr">
        <is>
          <t>https://jfn.ac.lk/prof-s-pathmanathan/</t>
        </is>
      </c>
    </row>
    <row r="22">
      <c r="A22" s="7" t="inlineStr">
        <is>
          <t>BK-0021</t>
        </is>
      </c>
      <c r="B22" s="8" t="inlineStr">
        <is>
          <t>1999</t>
        </is>
      </c>
      <c r="C22" s="7" t="n"/>
      <c r="D22" s="9" t="inlineStr">
        <is>
          <t>Ancient Sri Lankan coins / trade at Tissamaharama (Bopearachchi &amp; Wickremesinhe)</t>
        </is>
      </c>
      <c r="E22" s="9" t="inlineStr">
        <is>
          <t>O. Bopearachchi, R. Wickremesinhe</t>
        </is>
      </c>
      <c r="F22" s="9" t="inlineStr">
        <is>
          <t>(Ruhuna: an ancient civilisation revisited)</t>
        </is>
      </c>
      <c r="G22" s="7" t="inlineStr">
        <is>
          <t>Book</t>
        </is>
      </c>
      <c r="H22" s="7" t="inlineStr">
        <is>
          <t>English</t>
        </is>
      </c>
      <c r="I22" s="9" t="inlineStr">
        <is>
          <t>Coins / நாணயம்</t>
        </is>
      </c>
      <c r="J22" s="9" t="inlineStr">
        <is>
          <t>coins; Tissamaharama; trade</t>
        </is>
      </c>
      <c r="K22" s="7" t="inlineStr">
        <is>
          <t>Yes</t>
        </is>
      </c>
      <c r="L22" s="9" t="inlineStr">
        <is>
          <t>Title to verify; reviewed Apr 2000</t>
        </is>
      </c>
      <c r="M22" s="10" t="inlineStr">
        <is>
          <t>https://www.sundaytimes.lk/000423/plus3.html</t>
        </is>
      </c>
    </row>
    <row r="23">
      <c r="A23" s="11" t="inlineStr">
        <is>
          <t>BK-0022</t>
        </is>
      </c>
      <c r="B23" s="12" t="inlineStr">
        <is>
          <t>1999</t>
        </is>
      </c>
      <c r="C23" s="11" t="n"/>
      <c r="D23" s="13" t="inlineStr">
        <is>
          <t>Studies in Sri Lankan Tamil Linguistics and Culture</t>
        </is>
      </c>
      <c r="E23" s="13" t="inlineStr">
        <is>
          <t>K. Balasubramaniyam, K. Ratnamalar, R. Subathini (eds.)</t>
        </is>
      </c>
      <c r="F23" s="13" t="inlineStr">
        <is>
          <t>Sri Lanka Offset Service, Chennai</t>
        </is>
      </c>
      <c r="G23" s="11" t="inlineStr">
        <is>
          <t>Book</t>
        </is>
      </c>
      <c r="H23" s="11" t="inlineStr">
        <is>
          <t>English</t>
        </is>
      </c>
      <c r="I23" s="13" t="n"/>
      <c r="J23" s="13" t="inlineStr">
        <is>
          <t>culture; linguistics</t>
        </is>
      </c>
      <c r="K23" s="11" t="inlineStr">
        <is>
          <t>Yes</t>
        </is>
      </c>
      <c r="L23" s="13" t="inlineStr">
        <is>
          <t>454 pp.</t>
        </is>
      </c>
      <c r="M23" s="14" t="inlineStr">
        <is>
          <t>https://unioncatalogue.dlp.gov.lk/Record/poin.4050/Description</t>
        </is>
      </c>
    </row>
    <row r="24">
      <c r="A24" s="7" t="inlineStr">
        <is>
          <t>BK-0023</t>
        </is>
      </c>
      <c r="B24" s="8" t="inlineStr">
        <is>
          <t>1994</t>
        </is>
      </c>
      <c r="C24" s="7" t="n"/>
      <c r="D24" s="9" t="inlineStr">
        <is>
          <t>Epigraphia Zeylanica Vol. 3 (reprint)</t>
        </is>
      </c>
      <c r="E24" s="9" t="inlineStr">
        <is>
          <t>H. W. Codrington, S. Paranavitana</t>
        </is>
      </c>
      <c r="F24" s="9" t="inlineStr">
        <is>
          <t>Asian Educational Services</t>
        </is>
      </c>
      <c r="G24" s="7" t="inlineStr">
        <is>
          <t>Book</t>
        </is>
      </c>
      <c r="H24" s="7" t="inlineStr">
        <is>
          <t>English</t>
        </is>
      </c>
      <c r="I24" s="9" t="inlineStr">
        <is>
          <t>Inscriptions / கல்வெட்டு</t>
        </is>
      </c>
      <c r="J24" s="9" t="inlineStr">
        <is>
          <t>inscriptions; epigraphy</t>
        </is>
      </c>
      <c r="K24" s="7" t="inlineStr">
        <is>
          <t>No (earlier reference)</t>
        </is>
      </c>
      <c r="L24" s="9" t="inlineStr">
        <is>
          <t>Noolaham No. 4227; reprint (outside 30-year window, kept as reference)</t>
        </is>
      </c>
      <c r="M24" s="10" t="inlineStr">
        <is>
          <t>https://noolaham.org/wiki/index.php/Epigraphia_Zeylanica_3</t>
        </is>
      </c>
    </row>
    <row r="25">
      <c r="A25" s="11" t="inlineStr">
        <is>
          <t>BK-0024</t>
        </is>
      </c>
      <c r="B25" s="12" t="inlineStr">
        <is>
          <t>1993</t>
        </is>
      </c>
      <c r="C25" s="11" t="n"/>
      <c r="D25" s="13" t="inlineStr">
        <is>
          <t>கோணேசர் கல்வெட்டு (Koneswara Inscription)</t>
        </is>
      </c>
      <c r="E25" s="13" t="inlineStr">
        <is>
          <t>I. Vadivel</t>
        </is>
      </c>
      <c r="F25" s="13" t="inlineStr">
        <is>
          <t>Department of Hindu Religious and Cultural Affairs</t>
        </is>
      </c>
      <c r="G25" s="11" t="inlineStr">
        <is>
          <t>Book</t>
        </is>
      </c>
      <c r="H25" s="11" t="inlineStr">
        <is>
          <t>Tamil</t>
        </is>
      </c>
      <c r="I25" s="13" t="inlineStr">
        <is>
          <t>Inscriptions / கல்வெட்டு</t>
        </is>
      </c>
      <c r="J25" s="13" t="inlineStr">
        <is>
          <t>கல்வெட்டு; Koneswaram; Trincomalee</t>
        </is>
      </c>
      <c r="K25" s="11" t="inlineStr">
        <is>
          <t>No (earlier reference)</t>
        </is>
      </c>
      <c r="L25" s="13" t="inlineStr">
        <is>
          <t>Noolaham No. 4824; 136 pp.</t>
        </is>
      </c>
      <c r="M25" s="14" t="inlineStr">
        <is>
          <t>https://noolaham.org/wiki/index.php/%E0%AE%95%E0%AF%8B%E0%AE%A3%E0%AF%87%E0%AE%9A%E0%AE%B0%E0%AF%8D_%E0%AE%95%E0%AE%B2%E0%AF%8D%E0%AE%B5%E0%AF%86%E0%AE%9F%E0%AF%8D%E0%AE%9F%E0%AF%81</t>
        </is>
      </c>
    </row>
    <row r="26">
      <c r="A26" s="7" t="inlineStr">
        <is>
          <t>BK-0025</t>
        </is>
      </c>
      <c r="B26" s="8" t="inlineStr">
        <is>
          <t>1993</t>
        </is>
      </c>
      <c r="C26" s="7" t="n"/>
      <c r="D26" s="9" t="inlineStr">
        <is>
          <t>பூநகரி தொல்பொருளாய்வு (Poonakary Archaeological Survey)</t>
        </is>
      </c>
      <c r="E26" s="9" t="inlineStr">
        <is>
          <t>P. Pushparatnam</t>
        </is>
      </c>
      <c r="F26" s="9" t="inlineStr">
        <is>
          <t>University of Jaffna</t>
        </is>
      </c>
      <c r="G26" s="7" t="inlineStr">
        <is>
          <t>Book</t>
        </is>
      </c>
      <c r="H26" s="7" t="inlineStr">
        <is>
          <t>Tamil</t>
        </is>
      </c>
      <c r="I26" s="9" t="inlineStr">
        <is>
          <t>Brahmi / பிராமி; Archaeology / தொல்லியல்</t>
        </is>
      </c>
      <c r="J26" s="9" t="inlineStr">
        <is>
          <t>தொல்லியல்; Poonakari; Tamil Brahmi; potsherds</t>
        </is>
      </c>
      <c r="K26" s="7" t="inlineStr">
        <is>
          <t>No (earlier reference)</t>
        </is>
      </c>
      <c r="L26" s="9" t="inlineStr">
        <is>
          <t>Noolaham No. 67260; 238 pp.</t>
        </is>
      </c>
      <c r="M26" s="10" t="inlineStr">
        <is>
          <t>https://noolaham.org/wiki/index.php/%E0%AE%AA%E0%AF%82%E0%AE%A8%E0%AE%95%E0%AE%B0%E0%AE%BF_%E0%AE%A4%E0%AF%8A%E0%AE%B2%E0%AF%8D%E0%AE%AA%E0%AF%8A%E0%AE%B0%E0%AF%81%E0%AE%B3%E0%AE%BE%E0%AE%AF%E0%AF%8D%E0%AE%B5%E0%AF%81</t>
        </is>
      </c>
    </row>
    <row r="27">
      <c r="A27" s="11" t="inlineStr">
        <is>
          <t>BK-0026</t>
        </is>
      </c>
      <c r="B27" s="12" t="inlineStr">
        <is>
          <t>1987</t>
        </is>
      </c>
      <c r="C27" s="11" t="n"/>
      <c r="D27" s="13" t="inlineStr">
        <is>
          <t>Early Settlements in Jaffna: An Archaeological Survey</t>
        </is>
      </c>
      <c r="E27" s="13" t="inlineStr">
        <is>
          <t>P. Ragupathy</t>
        </is>
      </c>
      <c r="F27" s="13" t="inlineStr">
        <is>
          <t>Thillimalar Ragupathy, Madras</t>
        </is>
      </c>
      <c r="G27" s="11" t="inlineStr">
        <is>
          <t>Book</t>
        </is>
      </c>
      <c r="H27" s="11" t="inlineStr">
        <is>
          <t>English</t>
        </is>
      </c>
      <c r="I27" s="13" t="inlineStr">
        <is>
          <t>Archaeology / தொல்லியல்</t>
        </is>
      </c>
      <c r="J27" s="13" t="inlineStr">
        <is>
          <t>தொல்லியல்; Jaffna; settlements</t>
        </is>
      </c>
      <c r="K27" s="11" t="inlineStr">
        <is>
          <t>No (earlier reference)</t>
        </is>
      </c>
      <c r="L27" s="13" t="inlineStr">
        <is>
          <t>Pre-1996 reference</t>
        </is>
      </c>
      <c r="M27" s="14" t="inlineStr">
        <is>
          <t>https://noolaham.net/project/18/1733/1733.html</t>
        </is>
      </c>
    </row>
    <row r="28">
      <c r="A28" s="7" t="inlineStr">
        <is>
          <t>BK-0027</t>
        </is>
      </c>
      <c r="B28" s="8" t="inlineStr">
        <is>
          <t>1971</t>
        </is>
      </c>
      <c r="C28" s="7" t="n"/>
      <c r="D28" s="9" t="inlineStr">
        <is>
          <t>Ceylon Tamil Inscriptions, Parts I-II (1971-1972)</t>
        </is>
      </c>
      <c r="E28" s="9" t="inlineStr">
        <is>
          <t>A. Veluppillai</t>
        </is>
      </c>
      <c r="F28" s="9" t="inlineStr">
        <is>
          <t>Author, Peradeniya</t>
        </is>
      </c>
      <c r="G28" s="7" t="inlineStr">
        <is>
          <t>Book</t>
        </is>
      </c>
      <c r="H28" s="7" t="inlineStr">
        <is>
          <t>English</t>
        </is>
      </c>
      <c r="I28" s="9" t="inlineStr">
        <is>
          <t>Inscriptions / கல்வெட்டு</t>
        </is>
      </c>
      <c r="J28" s="9" t="inlineStr">
        <is>
          <t>கல்வெட்டு; corpus</t>
        </is>
      </c>
      <c r="K28" s="7" t="inlineStr">
        <is>
          <t>No (earlier reference)</t>
        </is>
      </c>
      <c r="L28" s="9" t="inlineStr">
        <is>
          <t>Pre-1996 reference</t>
        </is>
      </c>
      <c r="M28" s="10" t="inlineStr">
        <is>
          <t>https://find.library.upenn.edu/catalog/997779313503681</t>
        </is>
      </c>
    </row>
    <row r="29">
      <c r="A29" s="11" t="inlineStr">
        <is>
          <t>BK-0028</t>
        </is>
      </c>
      <c r="B29" s="12" t="inlineStr">
        <is>
          <t>1971</t>
        </is>
      </c>
      <c r="C29" s="11" t="n"/>
      <c r="D29" s="13" t="inlineStr">
        <is>
          <t>Epigraphia Tamilica, Vol. I, Part I</t>
        </is>
      </c>
      <c r="E29" s="13" t="inlineStr">
        <is>
          <t>K. Indrapala (ed.)</t>
        </is>
      </c>
      <c r="F29" s="13" t="inlineStr">
        <is>
          <t>Jaffna Archaeological Society</t>
        </is>
      </c>
      <c r="G29" s="11" t="inlineStr">
        <is>
          <t>Book</t>
        </is>
      </c>
      <c r="H29" s="11" t="inlineStr">
        <is>
          <t>English</t>
        </is>
      </c>
      <c r="I29" s="13" t="inlineStr">
        <is>
          <t>Inscriptions / கல்வெட்டு</t>
        </is>
      </c>
      <c r="J29" s="13" t="inlineStr">
        <is>
          <t>கல்வெட்டு; corpus</t>
        </is>
      </c>
      <c r="K29" s="11" t="inlineStr">
        <is>
          <t>No (earlier reference)</t>
        </is>
      </c>
      <c r="L29" s="13" t="inlineStr">
        <is>
          <t>Pre-1996 reference</t>
        </is>
      </c>
      <c r="M29" s="14" t="inlineStr">
        <is>
          <t>https://www.lankapradeepa.com/2020/04/tamil-inscriptions-in-sri-lanka_16.html</t>
        </is>
      </c>
    </row>
    <row r="30">
      <c r="A30" s="7" t="inlineStr">
        <is>
          <t>BK-0029</t>
        </is>
      </c>
      <c r="B30" s="8" t="n"/>
      <c r="C30" s="7" t="n"/>
      <c r="D30" s="9" t="inlineStr">
        <is>
          <t>Culture and Heritage of the Tamils</t>
        </is>
      </c>
      <c r="E30" s="9" t="n"/>
      <c r="F30" s="9" t="inlineStr">
        <is>
          <t>Noolaham digital library</t>
        </is>
      </c>
      <c r="G30" s="7" t="inlineStr">
        <is>
          <t>Book</t>
        </is>
      </c>
      <c r="H30" s="7" t="inlineStr">
        <is>
          <t>English</t>
        </is>
      </c>
      <c r="I30" s="9" t="inlineStr">
        <is>
          <t>Archaeology / தொல்லியல்</t>
        </is>
      </c>
      <c r="J30" s="9" t="inlineStr">
        <is>
          <t>heritage</t>
        </is>
      </c>
      <c r="K30" s="7" t="inlineStr">
        <is>
          <t>Unknown</t>
        </is>
      </c>
      <c r="L30" s="9" t="inlineStr">
        <is>
          <t>Details to verify</t>
        </is>
      </c>
      <c r="M30" s="10" t="inlineStr">
        <is>
          <t>https://noolaham.net/project/977/97628/97628.pdf</t>
        </is>
      </c>
    </row>
    <row r="31">
      <c r="A31" s="11" t="inlineStr">
        <is>
          <t>BK-0030</t>
        </is>
      </c>
      <c r="B31" s="12" t="n"/>
      <c r="C31" s="11" t="n"/>
      <c r="D31" s="13" t="inlineStr">
        <is>
          <t>Nallur Rajadhani: City Layout</t>
        </is>
      </c>
      <c r="E31" s="13" t="inlineStr">
        <is>
          <t>V. N. Giritharan</t>
        </is>
      </c>
      <c r="F31" s="13" t="inlineStr">
        <is>
          <t>Noolaham digital library</t>
        </is>
      </c>
      <c r="G31" s="11" t="inlineStr">
        <is>
          <t>Book</t>
        </is>
      </c>
      <c r="H31" s="11" t="inlineStr">
        <is>
          <t>English</t>
        </is>
      </c>
      <c r="I31" s="13" t="inlineStr">
        <is>
          <t>Archaeology / தொல்லியல்</t>
        </is>
      </c>
      <c r="J31" s="13" t="inlineStr">
        <is>
          <t>Nallur; Jaffna kingdom; archaeology</t>
        </is>
      </c>
      <c r="K31" s="11" t="inlineStr">
        <is>
          <t>Unknown</t>
        </is>
      </c>
      <c r="L31" s="13" t="inlineStr">
        <is>
          <t>Year to verify</t>
        </is>
      </c>
      <c r="M31" s="14" t="inlineStr">
        <is>
          <t>https://noolaham.net/project/1316/131542/131542.pdf</t>
        </is>
      </c>
    </row>
    <row r="32">
      <c r="A32" s="7" t="inlineStr">
        <is>
          <t>BK-0031</t>
        </is>
      </c>
      <c r="B32" s="8" t="n"/>
      <c r="C32" s="7" t="n"/>
      <c r="D32" s="9" t="inlineStr">
        <is>
          <t>Sri Lanka at the Crossroads of History</t>
        </is>
      </c>
      <c r="E32" s="9" t="n"/>
      <c r="F32" s="9" t="inlineStr">
        <is>
          <t>Noolaham digital library</t>
        </is>
      </c>
      <c r="G32" s="7" t="inlineStr">
        <is>
          <t>Book</t>
        </is>
      </c>
      <c r="H32" s="7" t="inlineStr">
        <is>
          <t>English</t>
        </is>
      </c>
      <c r="I32" s="9" t="inlineStr">
        <is>
          <t>Archaeology / தொல்லியல்</t>
        </is>
      </c>
      <c r="J32" s="9" t="inlineStr">
        <is>
          <t>history; archaeology</t>
        </is>
      </c>
      <c r="K32" s="7" t="inlineStr">
        <is>
          <t>Unknown</t>
        </is>
      </c>
      <c r="L32" s="9" t="inlineStr">
        <is>
          <t>Details to verify</t>
        </is>
      </c>
      <c r="M32" s="10" t="inlineStr">
        <is>
          <t>https://noolaham.net/project/810/80954/80954.pdf</t>
        </is>
      </c>
    </row>
    <row r="33">
      <c r="A33" s="11" t="inlineStr">
        <is>
          <t>BK-0032</t>
        </is>
      </c>
      <c r="B33" s="12" t="n"/>
      <c r="C33" s="11" t="n"/>
      <c r="D33" s="13" t="inlineStr">
        <is>
          <t>The Untold Story of Ancient Tamils in Sri Lanka</t>
        </is>
      </c>
      <c r="E33" s="13" t="n"/>
      <c r="F33" s="13" t="inlineStr">
        <is>
          <t>University of Vavuniya library catalogue</t>
        </is>
      </c>
      <c r="G33" s="11" t="inlineStr">
        <is>
          <t>Book</t>
        </is>
      </c>
      <c r="H33" s="11" t="inlineStr">
        <is>
          <t>English</t>
        </is>
      </c>
      <c r="I33" s="13" t="inlineStr">
        <is>
          <t>Archaeology / தொல்லியல்</t>
        </is>
      </c>
      <c r="J33" s="13" t="inlineStr">
        <is>
          <t>ancient Tamils; archaeology</t>
        </is>
      </c>
      <c r="K33" s="11" t="inlineStr">
        <is>
          <t>Unknown</t>
        </is>
      </c>
      <c r="L33" s="13" t="inlineStr">
        <is>
          <t>Author/year to verify (K. Arunthavarajah?)</t>
        </is>
      </c>
      <c r="M33" s="14" t="inlineStr">
        <is>
          <t>http://lib.vau.jfn.ac.lk/cgi-bin/koha/opac-detail.pl?biblionumber=44042&amp;shelfbrowse_itemnumber=55269</t>
        </is>
      </c>
    </row>
  </sheetData>
  <autoFilter ref="A1:M33"/>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2026-04-14</t>
        </is>
      </c>
      <c r="D3" s="13" t="inlineStr">
        <is>
          <t>Myanmar’s Prehistoric Rock Art: a Comparative Study with Assam and Sri Lanka</t>
        </is>
      </c>
      <c r="E3" s="13" t="inlineStr">
        <is>
          <t>Win Pa Pa Lwin, Pyiet Phyo Kyaw</t>
        </is>
      </c>
      <c r="F3" s="13" t="inlineStr">
        <is>
          <t>The South East Asian Review</t>
        </is>
      </c>
      <c r="G3" s="11" t="inlineStr">
        <is>
          <t>Journal article</t>
        </is>
      </c>
      <c r="H3" s="11" t="inlineStr">
        <is>
          <t>English</t>
        </is>
      </c>
      <c r="I3" s="13" t="inlineStr">
        <is>
          <t>Rock art / பாறை ஓவியம்</t>
        </is>
      </c>
      <c r="J3" s="13" t="inlineStr">
        <is>
          <t>rock art</t>
        </is>
      </c>
      <c r="K3" s="11" t="inlineStr">
        <is>
          <t>Yes</t>
        </is>
      </c>
      <c r="L3" s="13" t="inlineStr">
        <is>
          <t>Crossref query: rock art Sri Lanka. Auto-collected 2026-10-14 (crossref); review.</t>
        </is>
      </c>
      <c r="M3" s="14" t="inlineStr">
        <is>
          <t>https://doi.org/10.32381/sear.2025.50.9</t>
        </is>
      </c>
    </row>
    <row r="4">
      <c r="A4" s="7" t="inlineStr">
        <is>
          <t>RP-0003</t>
        </is>
      </c>
      <c r="B4" s="8" t="inlineStr">
        <is>
          <t>2026</t>
        </is>
      </c>
      <c r="C4" s="7" t="inlineStr">
        <is>
          <t>2026-07-07</t>
        </is>
      </c>
      <c r="D4" s="9" t="inlineStr">
        <is>
          <t>Localizing Heritage: Archaeologies of the Recent Past in Postwar Jaffna, Sri Lanka</t>
        </is>
      </c>
      <c r="E4" s="9" t="inlineStr">
        <is>
          <t>Gill Juleff, Thamotharampillai Sanathanan, Ruth Young, John P. Cooper, Emma Dwyer, Adrián Oyaneder</t>
        </is>
      </c>
      <c r="F4" s="9" t="inlineStr">
        <is>
          <t>Historical Archaeology</t>
        </is>
      </c>
      <c r="G4" s="7" t="inlineStr">
        <is>
          <t>Journal article</t>
        </is>
      </c>
      <c r="H4" s="7" t="inlineStr">
        <is>
          <t>English</t>
        </is>
      </c>
      <c r="I4" s="9" t="inlineStr">
        <is>
          <t>Archaeology / தொல்லியல்</t>
        </is>
      </c>
      <c r="J4" s="9" t="n"/>
      <c r="K4" s="7" t="inlineStr">
        <is>
          <t>Yes</t>
        </is>
      </c>
      <c r="L4" s="9" t="inlineStr">
        <is>
          <t>Crossref query: Jaffna archaeology. Auto-collected 2026-10-14 (crossref); review.</t>
        </is>
      </c>
      <c r="M4" s="10" t="inlineStr">
        <is>
          <t>https://doi.org/10.1007/s41636-026-00636-0</t>
        </is>
      </c>
    </row>
    <row r="5">
      <c r="A5" s="11" t="inlineStr">
        <is>
          <t>RP-0004</t>
        </is>
      </c>
      <c r="B5" s="12" t="inlineStr">
        <is>
          <t>2025</t>
        </is>
      </c>
      <c r="C5" s="11" t="n"/>
      <c r="D5" s="13" t="inlineStr">
        <is>
          <t>Investigation of Ancient Pre-colonial Monuments in Jaffna, Sri Lanka</t>
        </is>
      </c>
      <c r="E5" s="13" t="n"/>
      <c r="F5" s="13" t="inlineStr">
        <is>
          <t>NIIBS Faculty of Humanities &amp; Social Sciences</t>
        </is>
      </c>
      <c r="G5" s="11" t="inlineStr">
        <is>
          <t>Journal article</t>
        </is>
      </c>
      <c r="H5" s="11" t="inlineStr">
        <is>
          <t>English</t>
        </is>
      </c>
      <c r="I5" s="13" t="inlineStr">
        <is>
          <t>Archaeology / தொல்லியல்</t>
        </is>
      </c>
      <c r="J5" s="13" t="inlineStr">
        <is>
          <t>monuments; Jaffna</t>
        </is>
      </c>
      <c r="K5" s="11" t="inlineStr">
        <is>
          <t>Yes</t>
        </is>
      </c>
      <c r="L5" s="13" t="inlineStr">
        <is>
          <t>Upload Feb 2025</t>
        </is>
      </c>
      <c r="M5" s="14" t="inlineStr">
        <is>
          <t>https://fhss.niibs.lk/wp-content/uploads/2025/02/Investigation-of-Ancient-Pre-colonial-Monuments-in-Jaffna-Sri-Lanka.pdf</t>
        </is>
      </c>
    </row>
    <row r="6">
      <c r="A6" s="7" t="inlineStr">
        <is>
          <t>RP-0005</t>
        </is>
      </c>
      <c r="B6" s="8" t="inlineStr">
        <is>
          <t>2025</t>
        </is>
      </c>
      <c r="C6" s="7" t="n"/>
      <c r="D6" s="9" t="inlineStr">
        <is>
          <t>The Chola Rule that Shed Light on the History of Sri Lankan Tamils: A Historical Perspective</t>
        </is>
      </c>
      <c r="E6" s="9" t="inlineStr">
        <is>
          <t>S. Aniththa</t>
        </is>
      </c>
      <c r="F6" s="9" t="inlineStr">
        <is>
          <t>International Archaeological Conference 2025, International Tamizhkkalvi Research Institute, Tamil Nadu</t>
        </is>
      </c>
      <c r="G6" s="7" t="inlineStr">
        <is>
          <t>Conference paper</t>
        </is>
      </c>
      <c r="H6" s="7" t="inlineStr">
        <is>
          <t>Tamil</t>
        </is>
      </c>
      <c r="I6" s="9" t="inlineStr">
        <is>
          <t>Inscriptions / கல்வெட்டு</t>
        </is>
      </c>
      <c r="J6" s="9" t="inlineStr">
        <is>
          <t>Chola; inscriptions</t>
        </is>
      </c>
      <c r="K6" s="7" t="inlineStr">
        <is>
          <t>Yes</t>
        </is>
      </c>
      <c r="L6" s="9" t="n"/>
      <c r="M6" s="10" t="inlineStr">
        <is>
          <t>https://www.his.jfn.ac.lk/index.php/__trashed/</t>
        </is>
      </c>
    </row>
    <row r="7">
      <c r="A7" s="11" t="inlineStr">
        <is>
          <t>RP-0006</t>
        </is>
      </c>
      <c r="B7" s="12" t="inlineStr">
        <is>
          <t>2025</t>
        </is>
      </c>
      <c r="C7" s="11" t="inlineStr">
        <is>
          <t>2025-03-08</t>
        </is>
      </c>
      <c r="D7" s="13" t="inlineStr">
        <is>
          <t>Palimpsests: Material Religion and Political Archaeology at Kurunthaloor Vihara, Sri Lanka</t>
        </is>
      </c>
      <c r="E7" s="13" t="inlineStr">
        <is>
          <t>A. Suganthan</t>
        </is>
      </c>
      <c r="F7" s="13" t="inlineStr">
        <is>
          <t>AAR Southeast Regional Conference (AARSE 2025), Florida</t>
        </is>
      </c>
      <c r="G7" s="11" t="inlineStr">
        <is>
          <t>Conference paper</t>
        </is>
      </c>
      <c r="H7" s="11" t="inlineStr">
        <is>
          <t>English</t>
        </is>
      </c>
      <c r="I7" s="13" t="inlineStr">
        <is>
          <t>Archaeology / தொல்லியல்</t>
        </is>
      </c>
      <c r="J7" s="13" t="inlineStr">
        <is>
          <t>Kurunthurmalai; political archaeology</t>
        </is>
      </c>
      <c r="K7" s="11" t="inlineStr">
        <is>
          <t>Yes</t>
        </is>
      </c>
      <c r="L7" s="13" t="n"/>
      <c r="M7" s="14" t="inlineStr">
        <is>
          <t>https://www.his.jfn.ac.lk/index.php/mrs-ajiththa-suganthan/</t>
        </is>
      </c>
    </row>
    <row r="8">
      <c r="A8" s="7" t="inlineStr">
        <is>
          <t>RP-0007</t>
        </is>
      </c>
      <c r="B8" s="8" t="inlineStr">
        <is>
          <t>2025</t>
        </is>
      </c>
      <c r="C8" s="7" t="inlineStr">
        <is>
          <t>2025-07-15</t>
        </is>
      </c>
      <c r="D8" s="9" t="inlineStr">
        <is>
          <t>(Zenodo record on hero stones)</t>
        </is>
      </c>
      <c r="E8" s="9" t="n"/>
      <c r="F8" s="9" t="inlineStr">
        <is>
          <t>Zenodo</t>
        </is>
      </c>
      <c r="G8" s="7" t="inlineStr">
        <is>
          <t>Dataset/Article</t>
        </is>
      </c>
      <c r="H8" s="7" t="inlineStr">
        <is>
          <t>English</t>
        </is>
      </c>
      <c r="I8" s="9" t="inlineStr">
        <is>
          <t>Hero stones / நடுகல்</t>
        </is>
      </c>
      <c r="J8" s="9" t="inlineStr">
        <is>
          <t>hero stone</t>
        </is>
      </c>
      <c r="K8" s="7" t="inlineStr">
        <is>
          <t>Yes</t>
        </is>
      </c>
      <c r="L8" s="9" t="inlineStr">
        <is>
          <t>Title to verify</t>
        </is>
      </c>
      <c r="M8" s="10" t="inlineStr">
        <is>
          <t>https://zenodo.org/records/16599990</t>
        </is>
      </c>
    </row>
    <row r="9">
      <c r="A9" s="11" t="inlineStr">
        <is>
          <t>RP-0008</t>
        </is>
      </c>
      <c r="B9" s="12" t="inlineStr">
        <is>
          <t>2025</t>
        </is>
      </c>
      <c r="C9" s="11" t="inlineStr">
        <is>
          <t>2025-10-31</t>
        </is>
      </c>
      <c r="D9" s="13" t="inlineStr">
        <is>
          <t>A STUDY OF NON-BRAHMI SYMBOLS CREATED FROM THE EARLY BRAHMI SCRIPT</t>
        </is>
      </c>
      <c r="E9" s="13" t="inlineStr">
        <is>
          <t>N. Bandara</t>
        </is>
      </c>
      <c r="F9" s="13" t="inlineStr">
        <is>
          <t>Third Desk Research Conference</t>
        </is>
      </c>
      <c r="G9" s="11" t="inlineStr">
        <is>
          <t>Proceedings article</t>
        </is>
      </c>
      <c r="H9" s="11" t="inlineStr">
        <is>
          <t>English</t>
        </is>
      </c>
      <c r="I9" s="13" t="inlineStr">
        <is>
          <t>Brahmi / பிராமி</t>
        </is>
      </c>
      <c r="J9" s="13" t="inlineStr">
        <is>
          <t>brahmi</t>
        </is>
      </c>
      <c r="K9" s="11" t="inlineStr">
        <is>
          <t>Yes</t>
        </is>
      </c>
      <c r="L9" s="13" t="inlineStr">
        <is>
          <t>Crossref query: Tissamaharama Brahmi. Auto-collected 2026-10-14 (crossref); review.</t>
        </is>
      </c>
      <c r="M9" s="14" t="inlineStr">
        <is>
          <t>https://doi.org/10.64920/drc2025027</t>
        </is>
      </c>
    </row>
    <row r="10">
      <c r="A10" s="7" t="inlineStr">
        <is>
          <t>RP-0009</t>
        </is>
      </c>
      <c r="B10" s="8" t="inlineStr">
        <is>
          <t>2025</t>
        </is>
      </c>
      <c r="C10" s="7" t="inlineStr">
        <is>
          <t>2025-12-29</t>
        </is>
      </c>
      <c r="D10" s="9" t="inlineStr">
        <is>
          <t>Stone, Symbol, and Leisure: A Reassessment of Geometric Symbols on the Stone-Paved Terrace of Jetavana Stupa, Sri Lanka</t>
        </is>
      </c>
      <c r="E10" s="9" t="inlineStr">
        <is>
          <t>K.W. Chithramala Tharangani</t>
        </is>
      </c>
      <c r="F10" s="9" t="inlineStr">
        <is>
          <t>Ancient Lanka</t>
        </is>
      </c>
      <c r="G10" s="7" t="inlineStr">
        <is>
          <t>Journal article</t>
        </is>
      </c>
      <c r="H10" s="7" t="inlineStr">
        <is>
          <t>English</t>
        </is>
      </c>
      <c r="I10" s="9" t="n"/>
      <c r="J10" s="9" t="n"/>
      <c r="K10" s="7" t="inlineStr">
        <is>
          <t>Yes</t>
        </is>
      </c>
      <c r="L10" s="9" t="inlineStr">
        <is>
          <t>Crossref query: hero stone Sri Lanka. Auto-collected 2026-10-14 (crossref); review.</t>
        </is>
      </c>
      <c r="M10" s="10" t="inlineStr">
        <is>
          <t>https://doi.org/10.29173/anlk872</t>
        </is>
      </c>
    </row>
    <row r="11">
      <c r="A11" s="11" t="inlineStr">
        <is>
          <t>RP-0010</t>
        </is>
      </c>
      <c r="B11" s="12" t="inlineStr">
        <is>
          <t>2024</t>
        </is>
      </c>
      <c r="C11" s="11" t="n"/>
      <c r="D11" s="13" t="inlineStr">
        <is>
          <t>Serpent Deities (Nagas) in Ancient Sri Lanka: Evidence from the Kaddukarai Excavation</t>
        </is>
      </c>
      <c r="E11" s="13" t="inlineStr">
        <is>
          <t>A. Suganthan</t>
        </is>
      </c>
      <c r="F11" s="13" t="inlineStr">
        <is>
          <t>More-than-human Religion conference, Florida State University</t>
        </is>
      </c>
      <c r="G11" s="11" t="inlineStr">
        <is>
          <t>Conference paper</t>
        </is>
      </c>
      <c r="H11" s="11" t="inlineStr">
        <is>
          <t>English</t>
        </is>
      </c>
      <c r="I11" s="13" t="inlineStr">
        <is>
          <t>Archaeology / தொல்லியல்</t>
        </is>
      </c>
      <c r="J11" s="13" t="inlineStr">
        <is>
          <t>Naga; Kattukarai excavation</t>
        </is>
      </c>
      <c r="K11" s="11" t="inlineStr">
        <is>
          <t>Yes</t>
        </is>
      </c>
      <c r="L11" s="13" t="n"/>
      <c r="M11" s="14" t="inlineStr">
        <is>
          <t>https://www.his.jfn.ac.lk/index.php/mrs-ajiththa-suganthan/</t>
        </is>
      </c>
    </row>
    <row r="12">
      <c r="A12" s="7" t="inlineStr">
        <is>
          <t>RP-0011</t>
        </is>
      </c>
      <c r="B12" s="8" t="inlineStr">
        <is>
          <t>2024</t>
        </is>
      </c>
      <c r="C12" s="7" t="n"/>
      <c r="D12" s="9" t="inlineStr">
        <is>
          <t>The Role of Tamil Language in Sinhala Kingdoms during the Early and Medieval Period of Sri Lanka</t>
        </is>
      </c>
      <c r="E12" s="9" t="inlineStr">
        <is>
          <t>S. Aniththa</t>
        </is>
      </c>
      <c r="F12" s="9" t="inlineStr">
        <is>
          <t>12th International Symposium, South Eastern University of Sri Lanka</t>
        </is>
      </c>
      <c r="G12" s="7" t="inlineStr">
        <is>
          <t>Conference paper</t>
        </is>
      </c>
      <c r="H12" s="7" t="inlineStr">
        <is>
          <t>English</t>
        </is>
      </c>
      <c r="I12" s="9" t="inlineStr">
        <is>
          <t>Inscriptions / கல்வெட்டு</t>
        </is>
      </c>
      <c r="J12" s="9" t="inlineStr">
        <is>
          <t>Tamil inscriptions; language</t>
        </is>
      </c>
      <c r="K12" s="7" t="inlineStr">
        <is>
          <t>Yes</t>
        </is>
      </c>
      <c r="L12" s="9" t="n"/>
      <c r="M12" s="10" t="inlineStr">
        <is>
          <t>https://www.his.jfn.ac.lk/index.php/__trashed/</t>
        </is>
      </c>
    </row>
    <row r="13">
      <c r="A13" s="11" t="inlineStr">
        <is>
          <t>RP-0012</t>
        </is>
      </c>
      <c r="B13" s="12" t="inlineStr">
        <is>
          <t>2024</t>
        </is>
      </c>
      <c r="C13" s="11" t="inlineStr">
        <is>
          <t>2024-12-29</t>
        </is>
      </c>
      <c r="D13" s="13" t="inlineStr">
        <is>
          <t>Historical Demaḷa Mahā Sǣya of Polonnaruwa, Sri Lanka: An Archaeological Analysis of its Construction Technology</t>
        </is>
      </c>
      <c r="E13" s="13" t="inlineStr">
        <is>
          <t>Priyantha Marasinghe, Nimal Perera</t>
        </is>
      </c>
      <c r="F13" s="13" t="inlineStr">
        <is>
          <t>Ancient Lanka</t>
        </is>
      </c>
      <c r="G13" s="11" t="inlineStr">
        <is>
          <t>Journal article</t>
        </is>
      </c>
      <c r="H13" s="11" t="inlineStr">
        <is>
          <t>English</t>
        </is>
      </c>
      <c r="I13" s="13" t="inlineStr">
        <is>
          <t>Archaeology / தொல்லியல்</t>
        </is>
      </c>
      <c r="J13" s="13" t="inlineStr">
        <is>
          <t>archaeological</t>
        </is>
      </c>
      <c r="K13" s="11" t="inlineStr">
        <is>
          <t>Yes</t>
        </is>
      </c>
      <c r="L13" s="13" t="inlineStr">
        <is>
          <t>Crossref query: Polonnaruwa Tamil inscription. Auto-collected 2026-10-14 (crossref); review.</t>
        </is>
      </c>
      <c r="M13" s="14" t="inlineStr">
        <is>
          <t>https://doi.org/10.29173/anlk838</t>
        </is>
      </c>
    </row>
    <row r="14">
      <c r="A14" s="7" t="inlineStr">
        <is>
          <t>RP-0013</t>
        </is>
      </c>
      <c r="B14" s="8" t="inlineStr">
        <is>
          <t>2023</t>
        </is>
      </c>
      <c r="C14" s="7" t="n"/>
      <c r="D14" s="9" t="inlineStr">
        <is>
          <t>'Thana' given by Sri Lankan women as reflected through literature and inscription sources</t>
        </is>
      </c>
      <c r="E14" s="9" t="inlineStr">
        <is>
          <t>S. Aniththa</t>
        </is>
      </c>
      <c r="F14" s="9" t="inlineStr">
        <is>
          <t>National Conference on Historical Studies, University of Kelaniya</t>
        </is>
      </c>
      <c r="G14" s="7" t="inlineStr">
        <is>
          <t>Conference paper</t>
        </is>
      </c>
      <c r="H14" s="7" t="inlineStr">
        <is>
          <t>English</t>
        </is>
      </c>
      <c r="I14" s="9" t="inlineStr">
        <is>
          <t>Inscriptions / கல்வெட்டு</t>
        </is>
      </c>
      <c r="J14" s="9" t="inlineStr">
        <is>
          <t>inscriptions; donations</t>
        </is>
      </c>
      <c r="K14" s="7" t="inlineStr">
        <is>
          <t>Yes</t>
        </is>
      </c>
      <c r="L14" s="9" t="n"/>
      <c r="M14" s="10" t="inlineStr">
        <is>
          <t>https://www.his.jfn.ac.lk/index.php/__trashed/</t>
        </is>
      </c>
    </row>
    <row r="15">
      <c r="A15" s="11" t="inlineStr">
        <is>
          <t>RP-0014</t>
        </is>
      </c>
      <c r="B15" s="12" t="inlineStr">
        <is>
          <t>2023</t>
        </is>
      </c>
      <c r="C15" s="11" t="n"/>
      <c r="D15" s="13" t="inlineStr">
        <is>
          <t>Influence of Hinduism during the Gampola Kingdom - A Study Based on the Inscriptions</t>
        </is>
      </c>
      <c r="E15" s="13" t="inlineStr">
        <is>
          <t>Ushanthy Arunpirasanth</t>
        </is>
      </c>
      <c r="F15" s="13" t="inlineStr">
        <is>
          <t>2nd National Research Symposium on Social Sciences and Humanities, Rajarata University</t>
        </is>
      </c>
      <c r="G15" s="11" t="inlineStr">
        <is>
          <t>Conference paper</t>
        </is>
      </c>
      <c r="H15" s="11" t="inlineStr">
        <is>
          <t>English</t>
        </is>
      </c>
      <c r="I15" s="13" t="inlineStr">
        <is>
          <t>Inscriptions / கல்வெட்டு</t>
        </is>
      </c>
      <c r="J15" s="13" t="inlineStr">
        <is>
          <t>inscriptions; Gampola</t>
        </is>
      </c>
      <c r="K15" s="11" t="inlineStr">
        <is>
          <t>Yes</t>
        </is>
      </c>
      <c r="L15" s="13" t="n"/>
      <c r="M15" s="14" t="inlineStr">
        <is>
          <t>https://www.his.jfn.ac.lk/index.php/ms-mahalingam-ushanthy/</t>
        </is>
      </c>
    </row>
    <row r="16">
      <c r="A16" s="7" t="inlineStr">
        <is>
          <t>RP-0015</t>
        </is>
      </c>
      <c r="B16" s="8" t="inlineStr">
        <is>
          <t>2023</t>
        </is>
      </c>
      <c r="C16" s="7" t="n"/>
      <c r="D16" s="9" t="inlineStr">
        <is>
          <t>Integrative Approaches in Archaeology: The Imperative for Multidisciplinary Research</t>
        </is>
      </c>
      <c r="E16" s="9" t="inlineStr">
        <is>
          <t>A. Suganthan, P. Pushparatnam</t>
        </is>
      </c>
      <c r="F16" s="9" t="inlineStr">
        <is>
          <t>Nāgānanda International Journal of Humanities and Social Science, 1(1), pp. 1-13</t>
        </is>
      </c>
      <c r="G16" s="7" t="inlineStr">
        <is>
          <t>Journal article</t>
        </is>
      </c>
      <c r="H16" s="7" t="inlineStr">
        <is>
          <t>English</t>
        </is>
      </c>
      <c r="I16" s="9" t="inlineStr">
        <is>
          <t>Archaeology / தொல்லியல்</t>
        </is>
      </c>
      <c r="J16" s="9" t="inlineStr">
        <is>
          <t>archaeology; methodology</t>
        </is>
      </c>
      <c r="K16" s="7" t="inlineStr">
        <is>
          <t>Yes</t>
        </is>
      </c>
      <c r="L16" s="9" t="n"/>
      <c r="M16" s="10" t="inlineStr">
        <is>
          <t>https://www.his.jfn.ac.lk/index.php/mrs-ajiththa-suganthan/</t>
        </is>
      </c>
    </row>
    <row r="17">
      <c r="A17" s="11" t="inlineStr">
        <is>
          <t>RP-0016</t>
        </is>
      </c>
      <c r="B17" s="12" t="inlineStr">
        <is>
          <t>2023</t>
        </is>
      </c>
      <c r="C17" s="11" t="n"/>
      <c r="D17" s="13" t="inlineStr">
        <is>
          <t>Ipankadduwa Megalithic Centre and Museum</t>
        </is>
      </c>
      <c r="E17" s="13" t="inlineStr">
        <is>
          <t>Thulasika Dineshan</t>
        </is>
      </c>
      <c r="F17" s="13" t="inlineStr">
        <is>
          <t>INTSYM 2023, South Eastern University of Sri Lanka</t>
        </is>
      </c>
      <c r="G17" s="11" t="inlineStr">
        <is>
          <t>Conference paper</t>
        </is>
      </c>
      <c r="H17" s="11" t="inlineStr">
        <is>
          <t>English</t>
        </is>
      </c>
      <c r="I17" s="13" t="inlineStr">
        <is>
          <t>Archaeology / தொல்லியல்</t>
        </is>
      </c>
      <c r="J17" s="13" t="inlineStr">
        <is>
          <t>megalithic; Ibbankatuwa</t>
        </is>
      </c>
      <c r="K17" s="11" t="inlineStr">
        <is>
          <t>Yes</t>
        </is>
      </c>
      <c r="L17" s="13" t="n"/>
      <c r="M17" s="14" t="inlineStr">
        <is>
          <t>https://www.his.jfn.ac.lk/?p=1706</t>
        </is>
      </c>
    </row>
    <row r="18">
      <c r="A18" s="7" t="inlineStr">
        <is>
          <t>RP-0017</t>
        </is>
      </c>
      <c r="B18" s="8" t="inlineStr">
        <is>
          <t>2023</t>
        </is>
      </c>
      <c r="C18" s="7" t="n"/>
      <c r="D18" s="9" t="inlineStr">
        <is>
          <t>Some considerations on Dutch colonial architecture: The Kruys church at Jaffna Fort</t>
        </is>
      </c>
      <c r="E18" s="9" t="inlineStr">
        <is>
          <t>A. Suganthan</t>
        </is>
      </c>
      <c r="F18" s="9" t="inlineStr">
        <is>
          <t>Archaeology: South Asian Journal of Archaeology, University of Kelaniya</t>
        </is>
      </c>
      <c r="G18" s="7" t="inlineStr">
        <is>
          <t>Journal article</t>
        </is>
      </c>
      <c r="H18" s="7" t="inlineStr">
        <is>
          <t>English</t>
        </is>
      </c>
      <c r="I18" s="9" t="inlineStr">
        <is>
          <t>Archaeology / தொல்லியல்</t>
        </is>
      </c>
      <c r="J18" s="9" t="inlineStr">
        <is>
          <t>archaeology; Jaffna Fort</t>
        </is>
      </c>
      <c r="K18" s="7" t="inlineStr">
        <is>
          <t>Yes</t>
        </is>
      </c>
      <c r="L18" s="9" t="n"/>
      <c r="M18" s="10" t="inlineStr">
        <is>
          <t>https://www.his.jfn.ac.lk/index.php/mrs-ajiththa-suganthan/</t>
        </is>
      </c>
    </row>
    <row r="19">
      <c r="A19" s="11" t="inlineStr">
        <is>
          <t>RP-0018</t>
        </is>
      </c>
      <c r="B19" s="12" t="inlineStr">
        <is>
          <t>2023</t>
        </is>
      </c>
      <c r="C19" s="11" t="n"/>
      <c r="D19" s="13" t="inlineStr">
        <is>
          <t>Tevaratiyars (Women of Temples) in Sri Lanka: A Study Based on Epigraphy</t>
        </is>
      </c>
      <c r="E19" s="13" t="inlineStr">
        <is>
          <t>S. Aniththa</t>
        </is>
      </c>
      <c r="F19" s="13" t="inlineStr">
        <is>
          <t>1st International Conference on Gender Studies, University of Sri Jayewardenepura</t>
        </is>
      </c>
      <c r="G19" s="11" t="inlineStr">
        <is>
          <t>Conference paper</t>
        </is>
      </c>
      <c r="H19" s="11" t="inlineStr">
        <is>
          <t>English</t>
        </is>
      </c>
      <c r="I19" s="13" t="inlineStr">
        <is>
          <t>Inscriptions / கல்வெட்டு</t>
        </is>
      </c>
      <c r="J19" s="13" t="inlineStr">
        <is>
          <t>epigraphy; கல்வெட்டு</t>
        </is>
      </c>
      <c r="K19" s="11" t="inlineStr">
        <is>
          <t>Yes</t>
        </is>
      </c>
      <c r="L19" s="13" t="n"/>
      <c r="M19" s="14" t="inlineStr">
        <is>
          <t>https://www.his.jfn.ac.lk/index.php/__trashed/</t>
        </is>
      </c>
    </row>
    <row r="20">
      <c r="A20" s="7" t="inlineStr">
        <is>
          <t>RP-0019</t>
        </is>
      </c>
      <c r="B20" s="8" t="inlineStr">
        <is>
          <t>2023</t>
        </is>
      </c>
      <c r="C20" s="7" t="n"/>
      <c r="D20" s="9" t="inlineStr">
        <is>
          <t>The Role of Brahmins in the Sinhalese Monarchy: A Study Based on the Kingdom of Anuradhapura</t>
        </is>
      </c>
      <c r="E20" s="9" t="inlineStr">
        <is>
          <t>S. Aniththa</t>
        </is>
      </c>
      <c r="F20" s="9" t="inlineStr">
        <is>
          <t>2nd National Research Symposium, Rajarata University of Sri Lanka</t>
        </is>
      </c>
      <c r="G20" s="7" t="inlineStr">
        <is>
          <t>Conference paper</t>
        </is>
      </c>
      <c r="H20" s="7" t="inlineStr">
        <is>
          <t>English</t>
        </is>
      </c>
      <c r="I20" s="9" t="inlineStr">
        <is>
          <t>Inscriptions / கல்வெட்டு; Brahmi / பிராமி</t>
        </is>
      </c>
      <c r="J20" s="9" t="inlineStr">
        <is>
          <t>Brahmins; inscriptions</t>
        </is>
      </c>
      <c r="K20" s="7" t="inlineStr">
        <is>
          <t>Yes</t>
        </is>
      </c>
      <c r="L20" s="9" t="n"/>
      <c r="M20" s="10" t="inlineStr">
        <is>
          <t>https://www.his.jfn.ac.lk/index.php/__trashed/</t>
        </is>
      </c>
    </row>
    <row r="21">
      <c r="A21" s="11" t="inlineStr">
        <is>
          <t>RP-0020</t>
        </is>
      </c>
      <c r="B21" s="12" t="inlineStr">
        <is>
          <t>2023</t>
        </is>
      </c>
      <c r="C21" s="11" t="n"/>
      <c r="D21" s="13" t="inlineStr">
        <is>
          <t>The Role of Tamil Officers in Sinhalese Monarchy up to 13th Century A.D.: A Review</t>
        </is>
      </c>
      <c r="E21" s="13" t="inlineStr">
        <is>
          <t>S. Aniththa</t>
        </is>
      </c>
      <c r="F21" s="13" t="inlineStr">
        <is>
          <t>11th International Symposium, South Eastern University of Sri Lanka</t>
        </is>
      </c>
      <c r="G21" s="11" t="inlineStr">
        <is>
          <t>Conference paper</t>
        </is>
      </c>
      <c r="H21" s="11" t="inlineStr">
        <is>
          <t>English</t>
        </is>
      </c>
      <c r="I21" s="13" t="inlineStr">
        <is>
          <t>Inscriptions / கல்வெட்டு</t>
        </is>
      </c>
      <c r="J21" s="13" t="inlineStr">
        <is>
          <t>inscriptions; officials</t>
        </is>
      </c>
      <c r="K21" s="11" t="inlineStr">
        <is>
          <t>Yes</t>
        </is>
      </c>
      <c r="L21" s="13" t="n"/>
      <c r="M21" s="14" t="inlineStr">
        <is>
          <t>https://www.his.jfn.ac.lk/index.php/__trashed/</t>
        </is>
      </c>
    </row>
    <row r="22">
      <c r="A22" s="7" t="inlineStr">
        <is>
          <t>RP-0021</t>
        </is>
      </c>
      <c r="B22" s="8" t="inlineStr">
        <is>
          <t>2022</t>
        </is>
      </c>
      <c r="C22" s="7" t="n"/>
      <c r="D22" s="9" t="inlineStr">
        <is>
          <t>Ancient Ceylon No. 27 (Journal of the Department of Archaeology)</t>
        </is>
      </c>
      <c r="E22" s="9" t="inlineStr">
        <is>
          <t>Department of Archaeology</t>
        </is>
      </c>
      <c r="F22" s="9" t="inlineStr">
        <is>
          <t>Department of Archaeology, Sri Lanka</t>
        </is>
      </c>
      <c r="G22" s="7" t="inlineStr">
        <is>
          <t>Journal article</t>
        </is>
      </c>
      <c r="H22" s="7" t="inlineStr">
        <is>
          <t>English</t>
        </is>
      </c>
      <c r="I22" s="9" t="inlineStr">
        <is>
          <t>Inscriptions / கல்வெட்டு; Archaeology / தொல்லியல்</t>
        </is>
      </c>
      <c r="J22" s="9" t="inlineStr">
        <is>
          <t>archaeology journal; inscriptions</t>
        </is>
      </c>
      <c r="K22" s="7" t="inlineStr">
        <is>
          <t>Yes</t>
        </is>
      </c>
      <c r="L22" s="9" t="inlineStr">
        <is>
          <t>Upload date 2022</t>
        </is>
      </c>
      <c r="M22" s="10" t="inlineStr">
        <is>
          <t>https://archaeology.gov.lk/media/attachments/2022/09/07/ac27updated.pdf</t>
        </is>
      </c>
    </row>
    <row r="23">
      <c r="A23" s="11" t="inlineStr">
        <is>
          <t>RP-0022</t>
        </is>
      </c>
      <c r="B23" s="12" t="inlineStr">
        <is>
          <t>2022</t>
        </is>
      </c>
      <c r="C23" s="11" t="n"/>
      <c r="D23" s="13" t="inlineStr">
        <is>
          <t>Archaeological Surveys and Their Importance in Respect of Northern Sri Lanka</t>
        </is>
      </c>
      <c r="E23" s="13" t="inlineStr">
        <is>
          <t>S. Sajitharan</t>
        </is>
      </c>
      <c r="F23" s="13" t="inlineStr">
        <is>
          <t>IntSym 2022, South Eastern University of Sri Lanka</t>
        </is>
      </c>
      <c r="G23" s="11" t="inlineStr">
        <is>
          <t>Conference paper</t>
        </is>
      </c>
      <c r="H23" s="11" t="inlineStr">
        <is>
          <t>English</t>
        </is>
      </c>
      <c r="I23" s="13" t="inlineStr">
        <is>
          <t>Archaeology / தொல்லியல்</t>
        </is>
      </c>
      <c r="J23" s="13" t="inlineStr">
        <is>
          <t>archaeological survey</t>
        </is>
      </c>
      <c r="K23" s="11" t="inlineStr">
        <is>
          <t>Yes</t>
        </is>
      </c>
      <c r="L23" s="13" t="n"/>
      <c r="M23" s="14" t="inlineStr">
        <is>
          <t>https://www.his.jfn.ac.lk/?p=791</t>
        </is>
      </c>
    </row>
    <row r="24">
      <c r="A24" s="7" t="inlineStr">
        <is>
          <t>RP-0023</t>
        </is>
      </c>
      <c r="B24" s="8" t="inlineStr">
        <is>
          <t>2022</t>
        </is>
      </c>
      <c r="C24" s="7" t="n"/>
      <c r="D24" s="9" t="inlineStr">
        <is>
          <t>Pre-colonial Monuments in Jaffna, Sri Lanka</t>
        </is>
      </c>
      <c r="E24" s="9" t="inlineStr">
        <is>
          <t>A. Suganthan</t>
        </is>
      </c>
      <c r="F24" s="9" t="inlineStr">
        <is>
          <t>Nagananda International Journal of Humanities &amp; Social Sciences</t>
        </is>
      </c>
      <c r="G24" s="7" t="inlineStr">
        <is>
          <t>Journal article</t>
        </is>
      </c>
      <c r="H24" s="7" t="inlineStr">
        <is>
          <t>English</t>
        </is>
      </c>
      <c r="I24" s="9" t="inlineStr">
        <is>
          <t>Archaeology / தொல்லியல்</t>
        </is>
      </c>
      <c r="J24" s="9" t="inlineStr">
        <is>
          <t>monuments; Jaffna</t>
        </is>
      </c>
      <c r="K24" s="7" t="inlineStr">
        <is>
          <t>Yes</t>
        </is>
      </c>
      <c r="L24" s="9" t="n"/>
      <c r="M24" s="10" t="inlineStr">
        <is>
          <t>https://www.his.jfn.ac.lk/index.php/mrs-ajiththa-suganthan/</t>
        </is>
      </c>
    </row>
    <row r="25">
      <c r="A25" s="11" t="inlineStr">
        <is>
          <t>RP-0024</t>
        </is>
      </c>
      <c r="B25" s="12" t="inlineStr">
        <is>
          <t>2022</t>
        </is>
      </c>
      <c r="C25" s="11" t="n"/>
      <c r="D25" s="13" t="inlineStr">
        <is>
          <t>Socio-Economic Conditions of Vanni Region through the Brahmi Inscriptions - Based on Vavuniya Region</t>
        </is>
      </c>
      <c r="E25" s="13" t="inlineStr">
        <is>
          <t>Thulasika Dineshan</t>
        </is>
      </c>
      <c r="F25" s="13" t="inlineStr">
        <is>
          <t>INTSYM 2022, South Eastern University of Sri Lanka</t>
        </is>
      </c>
      <c r="G25" s="11" t="inlineStr">
        <is>
          <t>Conference paper</t>
        </is>
      </c>
      <c r="H25" s="11" t="inlineStr">
        <is>
          <t>English</t>
        </is>
      </c>
      <c r="I25" s="13" t="inlineStr">
        <is>
          <t>Inscriptions / கல்வெட்டு; Brahmi / பிராமி</t>
        </is>
      </c>
      <c r="J25" s="13" t="inlineStr">
        <is>
          <t>பிராமி; கல்வெட்டு; Vanni; Vavuniya</t>
        </is>
      </c>
      <c r="K25" s="11" t="inlineStr">
        <is>
          <t>Yes</t>
        </is>
      </c>
      <c r="L25" s="13" t="n"/>
      <c r="M25" s="14" t="inlineStr">
        <is>
          <t>https://www.his.jfn.ac.lk/?p=1706</t>
        </is>
      </c>
    </row>
    <row r="26">
      <c r="A26" s="7" t="inlineStr">
        <is>
          <t>RP-0025</t>
        </is>
      </c>
      <c r="B26" s="8" t="inlineStr">
        <is>
          <t>2022</t>
        </is>
      </c>
      <c r="C26" s="7" t="inlineStr">
        <is>
          <t>2022-04-25</t>
        </is>
      </c>
      <c r="D26" s="9" t="inlineStr">
        <is>
          <t>THE “DEVANAPIYA” KINGS AS TRACED FROM LITHIC ‘BRAHMI’ INSCRIPTIONS OF SRI LANKA</t>
        </is>
      </c>
      <c r="E26" s="9" t="inlineStr">
        <is>
          <t>, ID Manthilake</t>
        </is>
      </c>
      <c r="F26" s="9" t="inlineStr">
        <is>
          <t>Proceedings of the 2nd International Conference on Archaeology, History and Heritage</t>
        </is>
      </c>
      <c r="G26" s="7" t="inlineStr">
        <is>
          <t>Proceedings article</t>
        </is>
      </c>
      <c r="H26" s="7" t="inlineStr">
        <is>
          <t>English</t>
        </is>
      </c>
      <c r="I26" s="9" t="inlineStr">
        <is>
          <t>Inscriptions / கல்வெட்டு; Brahmi / பிராமி</t>
        </is>
      </c>
      <c r="J26" s="9" t="inlineStr">
        <is>
          <t>inscription; inscriptions; brahmi</t>
        </is>
      </c>
      <c r="K26" s="7" t="inlineStr">
        <is>
          <t>Yes</t>
        </is>
      </c>
      <c r="L26" s="9" t="inlineStr">
        <is>
          <t>Crossref query: Tamil Brahmi Sri Lanka. Auto-collected 2026-10-14 (crossref); review.</t>
        </is>
      </c>
      <c r="M26" s="10" t="inlineStr">
        <is>
          <t>https://doi.org/10.17501/26510243.2021.2101</t>
        </is>
      </c>
    </row>
    <row r="27">
      <c r="A27" s="11" t="inlineStr">
        <is>
          <t>RP-0026</t>
        </is>
      </c>
      <c r="B27" s="12" t="inlineStr">
        <is>
          <t>2022</t>
        </is>
      </c>
      <c r="C27" s="11" t="inlineStr">
        <is>
          <t>2022-08-27</t>
        </is>
      </c>
      <c r="D27" s="13" t="inlineStr">
        <is>
          <t>A study of the Dathan Inscription</t>
        </is>
      </c>
      <c r="E27" s="13" t="inlineStr">
        <is>
          <t>Murugu Thayanithy</t>
        </is>
      </c>
      <c r="F27" s="13" t="inlineStr">
        <is>
          <t>Indian Journal of Tamil</t>
        </is>
      </c>
      <c r="G27" s="11" t="inlineStr">
        <is>
          <t>Journal article</t>
        </is>
      </c>
      <c r="H27" s="11" t="inlineStr">
        <is>
          <t>English</t>
        </is>
      </c>
      <c r="I27" s="13" t="inlineStr">
        <is>
          <t>Inscriptions / கல்வெட்டு</t>
        </is>
      </c>
      <c r="J27" s="13" t="inlineStr">
        <is>
          <t>inscription</t>
        </is>
      </c>
      <c r="K27" s="11" t="inlineStr">
        <is>
          <t>Yes</t>
        </is>
      </c>
      <c r="L27" s="13" t="inlineStr">
        <is>
          <t>Crossref query: Polonnaruwa Tamil inscription. Auto-collected 2026-10-14 (crossref); review.</t>
        </is>
      </c>
      <c r="M27" s="14" t="inlineStr">
        <is>
          <t>https://doi.org/10.54392/ijot2236</t>
        </is>
      </c>
    </row>
    <row r="28">
      <c r="A28" s="7" t="inlineStr">
        <is>
          <t>RP-0027</t>
        </is>
      </c>
      <c r="B28" s="8" t="inlineStr">
        <is>
          <t>2022</t>
        </is>
      </c>
      <c r="C28" s="7" t="inlineStr">
        <is>
          <t>2022-12-03</t>
        </is>
      </c>
      <c r="D28" s="9" t="inlineStr">
        <is>
          <t>Venison for the Citadel</t>
        </is>
      </c>
      <c r="E28" s="9" t="inlineStr">
        <is>
          <t>Norbert Benecke, Johannes Moser, Hans-Joachim Weisshaar</t>
        </is>
      </c>
      <c r="F28" s="9" t="inlineStr">
        <is>
          <t>Ancient Lanka</t>
        </is>
      </c>
      <c r="G28" s="7" t="inlineStr">
        <is>
          <t>Journal article</t>
        </is>
      </c>
      <c r="H28" s="7" t="inlineStr">
        <is>
          <t>English</t>
        </is>
      </c>
      <c r="I28" s="9" t="n"/>
      <c r="J28" s="9" t="n"/>
      <c r="K28" s="7" t="inlineStr">
        <is>
          <t>Yes</t>
        </is>
      </c>
      <c r="L28" s="9" t="inlineStr">
        <is>
          <t>Crossref query: Tissamaharama Brahmi. Auto-collected 2026-10-14 (crossref); review.</t>
        </is>
      </c>
      <c r="M28" s="10" t="inlineStr">
        <is>
          <t>https://doi.org/10.29173/anlk659</t>
        </is>
      </c>
    </row>
    <row r="29">
      <c r="A29" s="11" t="inlineStr">
        <is>
          <t>RP-0028</t>
        </is>
      </c>
      <c r="B29" s="12" t="inlineStr">
        <is>
          <t>2021</t>
        </is>
      </c>
      <c r="C29" s="11" t="n"/>
      <c r="D29" s="13" t="inlineStr">
        <is>
          <t>Archaeological Glories in Sri Lankan Museums</t>
        </is>
      </c>
      <c r="E29" s="13" t="inlineStr">
        <is>
          <t>S. Arulanantham</t>
        </is>
      </c>
      <c r="F29" s="13" t="inlineStr">
        <is>
          <t>Edited volume (ed. T. Mageswary)</t>
        </is>
      </c>
      <c r="G29" s="11" t="inlineStr">
        <is>
          <t>Book chapter</t>
        </is>
      </c>
      <c r="H29" s="11" t="inlineStr">
        <is>
          <t>Tamil</t>
        </is>
      </c>
      <c r="I29" s="13" t="inlineStr">
        <is>
          <t>Archaeology / தொல்லியல்</t>
        </is>
      </c>
      <c r="J29" s="13" t="inlineStr">
        <is>
          <t>museums; archaeology</t>
        </is>
      </c>
      <c r="K29" s="11" t="inlineStr">
        <is>
          <t>Yes</t>
        </is>
      </c>
      <c r="L29" s="13" t="n"/>
      <c r="M29" s="14" t="inlineStr">
        <is>
          <t>https://www.his.jfn.ac.lk/index.php/mrs-s-arulanantham/</t>
        </is>
      </c>
    </row>
    <row r="30">
      <c r="A30" s="7" t="inlineStr">
        <is>
          <t>RP-0029</t>
        </is>
      </c>
      <c r="B30" s="8" t="inlineStr">
        <is>
          <t>2021</t>
        </is>
      </c>
      <c r="C30" s="7" t="n"/>
      <c r="D30" s="9" t="inlineStr">
        <is>
          <t>Influences of Natural Science on Archaeology</t>
        </is>
      </c>
      <c r="E30" s="9" t="inlineStr">
        <is>
          <t>Thulasika Dineshan</t>
        </is>
      </c>
      <c r="F30" s="9" t="inlineStr">
        <is>
          <t>Aran International Journal of Tamil Research, Vol. 3, Issue 2</t>
        </is>
      </c>
      <c r="G30" s="7" t="inlineStr">
        <is>
          <t>Journal article</t>
        </is>
      </c>
      <c r="H30" s="7" t="inlineStr">
        <is>
          <t>Tamil</t>
        </is>
      </c>
      <c r="I30" s="9" t="inlineStr">
        <is>
          <t>Archaeology / தொல்லியல்</t>
        </is>
      </c>
      <c r="J30" s="9" t="inlineStr">
        <is>
          <t>தொல்லியல்; method</t>
        </is>
      </c>
      <c r="K30" s="7" t="inlineStr">
        <is>
          <t>Yes</t>
        </is>
      </c>
      <c r="L30" s="9" t="n"/>
      <c r="M30" s="10" t="inlineStr">
        <is>
          <t>https://www.his.jfn.ac.lk/?p=1706</t>
        </is>
      </c>
    </row>
    <row r="31">
      <c r="A31" s="11" t="inlineStr">
        <is>
          <t>RP-0030</t>
        </is>
      </c>
      <c r="B31" s="12" t="inlineStr">
        <is>
          <t>2021</t>
        </is>
      </c>
      <c r="C31" s="11" t="n"/>
      <c r="D31" s="13" t="inlineStr">
        <is>
          <t>Matrimonial Alliances between Tamil and Sinhala Royal Families in Sri Lanka: A Historical View</t>
        </is>
      </c>
      <c r="E31" s="13" t="inlineStr">
        <is>
          <t>S. Aniththa</t>
        </is>
      </c>
      <c r="F31" s="13" t="inlineStr">
        <is>
          <t>Journal of Jaffna Science Association, Vol. 3, Issue I</t>
        </is>
      </c>
      <c r="G31" s="11" t="inlineStr">
        <is>
          <t>Journal article</t>
        </is>
      </c>
      <c r="H31" s="11" t="inlineStr">
        <is>
          <t>English</t>
        </is>
      </c>
      <c r="I31" s="13" t="inlineStr">
        <is>
          <t>Inscriptions / கல்வெட்டு</t>
        </is>
      </c>
      <c r="J31" s="13" t="inlineStr">
        <is>
          <t>inscriptions; royal history</t>
        </is>
      </c>
      <c r="K31" s="11" t="inlineStr">
        <is>
          <t>Yes</t>
        </is>
      </c>
      <c r="L31" s="13" t="n"/>
      <c r="M31" s="14" t="inlineStr">
        <is>
          <t>https://www.his.jfn.ac.lk/index.php/__trashed/</t>
        </is>
      </c>
    </row>
    <row r="32">
      <c r="A32" s="7" t="inlineStr">
        <is>
          <t>RP-0031</t>
        </is>
      </c>
      <c r="B32" s="8" t="inlineStr">
        <is>
          <t>2021</t>
        </is>
      </c>
      <c r="C32" s="7" t="n"/>
      <c r="D32" s="9" t="inlineStr">
        <is>
          <t>Tamil Inscription Issued by Sinhala Kings during the Period of Polonnaruwa Kingdom: A Multi Dimensions</t>
        </is>
      </c>
      <c r="E32" s="9" t="inlineStr">
        <is>
          <t>S. Aniththa, P. Pushparatnam</t>
        </is>
      </c>
      <c r="F32" s="9" t="inlineStr">
        <is>
          <t>Palkalai, Vol. 2, Issue IX, Faculty of Arts, University of Peradeniya</t>
        </is>
      </c>
      <c r="G32" s="7" t="inlineStr">
        <is>
          <t>Journal article</t>
        </is>
      </c>
      <c r="H32" s="7" t="inlineStr">
        <is>
          <t>Tamil</t>
        </is>
      </c>
      <c r="I32" s="9" t="inlineStr">
        <is>
          <t>Inscriptions / கல்வெட்டு</t>
        </is>
      </c>
      <c r="J32" s="9" t="inlineStr">
        <is>
          <t>கல்வெட்டு; Polonnaruwa</t>
        </is>
      </c>
      <c r="K32" s="7" t="inlineStr">
        <is>
          <t>Yes</t>
        </is>
      </c>
      <c r="L32" s="9" t="n"/>
      <c r="M32" s="10" t="inlineStr">
        <is>
          <t>https://www.his.jfn.ac.lk/index.php/__trashed/</t>
        </is>
      </c>
    </row>
    <row r="33">
      <c r="A33" s="11" t="inlineStr">
        <is>
          <t>RP-0032</t>
        </is>
      </c>
      <c r="B33" s="12" t="inlineStr">
        <is>
          <t>2021</t>
        </is>
      </c>
      <c r="C33" s="11" t="inlineStr">
        <is>
          <t>2021-01-19</t>
        </is>
      </c>
      <c r="D33" s="13" t="inlineStr">
        <is>
          <t>Archaeological Research in Kaddukarai</t>
        </is>
      </c>
      <c r="E33" s="13" t="inlineStr">
        <is>
          <t>Thulasika Dineshan</t>
        </is>
      </c>
      <c r="F33" s="13" t="inlineStr">
        <is>
          <t>9th SEUSL International Arts Research Symposium 2020, p. 28 (ISBN 9789556272536)</t>
        </is>
      </c>
      <c r="G33" s="11" t="inlineStr">
        <is>
          <t>Conference paper</t>
        </is>
      </c>
      <c r="H33" s="11" t="inlineStr">
        <is>
          <t>English</t>
        </is>
      </c>
      <c r="I33" s="13" t="inlineStr">
        <is>
          <t>Archaeology / தொல்லியல்</t>
        </is>
      </c>
      <c r="J33" s="13" t="inlineStr">
        <is>
          <t>தொல்லியல்; Kattukarai; excavation</t>
        </is>
      </c>
      <c r="K33" s="11" t="inlineStr">
        <is>
          <t>Yes</t>
        </is>
      </c>
      <c r="L33" s="13" t="n"/>
      <c r="M33" s="14" t="inlineStr">
        <is>
          <t>https://dspace.lib.seu.ac.lk/items/d37186eb-584d-43c3-8284-8e7e285c22d1/full</t>
        </is>
      </c>
    </row>
    <row r="34">
      <c r="A34" s="7" t="inlineStr">
        <is>
          <t>RP-0033</t>
        </is>
      </c>
      <c r="B34" s="8" t="inlineStr">
        <is>
          <t>2020</t>
        </is>
      </c>
      <c r="C34" s="7" t="n"/>
      <c r="D34" s="9" t="inlineStr">
        <is>
          <t>Amazing Discovery of Burials in Northern Sri Lanka</t>
        </is>
      </c>
      <c r="E34" s="9" t="inlineStr">
        <is>
          <t>S. Sajitharan</t>
        </is>
      </c>
      <c r="F34" s="9" t="inlineStr">
        <is>
          <t>Aran International e-Journal of Tamil Research, Vol. 2, Issue 7</t>
        </is>
      </c>
      <c r="G34" s="7" t="inlineStr">
        <is>
          <t>Journal article</t>
        </is>
      </c>
      <c r="H34" s="7" t="inlineStr">
        <is>
          <t>Tamil</t>
        </is>
      </c>
      <c r="I34" s="9" t="inlineStr">
        <is>
          <t>Archaeology / தொல்லியல்</t>
        </is>
      </c>
      <c r="J34" s="9" t="inlineStr">
        <is>
          <t>burials; megalithic</t>
        </is>
      </c>
      <c r="K34" s="7" t="inlineStr">
        <is>
          <t>Yes</t>
        </is>
      </c>
      <c r="L34" s="9" t="n"/>
      <c r="M34" s="10" t="inlineStr">
        <is>
          <t>https://www.his.jfn.ac.lk/?p=791</t>
        </is>
      </c>
    </row>
    <row r="35">
      <c r="A35" s="11" t="inlineStr">
        <is>
          <t>RP-0034</t>
        </is>
      </c>
      <c r="B35" s="12" t="inlineStr">
        <is>
          <t>2020</t>
        </is>
      </c>
      <c r="C35" s="11" t="n"/>
      <c r="D35" s="13" t="inlineStr">
        <is>
          <t>Archaeological Heritage of Buddhism: A Study Based on Jaffna Peninsula</t>
        </is>
      </c>
      <c r="E35" s="13" t="inlineStr">
        <is>
          <t>S. Sajitharan</t>
        </is>
      </c>
      <c r="F35" s="13" t="inlineStr">
        <is>
          <t>CINTANAI (University of Jaffna)</t>
        </is>
      </c>
      <c r="G35" s="11" t="inlineStr">
        <is>
          <t>Journal article</t>
        </is>
      </c>
      <c r="H35" s="11" t="inlineStr">
        <is>
          <t>English</t>
        </is>
      </c>
      <c r="I35" s="13" t="inlineStr">
        <is>
          <t>Archaeology / தொல்லியல்</t>
        </is>
      </c>
      <c r="J35" s="13" t="inlineStr">
        <is>
          <t>archaeology; Buddhism</t>
        </is>
      </c>
      <c r="K35" s="11" t="inlineStr">
        <is>
          <t>Yes</t>
        </is>
      </c>
      <c r="L35" s="13" t="n"/>
      <c r="M35" s="14" t="inlineStr">
        <is>
          <t>https://www.his.jfn.ac.lk/?p=791</t>
        </is>
      </c>
    </row>
    <row r="36">
      <c r="A36" s="7" t="inlineStr">
        <is>
          <t>RP-0035</t>
        </is>
      </c>
      <c r="B36" s="8" t="inlineStr">
        <is>
          <t>2020</t>
        </is>
      </c>
      <c r="C36" s="7" t="n"/>
      <c r="D36" s="9" t="inlineStr">
        <is>
          <t>Megalithic Culture in Sri Lanka</t>
        </is>
      </c>
      <c r="E36" s="9" t="inlineStr">
        <is>
          <t>Thulasika Dineshan</t>
        </is>
      </c>
      <c r="F36" s="9" t="inlineStr">
        <is>
          <t>International Research Symposium, Pollachi, Tamil Nadu</t>
        </is>
      </c>
      <c r="G36" s="7" t="inlineStr">
        <is>
          <t>Conference paper</t>
        </is>
      </c>
      <c r="H36" s="7" t="inlineStr">
        <is>
          <t>English</t>
        </is>
      </c>
      <c r="I36" s="9" t="inlineStr">
        <is>
          <t>Archaeology / தொல்லியல்</t>
        </is>
      </c>
      <c r="J36" s="9" t="inlineStr">
        <is>
          <t>megalithic</t>
        </is>
      </c>
      <c r="K36" s="7" t="inlineStr">
        <is>
          <t>Yes</t>
        </is>
      </c>
      <c r="L36" s="9" t="n"/>
      <c r="M36" s="10" t="inlineStr">
        <is>
          <t>https://www.his.jfn.ac.lk/?p=1706</t>
        </is>
      </c>
    </row>
    <row r="37">
      <c r="A37" s="11" t="inlineStr">
        <is>
          <t>RP-0036</t>
        </is>
      </c>
      <c r="B37" s="12" t="inlineStr">
        <is>
          <t>2020</t>
        </is>
      </c>
      <c r="C37" s="11" t="n"/>
      <c r="D37" s="13" t="inlineStr">
        <is>
          <t>Painting and Its Special Preservation Activities - Based on Sigiriya Painting</t>
        </is>
      </c>
      <c r="E37" s="13" t="inlineStr">
        <is>
          <t>A. Suganthan</t>
        </is>
      </c>
      <c r="F37" s="13" t="inlineStr">
        <is>
          <t>National Research Symposium, Swami Vipulananda Institute of Aesthetic Studies, Eastern University</t>
        </is>
      </c>
      <c r="G37" s="11" t="inlineStr">
        <is>
          <t>Conference paper</t>
        </is>
      </c>
      <c r="H37" s="11" t="inlineStr">
        <is>
          <t>Tamil</t>
        </is>
      </c>
      <c r="I37" s="13" t="inlineStr">
        <is>
          <t>Rock art / பாறை ஓவியம்</t>
        </is>
      </c>
      <c r="J37" s="13" t="inlineStr">
        <is>
          <t>paintings; பாறை ஓவியம்; Sigiriya</t>
        </is>
      </c>
      <c r="K37" s="11" t="inlineStr">
        <is>
          <t>Yes</t>
        </is>
      </c>
      <c r="L37" s="13" t="n"/>
      <c r="M37" s="14" t="inlineStr">
        <is>
          <t>https://www.his.jfn.ac.lk/index.php/mrs-ajiththa-suganthan/</t>
        </is>
      </c>
    </row>
    <row r="38">
      <c r="A38" s="7" t="inlineStr">
        <is>
          <t>RP-0037</t>
        </is>
      </c>
      <c r="B38" s="8" t="inlineStr">
        <is>
          <t>2020</t>
        </is>
      </c>
      <c r="C38" s="7" t="n"/>
      <c r="D38" s="9" t="inlineStr">
        <is>
          <t>The Terracotta Figures that Reveal the Ancient Art History of the Tamil People - Based on Nagapaduwan</t>
        </is>
      </c>
      <c r="E38" s="9" t="inlineStr">
        <is>
          <t>Thulasika Dineshan</t>
        </is>
      </c>
      <c r="F38" s="9" t="inlineStr">
        <is>
          <t>National Research Symposium, Eastern University, Sri Lanka</t>
        </is>
      </c>
      <c r="G38" s="7" t="inlineStr">
        <is>
          <t>Conference paper</t>
        </is>
      </c>
      <c r="H38" s="7" t="inlineStr">
        <is>
          <t>English</t>
        </is>
      </c>
      <c r="I38" s="9" t="inlineStr">
        <is>
          <t>Archaeology / தொல்லியல்</t>
        </is>
      </c>
      <c r="J38" s="9" t="inlineStr">
        <is>
          <t>terracotta; Nagapaduvan; archaeology</t>
        </is>
      </c>
      <c r="K38" s="7" t="inlineStr">
        <is>
          <t>Yes</t>
        </is>
      </c>
      <c r="L38" s="9" t="n"/>
      <c r="M38" s="10" t="inlineStr">
        <is>
          <t>https://www.his.jfn.ac.lk/?p=1706</t>
        </is>
      </c>
    </row>
    <row r="39">
      <c r="A39" s="11" t="inlineStr">
        <is>
          <t>RP-0038</t>
        </is>
      </c>
      <c r="B39" s="12" t="inlineStr">
        <is>
          <t>2019</t>
        </is>
      </c>
      <c r="C39" s="11" t="n"/>
      <c r="D39" s="13" t="inlineStr">
        <is>
          <t>Identifying the Archaeological Evidence Revealing Hero Stone Worship in Classical Tamil Literature and Thirukkural</t>
        </is>
      </c>
      <c r="E39" s="13" t="inlineStr">
        <is>
          <t>S. Sajitharan</t>
        </is>
      </c>
      <c r="F39" s="13" t="inlineStr">
        <is>
          <t>Thirukkural World Conference, Kuala Lumpur</t>
        </is>
      </c>
      <c r="G39" s="11" t="inlineStr">
        <is>
          <t>Conference paper</t>
        </is>
      </c>
      <c r="H39" s="11" t="inlineStr">
        <is>
          <t>Tamil</t>
        </is>
      </c>
      <c r="I39" s="13" t="inlineStr">
        <is>
          <t>Archaeology / தொல்லியல்; Hero stones / நடுகல்</t>
        </is>
      </c>
      <c r="J39" s="13" t="inlineStr">
        <is>
          <t>நடுகல்; hero stone</t>
        </is>
      </c>
      <c r="K39" s="11" t="inlineStr">
        <is>
          <t>Yes</t>
        </is>
      </c>
      <c r="L39" s="13" t="n"/>
      <c r="M39" s="14" t="inlineStr">
        <is>
          <t>https://www.his.jfn.ac.lk/?p=791</t>
        </is>
      </c>
    </row>
    <row r="40">
      <c r="A40" s="7" t="inlineStr">
        <is>
          <t>RP-0039</t>
        </is>
      </c>
      <c r="B40" s="8" t="inlineStr">
        <is>
          <t>2019</t>
        </is>
      </c>
      <c r="C40" s="7" t="n"/>
      <c r="D40" s="9" t="inlineStr">
        <is>
          <t>The Ancestor Worship &amp; the Megalithic Burials - based on Thirukkural</t>
        </is>
      </c>
      <c r="E40" s="9" t="inlineStr">
        <is>
          <t>S. Sajitharan</t>
        </is>
      </c>
      <c r="F40" s="9" t="inlineStr">
        <is>
          <t>Thirukkural World Conference, Kuala Lumpur, pp. 237-245</t>
        </is>
      </c>
      <c r="G40" s="7" t="inlineStr">
        <is>
          <t>Conference paper</t>
        </is>
      </c>
      <c r="H40" s="7" t="inlineStr">
        <is>
          <t>Tamil</t>
        </is>
      </c>
      <c r="I40" s="9" t="inlineStr">
        <is>
          <t>Archaeology / தொல்லியல்</t>
        </is>
      </c>
      <c r="J40" s="9" t="inlineStr">
        <is>
          <t>megalithic; burials</t>
        </is>
      </c>
      <c r="K40" s="7" t="inlineStr">
        <is>
          <t>Yes</t>
        </is>
      </c>
      <c r="L40" s="9" t="n"/>
      <c r="M40" s="10" t="inlineStr">
        <is>
          <t>https://www.his.jfn.ac.lk/?p=791</t>
        </is>
      </c>
    </row>
    <row r="41">
      <c r="A41" s="11" t="inlineStr">
        <is>
          <t>RP-0040</t>
        </is>
      </c>
      <c r="B41" s="12" t="inlineStr">
        <is>
          <t>2019</t>
        </is>
      </c>
      <c r="C41" s="11" t="n"/>
      <c r="D41" s="13" t="inlineStr">
        <is>
          <t>The Antiquity of Jaffna Fort: New Evidence from Post-Disaster Archaeological Investigations in Northern Sri Lanka</t>
        </is>
      </c>
      <c r="E41" s="13" t="inlineStr">
        <is>
          <t>R. Coningham, C. Davis, P. Pushparatnam et al.</t>
        </is>
      </c>
      <c r="F41" s="13" t="inlineStr">
        <is>
          <t>Antiquity (Cambridge University Press)</t>
        </is>
      </c>
      <c r="G41" s="11" t="inlineStr">
        <is>
          <t>Journal article</t>
        </is>
      </c>
      <c r="H41" s="11" t="inlineStr">
        <is>
          <t>English</t>
        </is>
      </c>
      <c r="I41" s="13" t="inlineStr">
        <is>
          <t>Archaeology / தொல்லியல்</t>
        </is>
      </c>
      <c r="J41" s="13" t="inlineStr">
        <is>
          <t>தொல்லியல்; Jaffna Fort; excavation</t>
        </is>
      </c>
      <c r="K41" s="11" t="inlineStr">
        <is>
          <t>Yes</t>
        </is>
      </c>
      <c r="L41" s="13" t="inlineStr">
        <is>
          <t>Authors to verify</t>
        </is>
      </c>
      <c r="M41" s="14" t="inlineStr">
        <is>
          <t>https://www.cambridge.org/core/services/aop-cambridge-core/content/view/C55CDA3934CC5C18EE40B903734C7215/S0003598X19000309a.pdf/the-antiquity-of-jaffna-fort-new-evidence-from-post-disaster-archaeological-investigations-in-northern-sri-lanka.pdf</t>
        </is>
      </c>
    </row>
    <row r="42">
      <c r="A42" s="7" t="inlineStr">
        <is>
          <t>RP-0041</t>
        </is>
      </c>
      <c r="B42" s="8" t="inlineStr">
        <is>
          <t>2019</t>
        </is>
      </c>
      <c r="C42" s="7" t="n"/>
      <c r="D42" s="9" t="inlineStr">
        <is>
          <t>The Chola-period Hindu Temples and Culture in the Rule of Sinhala Kings: Based on Polonnaruwa Period</t>
        </is>
      </c>
      <c r="E42" s="9" t="inlineStr">
        <is>
          <t>S. Aniththa</t>
        </is>
      </c>
      <c r="F42" s="9" t="inlineStr">
        <is>
          <t>International Arts Research Symposium, South Eastern University</t>
        </is>
      </c>
      <c r="G42" s="7" t="inlineStr">
        <is>
          <t>Conference paper</t>
        </is>
      </c>
      <c r="H42" s="7" t="inlineStr">
        <is>
          <t>English</t>
        </is>
      </c>
      <c r="I42" s="9" t="n"/>
      <c r="J42" s="9" t="inlineStr">
        <is>
          <t>Chola; temples; Polonnaruwa</t>
        </is>
      </c>
      <c r="K42" s="7" t="inlineStr">
        <is>
          <t>Yes</t>
        </is>
      </c>
      <c r="L42" s="9" t="n"/>
      <c r="M42" s="10" t="inlineStr">
        <is>
          <t>https://www.his.jfn.ac.lk/index.php/__trashed/</t>
        </is>
      </c>
    </row>
    <row r="43">
      <c r="A43" s="11" t="inlineStr">
        <is>
          <t>RP-0042</t>
        </is>
      </c>
      <c r="B43" s="12" t="inlineStr">
        <is>
          <t>2019</t>
        </is>
      </c>
      <c r="C43" s="11" t="n"/>
      <c r="D43" s="13" t="inlineStr">
        <is>
          <t>The Creation of the King's Clan in Ilankai - An Analysis Based on Recent Archaeological Findings</t>
        </is>
      </c>
      <c r="E43" s="13" t="inlineStr">
        <is>
          <t>S. Sajitharan</t>
        </is>
      </c>
      <c r="F43" s="13" t="inlineStr">
        <is>
          <t>International Journal of Tamil Language and Literary Studies (IITS, Chennai), pp. 170-179</t>
        </is>
      </c>
      <c r="G43" s="11" t="inlineStr">
        <is>
          <t>Journal article</t>
        </is>
      </c>
      <c r="H43" s="11" t="inlineStr">
        <is>
          <t>Tamil</t>
        </is>
      </c>
      <c r="I43" s="13" t="inlineStr">
        <is>
          <t>Inscriptions / கல்வெட்டு; Archaeology / தொல்லியல்; Coins / நாணயம்</t>
        </is>
      </c>
      <c r="J43" s="13" t="inlineStr">
        <is>
          <t>archaeology; coins; seals</t>
        </is>
      </c>
      <c r="K43" s="11" t="inlineStr">
        <is>
          <t>Yes</t>
        </is>
      </c>
      <c r="L43" s="13" t="n"/>
      <c r="M43" s="14" t="inlineStr">
        <is>
          <t>https://www.his.jfn.ac.lk/?p=791</t>
        </is>
      </c>
    </row>
    <row r="44">
      <c r="A44" s="7" t="inlineStr">
        <is>
          <t>RP-0043</t>
        </is>
      </c>
      <c r="B44" s="8" t="inlineStr">
        <is>
          <t>2019</t>
        </is>
      </c>
      <c r="C44" s="7" t="inlineStr">
        <is>
          <t>2019-09-19</t>
        </is>
      </c>
      <c r="D44" s="9" t="inlineStr">
        <is>
          <t>Contested Histories, Multi-Religious Space and Conflict: A Case Study of Kantarodai in Northern Sri Lanka</t>
        </is>
      </c>
      <c r="E44" s="9" t="inlineStr">
        <is>
          <t>Elizabeth J. Harris</t>
        </is>
      </c>
      <c r="F44" s="9" t="inlineStr">
        <is>
          <t>Religions</t>
        </is>
      </c>
      <c r="G44" s="7" t="inlineStr">
        <is>
          <t>Journal article</t>
        </is>
      </c>
      <c r="H44" s="7" t="inlineStr">
        <is>
          <t>English</t>
        </is>
      </c>
      <c r="I44" s="9" t="n"/>
      <c r="J44" s="9" t="n"/>
      <c r="K44" s="7" t="inlineStr">
        <is>
          <t>Yes</t>
        </is>
      </c>
      <c r="L44" s="9" t="inlineStr">
        <is>
          <t>Crossref query: Kantarodai. Auto-collected 2026-10-14 (crossref); review.</t>
        </is>
      </c>
      <c r="M44" s="10" t="inlineStr">
        <is>
          <t>https://doi.org/10.3390/rel10090537</t>
        </is>
      </c>
    </row>
    <row r="45">
      <c r="A45" s="11" t="inlineStr">
        <is>
          <t>RP-0044</t>
        </is>
      </c>
      <c r="B45" s="12" t="inlineStr">
        <is>
          <t>2018</t>
        </is>
      </c>
      <c r="C45" s="11" t="n"/>
      <c r="D45" s="13" t="inlineStr">
        <is>
          <t>Hinduism in the Sinhala Monarchy of the Polonnaruwa Period</t>
        </is>
      </c>
      <c r="E45" s="13" t="inlineStr">
        <is>
          <t>S. Aniththa</t>
        </is>
      </c>
      <c r="F45" s="13" t="inlineStr">
        <is>
          <t>International Seminar, World Tamil Research Institute</t>
        </is>
      </c>
      <c r="G45" s="11" t="inlineStr">
        <is>
          <t>Conference paper</t>
        </is>
      </c>
      <c r="H45" s="11" t="inlineStr">
        <is>
          <t>Tamil</t>
        </is>
      </c>
      <c r="I45" s="13" t="inlineStr">
        <is>
          <t>Inscriptions / கல்வெட்டு</t>
        </is>
      </c>
      <c r="J45" s="13" t="inlineStr">
        <is>
          <t>Polonnaruwa; inscriptions</t>
        </is>
      </c>
      <c r="K45" s="11" t="inlineStr">
        <is>
          <t>Yes</t>
        </is>
      </c>
      <c r="L45" s="13" t="n"/>
      <c r="M45" s="14" t="inlineStr">
        <is>
          <t>https://www.his.jfn.ac.lk/index.php/__trashed/</t>
        </is>
      </c>
    </row>
    <row r="46">
      <c r="A46" s="7" t="inlineStr">
        <is>
          <t>RP-0045</t>
        </is>
      </c>
      <c r="B46" s="8" t="inlineStr">
        <is>
          <t>2018</t>
        </is>
      </c>
      <c r="C46" s="7" t="n"/>
      <c r="D46" s="9" t="inlineStr">
        <is>
          <t>Naguleshwaram Temple - Myths and Historical Facts</t>
        </is>
      </c>
      <c r="E46" s="9" t="inlineStr">
        <is>
          <t>S. Sajitharan</t>
        </is>
      </c>
      <c r="F46" s="9" t="inlineStr">
        <is>
          <t>Palkalai, Faculty of Arts, University of Peradeniya</t>
        </is>
      </c>
      <c r="G46" s="7" t="inlineStr">
        <is>
          <t>Journal article</t>
        </is>
      </c>
      <c r="H46" s="7" t="inlineStr">
        <is>
          <t>Tamil</t>
        </is>
      </c>
      <c r="I46" s="9" t="n"/>
      <c r="J46" s="9" t="inlineStr">
        <is>
          <t>temple; history</t>
        </is>
      </c>
      <c r="K46" s="7" t="inlineStr">
        <is>
          <t>Yes</t>
        </is>
      </c>
      <c r="L46" s="9" t="n"/>
      <c r="M46" s="10" t="inlineStr">
        <is>
          <t>https://www.his.jfn.ac.lk/?p=791</t>
        </is>
      </c>
    </row>
    <row r="47">
      <c r="A47" s="11" t="inlineStr">
        <is>
          <t>RP-0046</t>
        </is>
      </c>
      <c r="B47" s="12" t="inlineStr">
        <is>
          <t>2018</t>
        </is>
      </c>
      <c r="C47" s="11" t="n"/>
      <c r="D47" s="13" t="inlineStr">
        <is>
          <t>South Indian Influence in Jaffna Kingdom</t>
        </is>
      </c>
      <c r="E47" s="13" t="inlineStr">
        <is>
          <t>S. Sajitharan</t>
        </is>
      </c>
      <c r="F47" s="13" t="inlineStr">
        <is>
          <t>International Institute of Tamil Studies, Chennai</t>
        </is>
      </c>
      <c r="G47" s="11" t="inlineStr">
        <is>
          <t>Conference paper</t>
        </is>
      </c>
      <c r="H47" s="11" t="inlineStr">
        <is>
          <t>Tamil</t>
        </is>
      </c>
      <c r="I47" s="13" t="n"/>
      <c r="J47" s="13" t="inlineStr">
        <is>
          <t>Jaffna kingdom</t>
        </is>
      </c>
      <c r="K47" s="11" t="inlineStr">
        <is>
          <t>Yes</t>
        </is>
      </c>
      <c r="L47" s="13" t="n"/>
      <c r="M47" s="14" t="inlineStr">
        <is>
          <t>https://www.his.jfn.ac.lk/?p=791</t>
        </is>
      </c>
    </row>
    <row r="48">
      <c r="A48" s="7" t="inlineStr">
        <is>
          <t>RP-0047</t>
        </is>
      </c>
      <c r="B48" s="8" t="inlineStr">
        <is>
          <t>2018</t>
        </is>
      </c>
      <c r="C48" s="7" t="n"/>
      <c r="D48" s="9" t="inlineStr">
        <is>
          <t>The Challenges Faced in Protecting and Preserving Heritage Monuments: A Study Based on Jaffna</t>
        </is>
      </c>
      <c r="E48" s="9" t="inlineStr">
        <is>
          <t>S. Sajitharan</t>
        </is>
      </c>
      <c r="F48" s="9" t="inlineStr">
        <is>
          <t>CINTANAI, Vol. 2, pp. 63-77</t>
        </is>
      </c>
      <c r="G48" s="7" t="inlineStr">
        <is>
          <t>Journal article</t>
        </is>
      </c>
      <c r="H48" s="7" t="inlineStr">
        <is>
          <t>Tamil</t>
        </is>
      </c>
      <c r="I48" s="9" t="inlineStr">
        <is>
          <t>Archaeology / தொல்லியல்</t>
        </is>
      </c>
      <c r="J48" s="9" t="inlineStr">
        <is>
          <t>heritage; monuments</t>
        </is>
      </c>
      <c r="K48" s="7" t="inlineStr">
        <is>
          <t>Yes</t>
        </is>
      </c>
      <c r="L48" s="9" t="n"/>
      <c r="M48" s="10" t="inlineStr">
        <is>
          <t>https://www.his.jfn.ac.lk/?p=791</t>
        </is>
      </c>
    </row>
    <row r="49">
      <c r="A49" s="11" t="inlineStr">
        <is>
          <t>RP-0048</t>
        </is>
      </c>
      <c r="B49" s="12" t="inlineStr">
        <is>
          <t>2018</t>
        </is>
      </c>
      <c r="C49" s="11" t="n"/>
      <c r="D49" s="13" t="inlineStr">
        <is>
          <t>The Formation Period of Northern Sri Lanka - An Archaeological Survey Based on Rivers &amp; Ponds</t>
        </is>
      </c>
      <c r="E49" s="13" t="inlineStr">
        <is>
          <t>S. Sajitharan</t>
        </is>
      </c>
      <c r="F49" s="13" t="inlineStr">
        <is>
          <t>Sankara Publications, Kancheepuram</t>
        </is>
      </c>
      <c r="G49" s="11" t="inlineStr">
        <is>
          <t>Book chapter</t>
        </is>
      </c>
      <c r="H49" s="11" t="inlineStr">
        <is>
          <t>Tamil</t>
        </is>
      </c>
      <c r="I49" s="13" t="inlineStr">
        <is>
          <t>Archaeology / தொல்லியல்</t>
        </is>
      </c>
      <c r="J49" s="13" t="inlineStr">
        <is>
          <t>archaeological survey</t>
        </is>
      </c>
      <c r="K49" s="11" t="inlineStr">
        <is>
          <t>Yes</t>
        </is>
      </c>
      <c r="L49" s="13" t="n"/>
      <c r="M49" s="14" t="inlineStr">
        <is>
          <t>https://www.his.jfn.ac.lk/?p=791</t>
        </is>
      </c>
    </row>
    <row r="50">
      <c r="A50" s="7" t="inlineStr">
        <is>
          <t>RP-0049</t>
        </is>
      </c>
      <c r="B50" s="8" t="inlineStr">
        <is>
          <t>2018</t>
        </is>
      </c>
      <c r="C50" s="7" t="inlineStr">
        <is>
          <t>2018-12-17</t>
        </is>
      </c>
      <c r="D50" s="9" t="inlineStr">
        <is>
          <t>வட இலங்கையின் தொல்லியல் மரபுரிமை சின்னங்களும், அவற்றின் முகாமைத்துவமும் (யாழ் குடாநாட்டினை அடிப்படையாகக் கொண்ட ஆய்வு)</t>
        </is>
      </c>
      <c r="E50" s="9" t="inlineStr">
        <is>
          <t>S. Sivachchelvy</t>
        </is>
      </c>
      <c r="F50" s="9" t="inlineStr">
        <is>
          <t>8th International Symposium 2018, South Eastern University of Sri Lanka, pp. 527-536 (ISBN 978-955-627-141-6)</t>
        </is>
      </c>
      <c r="G50" s="7" t="inlineStr">
        <is>
          <t>Conference paper</t>
        </is>
      </c>
      <c r="H50" s="7" t="inlineStr">
        <is>
          <t>Tamil</t>
        </is>
      </c>
      <c r="I50" s="9" t="inlineStr">
        <is>
          <t>Archaeology / தொல்லியல்</t>
        </is>
      </c>
      <c r="J50" s="9" t="inlineStr">
        <is>
          <t>தொல்லியல்; heritage management</t>
        </is>
      </c>
      <c r="K50" s="7" t="inlineStr">
        <is>
          <t>Yes</t>
        </is>
      </c>
      <c r="L50" s="9" t="inlineStr">
        <is>
          <t>Year/author to verify</t>
        </is>
      </c>
      <c r="M50" s="10" t="inlineStr">
        <is>
          <t>https://dspace.lib.seu.ac.lk/items/d9c75f55-5065-4c9d-9c54-98ec1717f8d1</t>
        </is>
      </c>
    </row>
    <row r="51">
      <c r="A51" s="11" t="inlineStr">
        <is>
          <t>RP-0050</t>
        </is>
      </c>
      <c r="B51" s="12" t="inlineStr">
        <is>
          <t>2017</t>
        </is>
      </c>
      <c r="C51" s="11" t="n"/>
      <c r="D51" s="13" t="inlineStr">
        <is>
          <t>God Shiva in the Inscriptions of Cholas Found in Sri Lanka</t>
        </is>
      </c>
      <c r="E51" s="13" t="inlineStr">
        <is>
          <t>S. Sajitharan</t>
        </is>
      </c>
      <c r="F51" s="13" t="inlineStr">
        <is>
          <t>Second International Saiva Conference, University of Jaffna</t>
        </is>
      </c>
      <c r="G51" s="11" t="inlineStr">
        <is>
          <t>Conference paper</t>
        </is>
      </c>
      <c r="H51" s="11" t="inlineStr">
        <is>
          <t>Tamil</t>
        </is>
      </c>
      <c r="I51" s="13" t="inlineStr">
        <is>
          <t>Inscriptions / கல்வெட்டு</t>
        </is>
      </c>
      <c r="J51" s="13" t="inlineStr">
        <is>
          <t>Chola inscriptions; கல்வெட்டு</t>
        </is>
      </c>
      <c r="K51" s="11" t="inlineStr">
        <is>
          <t>Yes</t>
        </is>
      </c>
      <c r="L51" s="13" t="n"/>
      <c r="M51" s="14" t="inlineStr">
        <is>
          <t>https://www.his.jfn.ac.lk/?p=791</t>
        </is>
      </c>
    </row>
    <row r="52">
      <c r="A52" s="7" t="inlineStr">
        <is>
          <t>RP-0051</t>
        </is>
      </c>
      <c r="B52" s="8" t="inlineStr">
        <is>
          <t>2017</t>
        </is>
      </c>
      <c r="C52" s="7" t="n"/>
      <c r="D52" s="9" t="inlineStr">
        <is>
          <t>Role and Significance in Preserving Manuscripts of Siddha Medicine Found during the Jaffna Kingdom Period</t>
        </is>
      </c>
      <c r="E52" s="9" t="inlineStr">
        <is>
          <t>A. Suganthan</t>
        </is>
      </c>
      <c r="F52" s="9" t="inlineStr">
        <is>
          <t>National Archaeological Symposium</t>
        </is>
      </c>
      <c r="G52" s="7" t="inlineStr">
        <is>
          <t>Conference paper</t>
        </is>
      </c>
      <c r="H52" s="7" t="inlineStr">
        <is>
          <t>English</t>
        </is>
      </c>
      <c r="I52" s="9" t="n"/>
      <c r="J52" s="9" t="inlineStr">
        <is>
          <t>manuscripts; Jaffna kingdom</t>
        </is>
      </c>
      <c r="K52" s="7" t="inlineStr">
        <is>
          <t>Yes</t>
        </is>
      </c>
      <c r="L52" s="9" t="n"/>
      <c r="M52" s="10" t="inlineStr">
        <is>
          <t>https://www.his.jfn.ac.lk/index.php/mrs-ajiththa-suganthan/</t>
        </is>
      </c>
    </row>
    <row r="53">
      <c r="A53" s="11" t="inlineStr">
        <is>
          <t>RP-0052</t>
        </is>
      </c>
      <c r="B53" s="12" t="inlineStr">
        <is>
          <t>2017</t>
        </is>
      </c>
      <c r="C53" s="11" t="n"/>
      <c r="D53" s="13" t="inlineStr">
        <is>
          <t>The Megalithic Culture and the Classical Tamil Literatures: Comparative Research</t>
        </is>
      </c>
      <c r="E53" s="13" t="inlineStr">
        <is>
          <t>S. Sajitharan</t>
        </is>
      </c>
      <c r="F53" s="13" t="inlineStr">
        <is>
          <t>CINTANAI, Vol. 3, pp. 37-51</t>
        </is>
      </c>
      <c r="G53" s="11" t="inlineStr">
        <is>
          <t>Journal article</t>
        </is>
      </c>
      <c r="H53" s="11" t="inlineStr">
        <is>
          <t>Tamil</t>
        </is>
      </c>
      <c r="I53" s="13" t="inlineStr">
        <is>
          <t>Archaeology / தொல்லியல்</t>
        </is>
      </c>
      <c r="J53" s="13" t="inlineStr">
        <is>
          <t>megalithic</t>
        </is>
      </c>
      <c r="K53" s="11" t="inlineStr">
        <is>
          <t>Yes</t>
        </is>
      </c>
      <c r="L53" s="13" t="n"/>
      <c r="M53" s="14" t="inlineStr">
        <is>
          <t>https://www.his.jfn.ac.lk/?p=791</t>
        </is>
      </c>
    </row>
    <row r="54">
      <c r="A54" s="7" t="inlineStr">
        <is>
          <t>RP-0053</t>
        </is>
      </c>
      <c r="B54" s="8" t="inlineStr">
        <is>
          <t>2015</t>
        </is>
      </c>
      <c r="C54" s="7" t="n"/>
      <c r="D54" s="9" t="inlineStr">
        <is>
          <t>Relationship between Hindu-Islamic Culture via Copper Plates (Tamil Nadu)</t>
        </is>
      </c>
      <c r="E54" s="9" t="inlineStr">
        <is>
          <t>K. Arunthavarajah</t>
        </is>
      </c>
      <c r="F54" s="9" t="inlineStr">
        <is>
          <t>Second International Symposium, Faculty of Islamic Studies, South Eastern University</t>
        </is>
      </c>
      <c r="G54" s="7" t="inlineStr">
        <is>
          <t>Conference paper</t>
        </is>
      </c>
      <c r="H54" s="7" t="inlineStr">
        <is>
          <t>English</t>
        </is>
      </c>
      <c r="I54" s="9" t="inlineStr">
        <is>
          <t>Inscriptions / கல்வெட்டு</t>
        </is>
      </c>
      <c r="J54" s="9" t="inlineStr">
        <is>
          <t>copper plates; epigraphy</t>
        </is>
      </c>
      <c r="K54" s="7" t="inlineStr">
        <is>
          <t>Yes</t>
        </is>
      </c>
      <c r="L54" s="9" t="inlineStr">
        <is>
          <t>Tamil Nadu focus</t>
        </is>
      </c>
      <c r="M54" s="10" t="inlineStr">
        <is>
          <t>https://www.his.jfn.ac.lk/index.php/profkarunthavarajah/</t>
        </is>
      </c>
    </row>
    <row r="55">
      <c r="A55" s="11" t="inlineStr">
        <is>
          <t>RP-0054</t>
        </is>
      </c>
      <c r="B55" s="12" t="inlineStr">
        <is>
          <t>2015</t>
        </is>
      </c>
      <c r="C55" s="11" t="n"/>
      <c r="D55" s="13" t="inlineStr">
        <is>
          <t>Religion in Sangam Literature and Archaeological Evidence</t>
        </is>
      </c>
      <c r="E55" s="13" t="inlineStr">
        <is>
          <t>S. Arulanantham</t>
        </is>
      </c>
      <c r="F55" s="13" t="inlineStr">
        <is>
          <t>Annual Research Conference, Dept. of Tamil, University of Peradeniya</t>
        </is>
      </c>
      <c r="G55" s="11" t="inlineStr">
        <is>
          <t>Conference paper</t>
        </is>
      </c>
      <c r="H55" s="11" t="inlineStr">
        <is>
          <t>Tamil</t>
        </is>
      </c>
      <c r="I55" s="13" t="inlineStr">
        <is>
          <t>Archaeology / தொல்லியல்</t>
        </is>
      </c>
      <c r="J55" s="13" t="inlineStr">
        <is>
          <t>archaeology; Sangam</t>
        </is>
      </c>
      <c r="K55" s="11" t="inlineStr">
        <is>
          <t>Yes</t>
        </is>
      </c>
      <c r="L55" s="13" t="n"/>
      <c r="M55" s="14" t="inlineStr">
        <is>
          <t>https://www.his.jfn.ac.lk/index.php/mrs-s-arulanantham/</t>
        </is>
      </c>
    </row>
    <row r="56">
      <c r="A56" s="7" t="inlineStr">
        <is>
          <t>RP-0055</t>
        </is>
      </c>
      <c r="B56" s="8" t="inlineStr">
        <is>
          <t>2014</t>
        </is>
      </c>
      <c r="C56" s="7" t="n"/>
      <c r="D56" s="9" t="inlineStr">
        <is>
          <t>Tamil Brahmi Inscription Belonging to 2200 Years Ago, Discovered by German Archaeological Team in Southern Sri Lanka</t>
        </is>
      </c>
      <c r="E56" s="9" t="inlineStr">
        <is>
          <t>P. Pushparatnam</t>
        </is>
      </c>
      <c r="F56" s="9" t="inlineStr">
        <is>
          <t>Jaffna University International Research Conference (JUICE 2014)</t>
        </is>
      </c>
      <c r="G56" s="7" t="inlineStr">
        <is>
          <t>Conference paper</t>
        </is>
      </c>
      <c r="H56" s="7" t="inlineStr">
        <is>
          <t>English</t>
        </is>
      </c>
      <c r="I56" s="9" t="inlineStr">
        <is>
          <t>Inscriptions / கல்வெட்டு; Brahmi / பிராமி; Archaeology / தொல்லியல்</t>
        </is>
      </c>
      <c r="J56" s="9" t="inlineStr">
        <is>
          <t>Tamil Brahmi; Tissamaharama; potsherd</t>
        </is>
      </c>
      <c r="K56" s="7" t="inlineStr">
        <is>
          <t>Yes</t>
        </is>
      </c>
      <c r="L56" s="9" t="n"/>
      <c r="M56" s="10" t="inlineStr">
        <is>
          <t>https://rer.jfn.ac.lk/items/cf7a95e0-fe51-4ae1-88aa-4842327beb59/full</t>
        </is>
      </c>
    </row>
    <row r="57">
      <c r="A57" s="11" t="inlineStr">
        <is>
          <t>RP-0056</t>
        </is>
      </c>
      <c r="B57" s="12" t="inlineStr">
        <is>
          <t>2014</t>
        </is>
      </c>
      <c r="C57" s="11" t="n"/>
      <c r="D57" s="13" t="inlineStr">
        <is>
          <t>The Heritage Monuments of Jaffna Peninsula and their Preservation</t>
        </is>
      </c>
      <c r="E57" s="13" t="inlineStr">
        <is>
          <t>S. Sajitharan</t>
        </is>
      </c>
      <c r="F57" s="13" t="inlineStr">
        <is>
          <t>Proceedings of the National Archaeological Symposium 2014, Department of Archaeology</t>
        </is>
      </c>
      <c r="G57" s="11" t="inlineStr">
        <is>
          <t>Conference paper</t>
        </is>
      </c>
      <c r="H57" s="11" t="inlineStr">
        <is>
          <t>English</t>
        </is>
      </c>
      <c r="I57" s="13" t="inlineStr">
        <is>
          <t>Archaeology / தொல்லியல்</t>
        </is>
      </c>
      <c r="J57" s="13" t="inlineStr">
        <is>
          <t>heritage; monuments</t>
        </is>
      </c>
      <c r="K57" s="11" t="inlineStr">
        <is>
          <t>Yes</t>
        </is>
      </c>
      <c r="L57" s="13" t="n"/>
      <c r="M57" s="14" t="inlineStr">
        <is>
          <t>https://www.his.jfn.ac.lk/?p=791</t>
        </is>
      </c>
    </row>
    <row r="58">
      <c r="A58" s="7" t="inlineStr">
        <is>
          <t>RP-0057</t>
        </is>
      </c>
      <c r="B58" s="8" t="inlineStr">
        <is>
          <t>2013</t>
        </is>
      </c>
      <c r="C58" s="7" t="n"/>
      <c r="D58" s="9" t="inlineStr">
        <is>
          <t>Ancient Ports and their Cultural Influences in Northern Sri Lanka</t>
        </is>
      </c>
      <c r="E58" s="9" t="inlineStr">
        <is>
          <t>S. Arulanantham</t>
        </is>
      </c>
      <c r="F58" s="9" t="inlineStr">
        <is>
          <t>2nd Annual Research Conference, South Eastern University</t>
        </is>
      </c>
      <c r="G58" s="7" t="inlineStr">
        <is>
          <t>Conference paper</t>
        </is>
      </c>
      <c r="H58" s="7" t="inlineStr">
        <is>
          <t>English</t>
        </is>
      </c>
      <c r="I58" s="9" t="inlineStr">
        <is>
          <t>Archaeology / தொல்லியல்</t>
        </is>
      </c>
      <c r="J58" s="9" t="inlineStr">
        <is>
          <t>ports; archaeology</t>
        </is>
      </c>
      <c r="K58" s="7" t="inlineStr">
        <is>
          <t>Yes</t>
        </is>
      </c>
      <c r="L58" s="9" t="n"/>
      <c r="M58" s="10" t="inlineStr">
        <is>
          <t>https://www.his.jfn.ac.lk/index.php/mrs-s-arulanantham/</t>
        </is>
      </c>
    </row>
    <row r="59">
      <c r="A59" s="11" t="inlineStr">
        <is>
          <t>RP-0058</t>
        </is>
      </c>
      <c r="B59" s="12" t="inlineStr">
        <is>
          <t>2011</t>
        </is>
      </c>
      <c r="C59" s="11" t="n"/>
      <c r="D59" s="13" t="inlineStr">
        <is>
          <t>South India-Sri Lanka Political Relations up to the Chola Period</t>
        </is>
      </c>
      <c r="E59" s="13" t="inlineStr">
        <is>
          <t>K. Arunthavarajah</t>
        </is>
      </c>
      <c r="F59" s="13" t="inlineStr">
        <is>
          <t>International Conference, Manonmaniam Sundaranar University</t>
        </is>
      </c>
      <c r="G59" s="11" t="inlineStr">
        <is>
          <t>Conference paper</t>
        </is>
      </c>
      <c r="H59" s="11" t="inlineStr">
        <is>
          <t>Tamil</t>
        </is>
      </c>
      <c r="I59" s="13" t="n"/>
      <c r="J59" s="13" t="inlineStr">
        <is>
          <t>Chola; relations</t>
        </is>
      </c>
      <c r="K59" s="11" t="inlineStr">
        <is>
          <t>Yes</t>
        </is>
      </c>
      <c r="L59" s="13" t="n"/>
      <c r="M59" s="14" t="inlineStr">
        <is>
          <t>https://www.his.jfn.ac.lk/index.php/profkarunthavarajah/</t>
        </is>
      </c>
    </row>
    <row r="60">
      <c r="A60" s="7" t="inlineStr">
        <is>
          <t>RP-0059</t>
        </is>
      </c>
      <c r="B60" s="8" t="inlineStr">
        <is>
          <t>2011</t>
        </is>
      </c>
      <c r="C60" s="7" t="n"/>
      <c r="D60" s="9" t="inlineStr">
        <is>
          <t>The Antiquity of Sri Lankan Tamils</t>
        </is>
      </c>
      <c r="E60" s="9" t="inlineStr">
        <is>
          <t>K. Arunthavarajah</t>
        </is>
      </c>
      <c r="F60" s="9" t="inlineStr">
        <is>
          <t>9th World Conference, Thiruvaiyaru</t>
        </is>
      </c>
      <c r="G60" s="7" t="inlineStr">
        <is>
          <t>Conference paper</t>
        </is>
      </c>
      <c r="H60" s="7" t="inlineStr">
        <is>
          <t>Tamil</t>
        </is>
      </c>
      <c r="I60" s="9" t="n"/>
      <c r="J60" s="9" t="inlineStr">
        <is>
          <t>antiquity; Tamils</t>
        </is>
      </c>
      <c r="K60" s="7" t="inlineStr">
        <is>
          <t>Yes</t>
        </is>
      </c>
      <c r="L60" s="9" t="n"/>
      <c r="M60" s="10" t="inlineStr">
        <is>
          <t>https://www.his.jfn.ac.lk/index.php/profkarunthavarajah/</t>
        </is>
      </c>
    </row>
    <row r="61">
      <c r="A61" s="11" t="inlineStr">
        <is>
          <t>RP-0060</t>
        </is>
      </c>
      <c r="B61" s="12" t="inlineStr">
        <is>
          <t>2010</t>
        </is>
      </c>
      <c r="C61" s="11" t="n"/>
      <c r="D61" s="13" t="inlineStr">
        <is>
          <t>Chola Military Expeditions on Sri Lanka</t>
        </is>
      </c>
      <c r="E61" s="13" t="inlineStr">
        <is>
          <t>K. Arunthavarajah</t>
        </is>
      </c>
      <c r="F61" s="13" t="inlineStr">
        <is>
          <t>ICHR National Seminar, Madurai</t>
        </is>
      </c>
      <c r="G61" s="11" t="inlineStr">
        <is>
          <t>Conference paper</t>
        </is>
      </c>
      <c r="H61" s="11" t="inlineStr">
        <is>
          <t>English</t>
        </is>
      </c>
      <c r="I61" s="13" t="n"/>
      <c r="J61" s="13" t="inlineStr">
        <is>
          <t>Chola</t>
        </is>
      </c>
      <c r="K61" s="11" t="inlineStr">
        <is>
          <t>Yes</t>
        </is>
      </c>
      <c r="L61" s="13" t="n"/>
      <c r="M61" s="14" t="inlineStr">
        <is>
          <t>https://www.his.jfn.ac.lk/index.php/profkarunthavarajah/</t>
        </is>
      </c>
    </row>
    <row r="62">
      <c r="A62" s="7" t="inlineStr">
        <is>
          <t>RP-0061</t>
        </is>
      </c>
      <c r="B62" s="8" t="inlineStr">
        <is>
          <t>2010</t>
        </is>
      </c>
      <c r="C62" s="7" t="n"/>
      <c r="D62" s="9" t="inlineStr">
        <is>
          <t>Nallur Kandasamy Temple as the Symbol of Traditional Tamil Culture - Historical and Archaeological Perspective</t>
        </is>
      </c>
      <c r="E62" s="9" t="inlineStr">
        <is>
          <t>S. Arulanantham</t>
        </is>
      </c>
      <c r="F62" s="9" t="inlineStr">
        <is>
          <t>Varalarulla, Jaffna</t>
        </is>
      </c>
      <c r="G62" s="7" t="inlineStr">
        <is>
          <t>Book chapter</t>
        </is>
      </c>
      <c r="H62" s="7" t="inlineStr">
        <is>
          <t>Tamil</t>
        </is>
      </c>
      <c r="I62" s="9" t="inlineStr">
        <is>
          <t>Archaeology / தொல்லியல்</t>
        </is>
      </c>
      <c r="J62" s="9" t="inlineStr">
        <is>
          <t>archaeology; Nallur</t>
        </is>
      </c>
      <c r="K62" s="7" t="inlineStr">
        <is>
          <t>Yes</t>
        </is>
      </c>
      <c r="L62" s="9" t="n"/>
      <c r="M62" s="10" t="inlineStr">
        <is>
          <t>https://www.his.jfn.ac.lk/index.php/mrs-s-arulanantham/</t>
        </is>
      </c>
    </row>
    <row r="63">
      <c r="A63" s="11" t="inlineStr">
        <is>
          <t>RP-0062</t>
        </is>
      </c>
      <c r="B63" s="12" t="inlineStr">
        <is>
          <t>2010</t>
        </is>
      </c>
      <c r="C63" s="11" t="n"/>
      <c r="D63" s="13" t="inlineStr">
        <is>
          <t>Was the German reading of the Tissamaharama Brahmi inscription a scholarly misdirection? (in Sinhala)</t>
        </is>
      </c>
      <c r="E63" s="13" t="inlineStr">
        <is>
          <t>R. Somadeva</t>
        </is>
      </c>
      <c r="F63" s="13" t="inlineStr">
        <is>
          <t>Dinithi, Vol. 1, Part IV, pp. 2-5</t>
        </is>
      </c>
      <c r="G63" s="11" t="inlineStr">
        <is>
          <t>Journal article</t>
        </is>
      </c>
      <c r="H63" s="11" t="inlineStr">
        <is>
          <t>Sinhala</t>
        </is>
      </c>
      <c r="I63" s="13" t="inlineStr">
        <is>
          <t>Inscriptions / கல்வெட்டு; Brahmi / பிராமி</t>
        </is>
      </c>
      <c r="J63" s="13" t="inlineStr">
        <is>
          <t>Tissamaharama; Tamil Brahmi debate</t>
        </is>
      </c>
      <c r="K63" s="11" t="inlineStr">
        <is>
          <t>Yes</t>
        </is>
      </c>
      <c r="L63" s="13" t="inlineStr">
        <is>
          <t>ISSN 2012-7189</t>
        </is>
      </c>
      <c r="M63" s="14" t="inlineStr">
        <is>
          <t>https://www.lankapradeepa.com/2020/04/tamil-inscriptions-in-sri-lanka_16.html</t>
        </is>
      </c>
    </row>
    <row r="64">
      <c r="A64" s="7" t="inlineStr">
        <is>
          <t>RP-0063</t>
        </is>
      </c>
      <c r="B64" s="8" t="inlineStr">
        <is>
          <t>2009</t>
        </is>
      </c>
      <c r="C64" s="7" t="n"/>
      <c r="D64" s="9" t="inlineStr">
        <is>
          <t>Nationalism, Historiography and Archaeology in Sri Lanka</t>
        </is>
      </c>
      <c r="E64" s="9" t="inlineStr">
        <is>
          <t>S. Sitrampalam</t>
        </is>
      </c>
      <c r="F64" s="9" t="inlineStr">
        <is>
          <t>Pathways of Dissent: Tamil Nationalism in Sri Lanka</t>
        </is>
      </c>
      <c r="G64" s="7" t="inlineStr">
        <is>
          <t>Book chapter</t>
        </is>
      </c>
      <c r="H64" s="7" t="inlineStr">
        <is>
          <t>English</t>
        </is>
      </c>
      <c r="I64" s="9" t="inlineStr">
        <is>
          <t>Archaeology / தொல்லியல்</t>
        </is>
      </c>
      <c r="J64" s="9" t="inlineStr">
        <is>
          <t>archaeology</t>
        </is>
      </c>
      <c r="K64" s="7" t="inlineStr">
        <is>
          <t>Yes</t>
        </is>
      </c>
      <c r="L64" s="9" t="inlineStr">
        <is>
          <t>Crossref query: Tamil inscription Sri Lanka. Auto-collected 2026-10-14 (crossref); review.</t>
        </is>
      </c>
      <c r="M64" s="10" t="inlineStr">
        <is>
          <t>https://doi.org/10.4135/9788132104322.n1</t>
        </is>
      </c>
    </row>
    <row r="65">
      <c r="A65" s="11" t="inlineStr">
        <is>
          <t>RP-0064</t>
        </is>
      </c>
      <c r="B65" s="12" t="inlineStr">
        <is>
          <t>2006</t>
        </is>
      </c>
      <c r="C65" s="11" t="n"/>
      <c r="D65" s="13" t="inlineStr">
        <is>
          <t>Hindu and Buddhist Architecture in Sri Lanka</t>
        </is>
      </c>
      <c r="E65" s="13" t="inlineStr">
        <is>
          <t>S. Pathmanathan</t>
        </is>
      </c>
      <c r="F65" s="13" t="inlineStr">
        <is>
          <t>Sangam: Essays in Honour of Dr R. Krishnamurthy, Chennai</t>
        </is>
      </c>
      <c r="G65" s="11" t="inlineStr">
        <is>
          <t>Book chapter</t>
        </is>
      </c>
      <c r="H65" s="11" t="inlineStr">
        <is>
          <t>English</t>
        </is>
      </c>
      <c r="I65" s="13" t="n"/>
      <c r="J65" s="13" t="inlineStr">
        <is>
          <t>architecture</t>
        </is>
      </c>
      <c r="K65" s="11" t="inlineStr">
        <is>
          <t>Yes</t>
        </is>
      </c>
      <c r="L65" s="13" t="n"/>
      <c r="M65" s="14" t="inlineStr">
        <is>
          <t>https://jfn.ac.lk/prof-s-pathmanathan/</t>
        </is>
      </c>
    </row>
    <row r="66">
      <c r="A66" s="7" t="inlineStr">
        <is>
          <t>RP-0065</t>
        </is>
      </c>
      <c r="B66" s="8" t="inlineStr">
        <is>
          <t>2005</t>
        </is>
      </c>
      <c r="C66" s="7" t="n"/>
      <c r="D66" s="9" t="inlineStr">
        <is>
          <t>The Kingdom of Jaffna before the Portuguese Conquest</t>
        </is>
      </c>
      <c r="E66" s="9" t="inlineStr">
        <is>
          <t>S. Pathmanathan</t>
        </is>
      </c>
      <c r="F66" s="9" t="inlineStr">
        <is>
          <t>For Such a Time As This, American Ceylon Mission Press</t>
        </is>
      </c>
      <c r="G66" s="7" t="inlineStr">
        <is>
          <t>Book chapter</t>
        </is>
      </c>
      <c r="H66" s="7" t="inlineStr">
        <is>
          <t>English</t>
        </is>
      </c>
      <c r="I66" s="9" t="n"/>
      <c r="J66" s="9" t="inlineStr">
        <is>
          <t>Jaffna kingdom</t>
        </is>
      </c>
      <c r="K66" s="7" t="inlineStr">
        <is>
          <t>Yes</t>
        </is>
      </c>
      <c r="L66" s="9" t="n"/>
      <c r="M66" s="10" t="inlineStr">
        <is>
          <t>https://jfn.ac.lk/prof-s-pathmanathan/</t>
        </is>
      </c>
    </row>
    <row r="67">
      <c r="A67" s="11" t="inlineStr">
        <is>
          <t>RP-0066</t>
        </is>
      </c>
      <c r="B67" s="12" t="inlineStr">
        <is>
          <t>2004</t>
        </is>
      </c>
      <c r="C67" s="11" t="n"/>
      <c r="D67" s="13" t="inlineStr">
        <is>
          <t>New Light on the Decline of Polonnaruwa (1196-1215): The Tamil Pillar Inscription from Rankot Vihara</t>
        </is>
      </c>
      <c r="E67" s="13" t="inlineStr">
        <is>
          <t>S. Pathmanathan</t>
        </is>
      </c>
      <c r="F67" s="13" t="inlineStr">
        <is>
          <t>Proceedings of the Peradeniya University Research Sessions, Vol. 9, p. 31</t>
        </is>
      </c>
      <c r="G67" s="11" t="inlineStr">
        <is>
          <t>Journal article</t>
        </is>
      </c>
      <c r="H67" s="11" t="inlineStr">
        <is>
          <t>English</t>
        </is>
      </c>
      <c r="I67" s="13" t="inlineStr">
        <is>
          <t>Inscriptions / கல்வெட்டு</t>
        </is>
      </c>
      <c r="J67" s="13" t="inlineStr">
        <is>
          <t>கல்வெட்டு; Rankot Vihara; Polonnaruwa</t>
        </is>
      </c>
      <c r="K67" s="11" t="inlineStr">
        <is>
          <t>Yes</t>
        </is>
      </c>
      <c r="L67" s="13" t="inlineStr">
        <is>
          <t>Cited in Lanka Pradeepa list</t>
        </is>
      </c>
      <c r="M67" s="14" t="inlineStr">
        <is>
          <t>https://www.lankapradeepa.com/2020/04/tamil-inscriptions-in-sri-lanka_16.html</t>
        </is>
      </c>
    </row>
    <row r="68">
      <c r="A68" s="7" t="inlineStr">
        <is>
          <t>RP-0067</t>
        </is>
      </c>
      <c r="B68" s="8" t="inlineStr">
        <is>
          <t>2003</t>
        </is>
      </c>
      <c r="C68" s="7" t="n"/>
      <c r="D68" s="9" t="inlineStr">
        <is>
          <t>Hindu Bronzes of the Polonnaruva Period</t>
        </is>
      </c>
      <c r="E68" s="9" t="inlineStr">
        <is>
          <t>S. Pathmanathan</t>
        </is>
      </c>
      <c r="F68" s="9" t="inlineStr">
        <is>
          <t>2nd World Hindu Conference Souvenir</t>
        </is>
      </c>
      <c r="G68" s="7" t="inlineStr">
        <is>
          <t>Book chapter</t>
        </is>
      </c>
      <c r="H68" s="7" t="inlineStr">
        <is>
          <t>English</t>
        </is>
      </c>
      <c r="I68" s="9" t="n"/>
      <c r="J68" s="9" t="inlineStr">
        <is>
          <t>bronzes; Polonnaruwa</t>
        </is>
      </c>
      <c r="K68" s="7" t="inlineStr">
        <is>
          <t>Yes</t>
        </is>
      </c>
      <c r="L68" s="9" t="n"/>
      <c r="M68" s="10" t="inlineStr">
        <is>
          <t>https://jfn.ac.lk/prof-s-pathmanathan/</t>
        </is>
      </c>
    </row>
    <row r="69">
      <c r="A69" s="11" t="inlineStr">
        <is>
          <t>RP-0068</t>
        </is>
      </c>
      <c r="B69" s="12" t="inlineStr">
        <is>
          <t>2003</t>
        </is>
      </c>
      <c r="C69" s="11" t="n"/>
      <c r="D69" s="13" t="inlineStr">
        <is>
          <t>Some Bronzes from the Jetavanarama Site</t>
        </is>
      </c>
      <c r="E69" s="13" t="inlineStr">
        <is>
          <t>S. Pathmanathan</t>
        </is>
      </c>
      <c r="F69" s="13" t="inlineStr">
        <is>
          <t>Glimpses of Hindu Heritage</t>
        </is>
      </c>
      <c r="G69" s="11" t="inlineStr">
        <is>
          <t>Book chapter</t>
        </is>
      </c>
      <c r="H69" s="11" t="inlineStr">
        <is>
          <t>English</t>
        </is>
      </c>
      <c r="I69" s="13" t="inlineStr">
        <is>
          <t>Archaeology / தொல்லியல்</t>
        </is>
      </c>
      <c r="J69" s="13" t="inlineStr">
        <is>
          <t>bronzes; archaeology</t>
        </is>
      </c>
      <c r="K69" s="11" t="inlineStr">
        <is>
          <t>Yes</t>
        </is>
      </c>
      <c r="L69" s="13" t="n"/>
      <c r="M69" s="14" t="inlineStr">
        <is>
          <t>https://jfn.ac.lk/prof-s-pathmanathan/</t>
        </is>
      </c>
    </row>
    <row r="70">
      <c r="A70" s="7" t="inlineStr">
        <is>
          <t>RP-0069</t>
        </is>
      </c>
      <c r="B70" s="8" t="inlineStr">
        <is>
          <t>2002</t>
        </is>
      </c>
      <c r="C70" s="7" t="n"/>
      <c r="D70" s="9" t="inlineStr">
        <is>
          <t>Buddhism in Nakapattinam (and related inscription studies)</t>
        </is>
      </c>
      <c r="E70" s="9" t="inlineStr">
        <is>
          <t>S. Pathmanathan</t>
        </is>
      </c>
      <c r="F70" s="9" t="inlineStr">
        <is>
          <t>Buddhism among Tamils in Pre-Colonial Tamilakam and Ilam, Uppsala</t>
        </is>
      </c>
      <c r="G70" s="7" t="inlineStr">
        <is>
          <t>Book chapter</t>
        </is>
      </c>
      <c r="H70" s="7" t="inlineStr">
        <is>
          <t>English</t>
        </is>
      </c>
      <c r="I70" s="9" t="inlineStr">
        <is>
          <t>Inscriptions / கல்வெட்டு</t>
        </is>
      </c>
      <c r="J70" s="9" t="inlineStr">
        <is>
          <t>Buddhism; inscriptions</t>
        </is>
      </c>
      <c r="K70" s="7" t="inlineStr">
        <is>
          <t>Yes</t>
        </is>
      </c>
      <c r="L70" s="9" t="n"/>
      <c r="M70" s="10" t="inlineStr">
        <is>
          <t>https://jfn.ac.lk/prof-s-pathmanathan/</t>
        </is>
      </c>
    </row>
    <row r="71">
      <c r="A71" s="11" t="inlineStr">
        <is>
          <t>RP-0070</t>
        </is>
      </c>
      <c r="B71" s="12" t="inlineStr">
        <is>
          <t>2002</t>
        </is>
      </c>
      <c r="C71" s="11" t="n"/>
      <c r="D71" s="13" t="inlineStr">
        <is>
          <t>The Lankatilaka Temple: Inscriptions of a Merchant Community</t>
        </is>
      </c>
      <c r="E71" s="13" t="inlineStr">
        <is>
          <t>S. Pathmanathan</t>
        </is>
      </c>
      <c r="F71" s="13" t="inlineStr">
        <is>
          <t>Taisho University Project Report (ed. N. Karashima)</t>
        </is>
      </c>
      <c r="G71" s="11" t="inlineStr">
        <is>
          <t>Book chapter</t>
        </is>
      </c>
      <c r="H71" s="11" t="inlineStr">
        <is>
          <t>English</t>
        </is>
      </c>
      <c r="I71" s="13" t="inlineStr">
        <is>
          <t>Inscriptions / கல்வெட்டு</t>
        </is>
      </c>
      <c r="J71" s="13" t="inlineStr">
        <is>
          <t>inscriptions; merchant community</t>
        </is>
      </c>
      <c r="K71" s="11" t="inlineStr">
        <is>
          <t>Yes</t>
        </is>
      </c>
      <c r="L71" s="13" t="n"/>
      <c r="M71" s="14" t="inlineStr">
        <is>
          <t>https://jfn.ac.lk/prof-s-pathmanathan/</t>
        </is>
      </c>
    </row>
    <row r="72">
      <c r="A72" s="7" t="inlineStr">
        <is>
          <t>RP-0071</t>
        </is>
      </c>
      <c r="B72" s="8" t="inlineStr">
        <is>
          <t>2000</t>
        </is>
      </c>
      <c r="C72" s="7" t="n"/>
      <c r="D72" s="9" t="inlineStr">
        <is>
          <t>The Nakaram of the Nanadesis: The Tanmacakarappattinam at Viharehinna</t>
        </is>
      </c>
      <c r="E72" s="9" t="inlineStr">
        <is>
          <t>S. Pathmanathan</t>
        </is>
      </c>
      <c r="F72" s="9" t="inlineStr">
        <is>
          <t>Sri Lanka Journal of the Humanities, Vols. XXIV-XXV (1998-99)</t>
        </is>
      </c>
      <c r="G72" s="7" t="inlineStr">
        <is>
          <t>Journal article</t>
        </is>
      </c>
      <c r="H72" s="7" t="inlineStr">
        <is>
          <t>English</t>
        </is>
      </c>
      <c r="I72" s="9" t="inlineStr">
        <is>
          <t>Inscriptions / கல்வெட்டு</t>
        </is>
      </c>
      <c r="J72" s="9" t="inlineStr">
        <is>
          <t>merchant guild; inscription; Nanadesi</t>
        </is>
      </c>
      <c r="K72" s="7" t="inlineStr">
        <is>
          <t>Yes</t>
        </is>
      </c>
      <c r="L72" s="9" t="n"/>
      <c r="M72" s="10" t="inlineStr">
        <is>
          <t>https://jfn.ac.lk/prof-s-pathmanathan/</t>
        </is>
      </c>
    </row>
    <row r="73">
      <c r="A73" s="11" t="inlineStr">
        <is>
          <t>RP-0072</t>
        </is>
      </c>
      <c r="B73" s="12" t="inlineStr">
        <is>
          <t>2000</t>
        </is>
      </c>
      <c r="C73" s="11" t="n"/>
      <c r="D73" s="13" t="inlineStr">
        <is>
          <t>Trade and Urbanization in Medieval Sri Lanka</t>
        </is>
      </c>
      <c r="E73" s="13" t="inlineStr">
        <is>
          <t>S. Pathmanathan</t>
        </is>
      </c>
      <c r="F73" s="13" t="inlineStr">
        <is>
          <t>Reflections on a Heritage, Central Cultural Fund</t>
        </is>
      </c>
      <c r="G73" s="11" t="inlineStr">
        <is>
          <t>Book chapter</t>
        </is>
      </c>
      <c r="H73" s="11" t="inlineStr">
        <is>
          <t>English</t>
        </is>
      </c>
      <c r="I73" s="13" t="inlineStr">
        <is>
          <t>Inscriptions / கல்வெட்டு</t>
        </is>
      </c>
      <c r="J73" s="13" t="inlineStr">
        <is>
          <t>trade; inscriptions</t>
        </is>
      </c>
      <c r="K73" s="11" t="inlineStr">
        <is>
          <t>Yes</t>
        </is>
      </c>
      <c r="L73" s="13" t="n"/>
      <c r="M73" s="14" t="inlineStr">
        <is>
          <t>https://jfn.ac.lk/prof-s-pathmanathan/</t>
        </is>
      </c>
    </row>
    <row r="74">
      <c r="A74" s="7" t="inlineStr">
        <is>
          <t>RP-0073</t>
        </is>
      </c>
      <c r="B74" s="8" t="inlineStr">
        <is>
          <t>1998</t>
        </is>
      </c>
      <c r="C74" s="7" t="n"/>
      <c r="D74" s="9" t="inlineStr">
        <is>
          <t>The Annaikoddai Seal: Beyond the Homelands Approach (in Sinhala)</t>
        </is>
      </c>
      <c r="E74" s="9" t="inlineStr">
        <is>
          <t>R. Somadeva</t>
        </is>
      </c>
      <c r="F74" s="9" t="inlineStr">
        <is>
          <t>In P. Gunawardhana et al. (eds.), Sarasavi, pp. 39-49</t>
        </is>
      </c>
      <c r="G74" s="7" t="inlineStr">
        <is>
          <t>Book chapter</t>
        </is>
      </c>
      <c r="H74" s="7" t="inlineStr">
        <is>
          <t>Sinhala</t>
        </is>
      </c>
      <c r="I74" s="9" t="inlineStr">
        <is>
          <t>Inscriptions / கல்வெட்டு; Brahmi / பிராமி</t>
        </is>
      </c>
      <c r="J74" s="9" t="inlineStr">
        <is>
          <t>Anaikoddai seal; Tamil Brahmi</t>
        </is>
      </c>
      <c r="K74" s="7" t="inlineStr">
        <is>
          <t>Yes</t>
        </is>
      </c>
      <c r="L74" s="9" t="inlineStr">
        <is>
          <t>ISBN 955-96402-0-3</t>
        </is>
      </c>
      <c r="M74" s="10" t="inlineStr">
        <is>
          <t>https://www.lankapradeepa.com/2020/04/tamil-inscriptions-in-sri-lanka_16.html</t>
        </is>
      </c>
    </row>
    <row r="75">
      <c r="A75" s="11" t="inlineStr">
        <is>
          <t>RP-0074</t>
        </is>
      </c>
      <c r="B75" s="12" t="inlineStr">
        <is>
          <t>1997</t>
        </is>
      </c>
      <c r="C75" s="11" t="n"/>
      <c r="D75" s="13" t="inlineStr">
        <is>
          <t>The Akkacalaip-perumpalli at Nakapattinam</t>
        </is>
      </c>
      <c r="E75" s="13" t="inlineStr">
        <is>
          <t>S. Pathmanathan</t>
        </is>
      </c>
      <c r="F75" s="13" t="inlineStr">
        <is>
          <t>Sri Lanka Journal of the Humanities, Vol. XXIII</t>
        </is>
      </c>
      <c r="G75" s="11" t="inlineStr">
        <is>
          <t>Journal article</t>
        </is>
      </c>
      <c r="H75" s="11" t="inlineStr">
        <is>
          <t>English</t>
        </is>
      </c>
      <c r="I75" s="13" t="inlineStr">
        <is>
          <t>Inscriptions / கல்வெட்டு</t>
        </is>
      </c>
      <c r="J75" s="13" t="inlineStr">
        <is>
          <t>inscriptions; Buddhism; Tamil</t>
        </is>
      </c>
      <c r="K75" s="11" t="inlineStr">
        <is>
          <t>Yes</t>
        </is>
      </c>
      <c r="L75" s="13" t="n"/>
      <c r="M75" s="14" t="inlineStr">
        <is>
          <t>https://jfn.ac.lk/prof-s-pathmanathan/</t>
        </is>
      </c>
    </row>
    <row r="76">
      <c r="A76" s="7" t="inlineStr">
        <is>
          <t>RP-0075</t>
        </is>
      </c>
      <c r="B76" s="8" t="inlineStr">
        <is>
          <t>1995</t>
        </is>
      </c>
      <c r="C76" s="7" t="n"/>
      <c r="D76" s="9" t="inlineStr">
        <is>
          <t>The Tamil Pillar Inscription from Mankanay</t>
        </is>
      </c>
      <c r="E76" s="9" t="inlineStr">
        <is>
          <t>S. Pathmanathan</t>
        </is>
      </c>
      <c r="F76" s="9" t="inlineStr">
        <is>
          <t>The Sri Lanka Journal of the Humanities, Vol. 21, No. 1-2, pp. 31-41 (University of Peradeniya)</t>
        </is>
      </c>
      <c r="G76" s="7" t="inlineStr">
        <is>
          <t>Journal article</t>
        </is>
      </c>
      <c r="H76" s="7" t="inlineStr">
        <is>
          <t>English</t>
        </is>
      </c>
      <c r="I76" s="9" t="inlineStr">
        <is>
          <t>Inscriptions / கல்வெட்டு</t>
        </is>
      </c>
      <c r="J76" s="9" t="inlineStr">
        <is>
          <t>pillar inscription; Mankanay</t>
        </is>
      </c>
      <c r="K76" s="7" t="inlineStr">
        <is>
          <t>No (earlier reference)</t>
        </is>
      </c>
      <c r="L76" s="9" t="inlineStr">
        <is>
          <t>Just before 30-yr window; kept</t>
        </is>
      </c>
      <c r="M76" s="10" t="inlineStr">
        <is>
          <t>https://ir.lib.pdn.ac.lk/handle/20.500.14444/3809</t>
        </is>
      </c>
    </row>
    <row r="77">
      <c r="A77" s="11" t="inlineStr">
        <is>
          <t>RP-0076</t>
        </is>
      </c>
      <c r="B77" s="12" t="inlineStr">
        <is>
          <t>1994</t>
        </is>
      </c>
      <c r="C77" s="11" t="n"/>
      <c r="D77" s="13" t="inlineStr">
        <is>
          <t>The Tamil Slab Inscription of the Virakkoti at Budumuttawa, Nikaweratiya</t>
        </is>
      </c>
      <c r="E77" s="13" t="inlineStr">
        <is>
          <t>S. Pathmanathan</t>
        </is>
      </c>
      <c r="F77" s="13" t="inlineStr">
        <is>
          <t>Urbanization at Magala, pp. 15-30</t>
        </is>
      </c>
      <c r="G77" s="11" t="inlineStr">
        <is>
          <t>Book chapter</t>
        </is>
      </c>
      <c r="H77" s="11" t="inlineStr">
        <is>
          <t>English</t>
        </is>
      </c>
      <c r="I77" s="13" t="inlineStr">
        <is>
          <t>Inscriptions / கல்வெட்டு</t>
        </is>
      </c>
      <c r="J77" s="13" t="inlineStr">
        <is>
          <t>கல்வெட்டு; merchant guild</t>
        </is>
      </c>
      <c r="K77" s="11" t="inlineStr">
        <is>
          <t>No (earlier reference)</t>
        </is>
      </c>
      <c r="L77" s="13" t="inlineStr">
        <is>
          <t>Year from Lanka Pradeepa list</t>
        </is>
      </c>
      <c r="M77" s="14" t="inlineStr">
        <is>
          <t>https://ir.lib.pdn.ac.lk/items/583155fd-b49e-4398-8b04-51776c4dbf8f/full</t>
        </is>
      </c>
    </row>
    <row r="78">
      <c r="A78" s="7" t="inlineStr">
        <is>
          <t>RP-0077</t>
        </is>
      </c>
      <c r="B78" s="8" t="inlineStr">
        <is>
          <t>1991</t>
        </is>
      </c>
      <c r="C78" s="7" t="n"/>
      <c r="D78" s="9" t="inlineStr">
        <is>
          <t>Inscription No. 2 from Fort Hammenhiel, Kayts</t>
        </is>
      </c>
      <c r="E78" s="9" t="inlineStr">
        <is>
          <t>K. Indrapala</t>
        </is>
      </c>
      <c r="F78" s="9" t="inlineStr">
        <is>
          <t>Epigraphia Zeylanica, Vol. VI, Part II, pp. 154-160</t>
        </is>
      </c>
      <c r="G78" s="7" t="inlineStr">
        <is>
          <t>Journal article</t>
        </is>
      </c>
      <c r="H78" s="7" t="inlineStr">
        <is>
          <t>English</t>
        </is>
      </c>
      <c r="I78" s="9" t="inlineStr">
        <is>
          <t>Inscriptions / கல்வெட்டு</t>
        </is>
      </c>
      <c r="J78" s="9" t="inlineStr">
        <is>
          <t>கல்வெட்டு; Kayts</t>
        </is>
      </c>
      <c r="K78" s="7" t="inlineStr">
        <is>
          <t>No (earlier reference)</t>
        </is>
      </c>
      <c r="L78" s="9" t="inlineStr">
        <is>
          <t>Pre-1996 reference</t>
        </is>
      </c>
      <c r="M78" s="10" t="inlineStr">
        <is>
          <t>https://www.lankapradeepa.com/2020/04/tamil-inscriptions-in-sri-lanka_16.html</t>
        </is>
      </c>
    </row>
    <row r="79">
      <c r="A79" s="11" t="inlineStr">
        <is>
          <t>RP-0078</t>
        </is>
      </c>
      <c r="B79" s="12" t="inlineStr">
        <is>
          <t>1990</t>
        </is>
      </c>
      <c r="C79" s="11" t="n"/>
      <c r="D79" s="13" t="inlineStr">
        <is>
          <t>The Bronze Seal of the Nanadesis from Hambantota</t>
        </is>
      </c>
      <c r="E79" s="13" t="inlineStr">
        <is>
          <t>S. Pathmanathan</t>
        </is>
      </c>
      <c r="F79" s="13" t="inlineStr">
        <is>
          <t>Asian Panorama, Satguru Publications</t>
        </is>
      </c>
      <c r="G79" s="11" t="inlineStr">
        <is>
          <t>Book chapter</t>
        </is>
      </c>
      <c r="H79" s="11" t="inlineStr">
        <is>
          <t>English</t>
        </is>
      </c>
      <c r="I79" s="13" t="inlineStr">
        <is>
          <t>Inscriptions / கல்வெட்டு</t>
        </is>
      </c>
      <c r="J79" s="13" t="inlineStr">
        <is>
          <t>seal; merchant guild</t>
        </is>
      </c>
      <c r="K79" s="11" t="inlineStr">
        <is>
          <t>No (earlier reference)</t>
        </is>
      </c>
      <c r="L79" s="13" t="inlineStr">
        <is>
          <t>Pre-1996 reference</t>
        </is>
      </c>
      <c r="M79" s="14" t="inlineStr">
        <is>
          <t>https://jfn.ac.lk/prof-s-pathmanathan/</t>
        </is>
      </c>
    </row>
    <row r="80">
      <c r="A80" s="7" t="inlineStr">
        <is>
          <t>RP-0079</t>
        </is>
      </c>
      <c r="B80" s="8" t="inlineStr">
        <is>
          <t>1975</t>
        </is>
      </c>
      <c r="C80" s="7" t="n"/>
      <c r="D80" s="9" t="inlineStr">
        <is>
          <t>A Tamil Slab Inscription at Nilaveli</t>
        </is>
      </c>
      <c r="E80" s="9" t="inlineStr">
        <is>
          <t>S. Gunasingam</t>
        </is>
      </c>
      <c r="F80" s="9" t="inlineStr">
        <is>
          <t>The Ceylon Journal of the Humanities, pp. 61-71</t>
        </is>
      </c>
      <c r="G80" s="7" t="inlineStr">
        <is>
          <t>Journal article</t>
        </is>
      </c>
      <c r="H80" s="7" t="inlineStr">
        <is>
          <t>English</t>
        </is>
      </c>
      <c r="I80" s="9" t="inlineStr">
        <is>
          <t>Inscriptions / கல்வெட்டு</t>
        </is>
      </c>
      <c r="J80" s="9" t="inlineStr">
        <is>
          <t>கல்வெட்டு; Nilaveli</t>
        </is>
      </c>
      <c r="K80" s="7" t="inlineStr">
        <is>
          <t>No (earlier reference)</t>
        </is>
      </c>
      <c r="L80" s="9" t="inlineStr">
        <is>
          <t>Pre-1996 reference</t>
        </is>
      </c>
      <c r="M80" s="10" t="inlineStr">
        <is>
          <t>https://www.lankapradeepa.com/2020/04/tamil-inscriptions-in-sri-lanka_16.html</t>
        </is>
      </c>
    </row>
    <row r="81">
      <c r="A81" s="11" t="inlineStr">
        <is>
          <t>RP-0080</t>
        </is>
      </c>
      <c r="B81" s="12" t="inlineStr">
        <is>
          <t>1975</t>
        </is>
      </c>
      <c r="C81" s="11" t="n"/>
      <c r="D81" s="13" t="inlineStr">
        <is>
          <t>The Munnesvaram Inscription of Parakramabahu VI</t>
        </is>
      </c>
      <c r="E81" s="13" t="inlineStr">
        <is>
          <t>S. Pathmanathan</t>
        </is>
      </c>
      <c r="F81" s="13" t="inlineStr">
        <is>
          <t>JRAS Ceylon Branch, Vol. XVIII</t>
        </is>
      </c>
      <c r="G81" s="11" t="inlineStr">
        <is>
          <t>Journal article</t>
        </is>
      </c>
      <c r="H81" s="11" t="inlineStr">
        <is>
          <t>English</t>
        </is>
      </c>
      <c r="I81" s="13" t="inlineStr">
        <is>
          <t>Inscriptions / கல்வெட்டு</t>
        </is>
      </c>
      <c r="J81" s="13" t="inlineStr">
        <is>
          <t>கல்வெட்டு; Munneswaram</t>
        </is>
      </c>
      <c r="K81" s="11" t="inlineStr">
        <is>
          <t>No (earlier reference)</t>
        </is>
      </c>
      <c r="L81" s="13" t="inlineStr">
        <is>
          <t>Pre-1996 reference</t>
        </is>
      </c>
      <c r="M81" s="14" t="inlineStr">
        <is>
          <t>https://jfn.ac.lk/prof-s-pathmanathan/</t>
        </is>
      </c>
    </row>
    <row r="82">
      <c r="A82" s="7" t="inlineStr">
        <is>
          <t>RP-0081</t>
        </is>
      </c>
      <c r="B82" s="8" t="inlineStr">
        <is>
          <t>1963</t>
        </is>
      </c>
      <c r="C82" s="7" t="n"/>
      <c r="D82" s="9" t="inlineStr">
        <is>
          <t>The Nainativu Tamil Inscription of Parakramabahu I</t>
        </is>
      </c>
      <c r="E82" s="9" t="inlineStr">
        <is>
          <t>K. Indrapala</t>
        </is>
      </c>
      <c r="F82" s="9" t="inlineStr">
        <is>
          <t>University of Ceylon Review, Vol. XXI, No. 1, pp. 63-70</t>
        </is>
      </c>
      <c r="G82" s="7" t="inlineStr">
        <is>
          <t>Journal article</t>
        </is>
      </c>
      <c r="H82" s="7" t="inlineStr">
        <is>
          <t>English</t>
        </is>
      </c>
      <c r="I82" s="9" t="inlineStr">
        <is>
          <t>Inscriptions / கல்வெட்டு</t>
        </is>
      </c>
      <c r="J82" s="9" t="inlineStr">
        <is>
          <t>கல்வெட்டு; Nainativu</t>
        </is>
      </c>
      <c r="K82" s="7" t="inlineStr">
        <is>
          <t>No (earlier reference)</t>
        </is>
      </c>
      <c r="L82" s="9" t="inlineStr">
        <is>
          <t>Pre-1996 reference</t>
        </is>
      </c>
      <c r="M82" s="10" t="inlineStr">
        <is>
          <t>https://siddham.network/tag/kayts/</t>
        </is>
      </c>
    </row>
    <row r="83">
      <c r="A83" s="11" t="inlineStr">
        <is>
          <t>RP-0082</t>
        </is>
      </c>
      <c r="B83" s="12" t="n"/>
      <c r="C83" s="11" t="n"/>
      <c r="D83" s="13" t="inlineStr">
        <is>
          <t>An Archaeological Study of Prehistoric Paintings Found in Veherayaya</t>
        </is>
      </c>
      <c r="E83" s="13" t="n"/>
      <c r="F83" s="13" t="inlineStr">
        <is>
          <t>University of Peradeniya repository</t>
        </is>
      </c>
      <c r="G83" s="11" t="inlineStr">
        <is>
          <t>Journal article</t>
        </is>
      </c>
      <c r="H83" s="11" t="inlineStr">
        <is>
          <t>English</t>
        </is>
      </c>
      <c r="I83" s="13" t="inlineStr">
        <is>
          <t>Archaeology / தொல்லியல்; Rock art / பாறை ஓவியம்</t>
        </is>
      </c>
      <c r="J83" s="13" t="inlineStr">
        <is>
          <t>rock paintings; பாறை ஓவியம்; prehistoric</t>
        </is>
      </c>
      <c r="K83" s="11" t="inlineStr">
        <is>
          <t>Unknown</t>
        </is>
      </c>
      <c r="L83" s="13" t="inlineStr">
        <is>
          <t>Year/author to verify</t>
        </is>
      </c>
      <c r="M83" s="14" t="inlineStr">
        <is>
          <t>https://ir.lib.pdn.ac.lk/handle/20.500.14444/5038</t>
        </is>
      </c>
    </row>
    <row r="84">
      <c r="A84" s="7" t="inlineStr">
        <is>
          <t>RP-0083</t>
        </is>
      </c>
      <c r="B84" s="8" t="n"/>
      <c r="C84" s="7" t="n"/>
      <c r="D84" s="9" t="inlineStr">
        <is>
          <t>Annaikottai Seal: Is it Tamil Brahmi?</t>
        </is>
      </c>
      <c r="E84" s="9" t="n"/>
      <c r="F84" s="9" t="inlineStr">
        <is>
          <t>Academia.edu</t>
        </is>
      </c>
      <c r="G84" s="7" t="inlineStr">
        <is>
          <t>Article</t>
        </is>
      </c>
      <c r="H84" s="7" t="inlineStr">
        <is>
          <t>English</t>
        </is>
      </c>
      <c r="I84" s="9" t="inlineStr">
        <is>
          <t>Inscriptions / கல்வெட்டு; Brahmi / பிராமி</t>
        </is>
      </c>
      <c r="J84" s="9" t="inlineStr">
        <is>
          <t>Anaikoddai seal; Tamil Brahmi</t>
        </is>
      </c>
      <c r="K84" s="7" t="inlineStr">
        <is>
          <t>Unknown</t>
        </is>
      </c>
      <c r="L84" s="9" t="n"/>
      <c r="M84" s="10" t="inlineStr">
        <is>
          <t>https://www.academia.edu/44307643/Annaikottai_Seal_Is_it_Tamil_Brahmi</t>
        </is>
      </c>
    </row>
    <row r="85">
      <c r="A85" s="11" t="inlineStr">
        <is>
          <t>RP-0084</t>
        </is>
      </c>
      <c r="B85" s="12" t="n"/>
      <c r="C85" s="11" t="n"/>
      <c r="D85" s="13" t="inlineStr">
        <is>
          <t>Dr. Siran Deraniyagala: The Archaeologist who Connected North and South Sri Lanka</t>
        </is>
      </c>
      <c r="E85" s="13" t="n"/>
      <c r="F85" s="13" t="inlineStr">
        <is>
          <t>Mount Royal University journal (ANLK)</t>
        </is>
      </c>
      <c r="G85" s="11" t="inlineStr">
        <is>
          <t>Article</t>
        </is>
      </c>
      <c r="H85" s="11" t="inlineStr">
        <is>
          <t>English</t>
        </is>
      </c>
      <c r="I85" s="13" t="inlineStr">
        <is>
          <t>Archaeology / தொல்லியல்</t>
        </is>
      </c>
      <c r="J85" s="13" t="inlineStr">
        <is>
          <t>archaeology; Jaffna</t>
        </is>
      </c>
      <c r="K85" s="11" t="inlineStr">
        <is>
          <t>Unknown</t>
        </is>
      </c>
      <c r="L85" s="13" t="n"/>
      <c r="M85" s="14" t="inlineStr">
        <is>
          <t>https://mrujs.mtroyal.ca/index.php/anlk/article/view/634</t>
        </is>
      </c>
    </row>
    <row r="86">
      <c r="A86" s="7" t="inlineStr">
        <is>
          <t>RP-0085</t>
        </is>
      </c>
      <c r="B86" s="8" t="n"/>
      <c r="C86" s="7" t="n"/>
      <c r="D86" s="9" t="inlineStr">
        <is>
          <t>Hero stones (nadukal) study</t>
        </is>
      </c>
      <c r="E86" s="9" t="n"/>
      <c r="F86" s="9" t="inlineStr">
        <is>
          <t>International Research Journal of Tamil (IRJT)</t>
        </is>
      </c>
      <c r="G86" s="7" t="inlineStr">
        <is>
          <t>Journal article</t>
        </is>
      </c>
      <c r="H86" s="7" t="inlineStr">
        <is>
          <t>Tamil</t>
        </is>
      </c>
      <c r="I86" s="9" t="inlineStr">
        <is>
          <t>Hero stones / நடுகல்</t>
        </is>
      </c>
      <c r="J86" s="9" t="inlineStr">
        <is>
          <t>நடுகல்; hero stone</t>
        </is>
      </c>
      <c r="K86" s="7" t="inlineStr">
        <is>
          <t>Unknown</t>
        </is>
      </c>
      <c r="L86" s="9" t="inlineStr">
        <is>
          <t>Title/year to verify</t>
        </is>
      </c>
      <c r="M86" s="10" t="inlineStr">
        <is>
          <t>https://irjt.iorpress.org/index.php/irjt/article/download/2607/2111/4821</t>
        </is>
      </c>
    </row>
    <row r="87">
      <c r="A87" s="11" t="inlineStr">
        <is>
          <t>RP-0086</t>
        </is>
      </c>
      <c r="B87" s="12" t="n"/>
      <c r="C87" s="11" t="n"/>
      <c r="D87" s="13" t="inlineStr">
        <is>
          <t>Highlights of Archaeological Studies in Jaffna Peninsula since 2010</t>
        </is>
      </c>
      <c r="E87" s="13" t="inlineStr">
        <is>
          <t>P. Pushparatnam</t>
        </is>
      </c>
      <c r="F87" s="13" t="inlineStr">
        <is>
          <t>University of Jaffna repository</t>
        </is>
      </c>
      <c r="G87" s="11" t="inlineStr">
        <is>
          <t>Article</t>
        </is>
      </c>
      <c r="H87" s="11" t="inlineStr">
        <is>
          <t>English</t>
        </is>
      </c>
      <c r="I87" s="13" t="inlineStr">
        <is>
          <t>Archaeology / தொல்லியல்</t>
        </is>
      </c>
      <c r="J87" s="13" t="inlineStr">
        <is>
          <t>archaeology; Jaffna</t>
        </is>
      </c>
      <c r="K87" s="11" t="inlineStr">
        <is>
          <t>Unknown</t>
        </is>
      </c>
      <c r="L87" s="13" t="inlineStr">
        <is>
          <t>Year to verify</t>
        </is>
      </c>
      <c r="M87" s="14" t="inlineStr">
        <is>
          <t>https://rer.jfn.ac.lk/items/69679e68-fe61-4cd9-a9de-ccff08422aac/full</t>
        </is>
      </c>
    </row>
    <row r="88">
      <c r="A88" s="7" t="inlineStr">
        <is>
          <t>RP-0087</t>
        </is>
      </c>
      <c r="B88" s="8" t="n"/>
      <c r="C88" s="7" t="n"/>
      <c r="D88" s="9" t="inlineStr">
        <is>
          <t>IN03227 Panduwasnuwara Tamil Slab Inscription of Nissanka Malla</t>
        </is>
      </c>
      <c r="E88" s="9" t="n"/>
      <c r="F88" s="9" t="inlineStr">
        <is>
          <t>Siddham: The Asian Inscription Database (Sri Lanka epigraphy)</t>
        </is>
      </c>
      <c r="G88" s="7" t="inlineStr">
        <is>
          <t>Catalogue entry</t>
        </is>
      </c>
      <c r="H88" s="7" t="inlineStr">
        <is>
          <t>English</t>
        </is>
      </c>
      <c r="I88" s="9" t="inlineStr">
        <is>
          <t>Inscriptions / கல்வெட்டு</t>
        </is>
      </c>
      <c r="J88" s="9" t="inlineStr">
        <is>
          <t>கல்வெட்டு; Panduwasnuwara</t>
        </is>
      </c>
      <c r="K88" s="7" t="inlineStr">
        <is>
          <t>Unknown</t>
        </is>
      </c>
      <c r="L88" s="9" t="n"/>
      <c r="M88" s="10" t="inlineStr">
        <is>
          <t>https://siddham.network/tag/609823/</t>
        </is>
      </c>
    </row>
    <row r="89">
      <c r="A89" s="11" t="inlineStr">
        <is>
          <t>RP-0088</t>
        </is>
      </c>
      <c r="B89" s="12" t="n"/>
      <c r="C89" s="11" t="n"/>
      <c r="D89" s="13" t="inlineStr">
        <is>
          <t>Kalinga Maacon - Review</t>
        </is>
      </c>
      <c r="E89" s="13" t="n"/>
      <c r="F89" s="13" t="inlineStr">
        <is>
          <t>Shanlax International Journal of Tamil Research</t>
        </is>
      </c>
      <c r="G89" s="11" t="inlineStr">
        <is>
          <t>Journal article</t>
        </is>
      </c>
      <c r="H89" s="11" t="inlineStr">
        <is>
          <t>Tamil</t>
        </is>
      </c>
      <c r="I89" s="13" t="n"/>
      <c r="J89" s="13" t="inlineStr">
        <is>
          <t>Kalinga Magha</t>
        </is>
      </c>
      <c r="K89" s="11" t="inlineStr">
        <is>
          <t>Unknown</t>
        </is>
      </c>
      <c r="L89" s="13" t="inlineStr">
        <is>
          <t>Year to verify</t>
        </is>
      </c>
      <c r="M89" s="14" t="inlineStr">
        <is>
          <t>https://shanlaxjournals.in/journals/index.php/tamil/article/view/7777</t>
        </is>
      </c>
    </row>
    <row r="90">
      <c r="A90" s="7" t="inlineStr">
        <is>
          <t>RP-0089</t>
        </is>
      </c>
      <c r="B90" s="8" t="n"/>
      <c r="C90" s="7" t="n"/>
      <c r="D90" s="9" t="inlineStr">
        <is>
          <t>Kalinga in Sri Lankan Historiography</t>
        </is>
      </c>
      <c r="E90" s="9" t="n"/>
      <c r="F90" s="9" t="inlineStr">
        <is>
          <t>Shanlax International Journal of Tamil Research</t>
        </is>
      </c>
      <c r="G90" s="7" t="inlineStr">
        <is>
          <t>Journal article</t>
        </is>
      </c>
      <c r="H90" s="7" t="inlineStr">
        <is>
          <t>Tamil</t>
        </is>
      </c>
      <c r="I90" s="9" t="inlineStr">
        <is>
          <t>Inscriptions / கல்வெட்டு</t>
        </is>
      </c>
      <c r="J90" s="9" t="inlineStr">
        <is>
          <t>Kalinga Magha; inscriptions</t>
        </is>
      </c>
      <c r="K90" s="7" t="inlineStr">
        <is>
          <t>Unknown</t>
        </is>
      </c>
      <c r="L90" s="9" t="inlineStr">
        <is>
          <t>Year to verify</t>
        </is>
      </c>
      <c r="M90" s="10" t="inlineStr">
        <is>
          <t>https://shanlaxjournals.in/journals/index.php/tamil/article/view/6193</t>
        </is>
      </c>
    </row>
    <row r="91">
      <c r="A91" s="11" t="inlineStr">
        <is>
          <t>RP-0090</t>
        </is>
      </c>
      <c r="B91" s="12" t="n"/>
      <c r="C91" s="11" t="n"/>
      <c r="D91" s="13" t="inlineStr">
        <is>
          <t>Making Lanka the Tamil way: a temple history at the crossroads of landscapes &amp; watersheds</t>
        </is>
      </c>
      <c r="E91" s="13" t="n"/>
      <c r="F91" s="13" t="inlineStr">
        <is>
          <t>Academia.edu</t>
        </is>
      </c>
      <c r="G91" s="11" t="inlineStr">
        <is>
          <t>Article</t>
        </is>
      </c>
      <c r="H91" s="11" t="inlineStr">
        <is>
          <t>English</t>
        </is>
      </c>
      <c r="I91" s="13" t="n"/>
      <c r="J91" s="13" t="inlineStr">
        <is>
          <t>temple history; landscape</t>
        </is>
      </c>
      <c r="K91" s="11" t="inlineStr">
        <is>
          <t>Unknown</t>
        </is>
      </c>
      <c r="L91" s="13" t="n"/>
      <c r="M91" s="14" t="inlineStr">
        <is>
          <t>https://www.academia.edu/47759409/Making_Lanka_the_Tamil_way_a_temple_history_at_the_crossroads_of_landscapes_and_watersheds</t>
        </is>
      </c>
    </row>
    <row r="92">
      <c r="A92" s="7" t="inlineStr">
        <is>
          <t>RP-0091</t>
        </is>
      </c>
      <c r="B92" s="8" t="n"/>
      <c r="C92" s="7" t="n"/>
      <c r="D92" s="9" t="inlineStr">
        <is>
          <t>OB03160 Vallipuram Gold Plate</t>
        </is>
      </c>
      <c r="E92" s="9" t="n"/>
      <c r="F92" s="9" t="inlineStr">
        <is>
          <t>Siddham: The Asian Inscription Database (Sri Lanka epigraphy)</t>
        </is>
      </c>
      <c r="G92" s="7" t="inlineStr">
        <is>
          <t>Catalogue entry</t>
        </is>
      </c>
      <c r="H92" s="7" t="inlineStr">
        <is>
          <t>English</t>
        </is>
      </c>
      <c r="I92" s="9" t="inlineStr">
        <is>
          <t>Inscriptions / கல்வெட்டு</t>
        </is>
      </c>
      <c r="J92" s="9" t="inlineStr">
        <is>
          <t>Vallipuram gold plate; inscription</t>
        </is>
      </c>
      <c r="K92" s="7" t="inlineStr">
        <is>
          <t>Unknown</t>
        </is>
      </c>
      <c r="L92" s="9" t="n"/>
      <c r="M92" s="10" t="inlineStr">
        <is>
          <t>https://siddham.network/tag/vasabha/</t>
        </is>
      </c>
    </row>
    <row r="93">
      <c r="A93" s="11" t="inlineStr">
        <is>
          <t>RP-0092</t>
        </is>
      </c>
      <c r="B93" s="12" t="n"/>
      <c r="C93" s="11" t="n"/>
      <c r="D93" s="13" t="inlineStr">
        <is>
          <t>Recent Excavations and Survey at Jaffna Fort in 2017 and Reflections on the Antiquity of Indian Ocean Trade</t>
        </is>
      </c>
      <c r="E93" s="13" t="inlineStr">
        <is>
          <t>C. Davis et al.</t>
        </is>
      </c>
      <c r="F93" s="13" t="inlineStr">
        <is>
          <t>Durham Research Online</t>
        </is>
      </c>
      <c r="G93" s="11" t="inlineStr">
        <is>
          <t>Journal article</t>
        </is>
      </c>
      <c r="H93" s="11" t="inlineStr">
        <is>
          <t>English</t>
        </is>
      </c>
      <c r="I93" s="13" t="inlineStr">
        <is>
          <t>Archaeology / தொல்லியல்</t>
        </is>
      </c>
      <c r="J93" s="13" t="inlineStr">
        <is>
          <t>excavation; Jaffna Fort; trade</t>
        </is>
      </c>
      <c r="K93" s="11" t="inlineStr">
        <is>
          <t>Unknown</t>
        </is>
      </c>
      <c r="L93" s="13" t="inlineStr">
        <is>
          <t>Year to verify</t>
        </is>
      </c>
      <c r="M93" s="14" t="inlineStr">
        <is>
          <t>https://durham-repository.worktribe.com/output/1656993/recent-excavations-and-survey-at-jaffna-fort-in-2017-and-reflections-on-the-antiquity-of-indian-ocean-trade</t>
        </is>
      </c>
    </row>
    <row r="94">
      <c r="A94" s="7" t="inlineStr">
        <is>
          <t>RP-0093</t>
        </is>
      </c>
      <c r="B94" s="8" t="n"/>
      <c r="C94" s="7" t="n"/>
      <c r="D94" s="9" t="inlineStr">
        <is>
          <t>The Impact of Tamil Language on Sinhala Inscriptions in Ancient Sri Lanka</t>
        </is>
      </c>
      <c r="E94" s="9" t="n"/>
      <c r="F94" s="9" t="inlineStr">
        <is>
          <t>University of Jaffna repository</t>
        </is>
      </c>
      <c r="G94" s="7" t="inlineStr">
        <is>
          <t>Article</t>
        </is>
      </c>
      <c r="H94" s="7" t="inlineStr">
        <is>
          <t>English</t>
        </is>
      </c>
      <c r="I94" s="9" t="inlineStr">
        <is>
          <t>Inscriptions / கல்வெட்டு</t>
        </is>
      </c>
      <c r="J94" s="9" t="inlineStr">
        <is>
          <t>inscriptions; language contact</t>
        </is>
      </c>
      <c r="K94" s="7" t="inlineStr">
        <is>
          <t>Unknown</t>
        </is>
      </c>
      <c r="L94" s="9" t="inlineStr">
        <is>
          <t>Year/author to verify</t>
        </is>
      </c>
      <c r="M94" s="10" t="inlineStr">
        <is>
          <t>https://rer.jfn.ac.lk/items/fc0f248b-470f-449c-a7c6-8b8ec38517f0</t>
        </is>
      </c>
    </row>
    <row r="95">
      <c r="A95" s="11" t="inlineStr">
        <is>
          <t>RP-0094</t>
        </is>
      </c>
      <c r="B95" s="12" t="n"/>
      <c r="C95" s="11" t="n"/>
      <c r="D95" s="13" t="inlineStr">
        <is>
          <t>The Peopling of Sri Lanka from Prehistoric to Historic Times: Biological and Archaeological Evidence</t>
        </is>
      </c>
      <c r="E95" s="13" t="n"/>
      <c r="F95" s="13" t="inlineStr">
        <is>
          <t>ResearchGate</t>
        </is>
      </c>
      <c r="G95" s="11" t="inlineStr">
        <is>
          <t>Article</t>
        </is>
      </c>
      <c r="H95" s="11" t="inlineStr">
        <is>
          <t>English</t>
        </is>
      </c>
      <c r="I95" s="13" t="inlineStr">
        <is>
          <t>Archaeology / தொல்லியல்</t>
        </is>
      </c>
      <c r="J95" s="13" t="inlineStr">
        <is>
          <t>prehistory; archaeology</t>
        </is>
      </c>
      <c r="K95" s="11" t="inlineStr">
        <is>
          <t>Unknown</t>
        </is>
      </c>
      <c r="L95" s="13" t="n"/>
      <c r="M95" s="14" t="inlineStr">
        <is>
          <t>https://www.researchgate.net/publication/301336596_The_Peopling_of_Sri_Lanka_from_Prehistoric_to_Historic_Times_Biological_and_Archaeological_Evidence</t>
        </is>
      </c>
    </row>
    <row r="96">
      <c r="A96" s="7" t="inlineStr">
        <is>
          <t>RP-0095</t>
        </is>
      </c>
      <c r="B96" s="8" t="n"/>
      <c r="C96" s="7" t="n"/>
      <c r="D96" s="9" t="inlineStr">
        <is>
          <t>சிங்கள மன்னராட்சியில் சோழர்கால இந்துக்கோயில்களும், பண்பாடும் : பொலன்னறுவை இராசதானியை அடிப்படையாகக் கொண்ட ஆய்வு</t>
        </is>
      </c>
      <c r="E96" s="9" t="n"/>
      <c r="F96" s="9" t="inlineStr">
        <is>
          <t>South Eastern University of Sri Lanka repository</t>
        </is>
      </c>
      <c r="G96" s="7" t="inlineStr">
        <is>
          <t>Thesis</t>
        </is>
      </c>
      <c r="H96" s="7" t="inlineStr">
        <is>
          <t>Tamil</t>
        </is>
      </c>
      <c r="I96" s="9" t="n"/>
      <c r="J96" s="9" t="inlineStr">
        <is>
          <t>Chola; Polonnaruwa; temples</t>
        </is>
      </c>
      <c r="K96" s="7" t="inlineStr">
        <is>
          <t>Unknown</t>
        </is>
      </c>
      <c r="L96" s="9" t="inlineStr">
        <is>
          <t>Year/author to verify</t>
        </is>
      </c>
      <c r="M96" s="10" t="inlineStr">
        <is>
          <t>https://dspace.lib.seu.ac.lk/items/2bce5ebf-dc84-4b9c-a7ed-ca9bf13f1e7a/full</t>
        </is>
      </c>
    </row>
  </sheetData>
  <autoFilter ref="A1:M96"/>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inlineStr">
        <is>
          <t>2026-01-13</t>
        </is>
      </c>
      <c r="D2" s="9" t="inlineStr">
        <is>
          <t>A Historian In Focus: The Dark Side Of S Pathmanathan</t>
        </is>
      </c>
      <c r="E2" s="9" t="inlineStr">
        <is>
          <t>Darshanie Ratnawalli</t>
        </is>
      </c>
      <c r="F2" s="9" t="inlineStr">
        <is>
          <t>Colombo Telegraph</t>
        </is>
      </c>
      <c r="G2" s="7" t="inlineStr">
        <is>
          <t>Opinion</t>
        </is>
      </c>
      <c r="H2" s="7" t="inlineStr">
        <is>
          <t>English</t>
        </is>
      </c>
      <c r="I2" s="9" t="inlineStr">
        <is>
          <t>Brahmi / பிராமி</t>
        </is>
      </c>
      <c r="J2" s="9" t="inlineStr">
        <is>
          <t>Brahmi; Pathmanathan; debate</t>
        </is>
      </c>
      <c r="K2" s="7" t="inlineStr">
        <is>
          <t>Yes</t>
        </is>
      </c>
      <c r="L2" s="9" t="n"/>
      <c r="M2" s="10" t="inlineStr">
        <is>
          <t>https://www.colombotelegraph.com/index.php/a-historian-in-focus-the-dark-side-of-s-pathmanathan/</t>
        </is>
      </c>
    </row>
    <row r="3">
      <c r="A3" s="11" t="inlineStr">
        <is>
          <t>NW-0002</t>
        </is>
      </c>
      <c r="B3" s="12" t="inlineStr">
        <is>
          <t>2026</t>
        </is>
      </c>
      <c r="C3" s="11" t="inlineStr">
        <is>
          <t>2026-04-18</t>
        </is>
      </c>
      <c r="D3" s="13" t="inlineStr">
        <is>
          <t>New book by Tamil historian re-examines early Jaffna civilisation through inscriptions and archaeology</t>
        </is>
      </c>
      <c r="E3" s="13" t="n"/>
      <c r="F3" s="13" t="inlineStr">
        <is>
          <t>Tamil Guardian</t>
        </is>
      </c>
      <c r="G3" s="11" t="inlineStr">
        <is>
          <t>News</t>
        </is>
      </c>
      <c r="H3" s="11" t="inlineStr">
        <is>
          <t>English</t>
        </is>
      </c>
      <c r="I3" s="13" t="inlineStr">
        <is>
          <t>Inscriptions / கல்வெட்டு; Archaeology / தொல்லியல்</t>
        </is>
      </c>
      <c r="J3" s="13" t="inlineStr">
        <is>
          <t>inscription; inscriptions; archaeology</t>
        </is>
      </c>
      <c r="K3" s="11" t="inlineStr">
        <is>
          <t>Yes</t>
        </is>
      </c>
      <c r="L3" s="13" t="inlineStr">
        <is>
          <t>Google News query: Tamil Brahmi Sri Lanka. Auto-collected 2026-10-14 (news); review.</t>
        </is>
      </c>
      <c r="M3" s="14"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4">
      <c r="A4" s="7" t="inlineStr">
        <is>
          <t>NW-0003</t>
        </is>
      </c>
      <c r="B4" s="8" t="inlineStr">
        <is>
          <t>2026</t>
        </is>
      </c>
      <c r="C4" s="7" t="inlineStr">
        <is>
          <t>2026-10-07</t>
        </is>
      </c>
      <c r="D4" s="9" t="inlineStr">
        <is>
          <t>Archaeology Department seeks 260 acres as monk targets second Hindu temple in Vavuniya</t>
        </is>
      </c>
      <c r="E4" s="9" t="n"/>
      <c r="F4" s="9" t="inlineStr">
        <is>
          <t>Tamil Guardian</t>
        </is>
      </c>
      <c r="G4" s="7" t="inlineStr">
        <is>
          <t>News</t>
        </is>
      </c>
      <c r="H4" s="7" t="inlineStr">
        <is>
          <t>English</t>
        </is>
      </c>
      <c r="I4" s="9" t="inlineStr">
        <is>
          <t>Archaeology / தொல்லியல்</t>
        </is>
      </c>
      <c r="J4" s="9" t="inlineStr">
        <is>
          <t>archaeology</t>
        </is>
      </c>
      <c r="K4" s="7" t="inlineStr">
        <is>
          <t>Yes</t>
        </is>
      </c>
      <c r="L4" s="9" t="inlineStr">
        <is>
          <t>Google News query: archaeology Vanni Tamil. Auto-collected 2026-10-14 (news); review.</t>
        </is>
      </c>
      <c r="M4"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5">
      <c r="A5" s="11" t="inlineStr">
        <is>
          <t>NW-0004</t>
        </is>
      </c>
      <c r="B5" s="12" t="inlineStr">
        <is>
          <t>2025</t>
        </is>
      </c>
      <c r="C5" s="11" t="inlineStr">
        <is>
          <t>2025-04-19</t>
        </is>
      </c>
      <c r="D5" s="13" t="inlineStr">
        <is>
          <t>UNESCO Recognizes Sri Lanka’s Trilingual Inscription and 'Panadurawaadaya' Documents as World Heritage</t>
        </is>
      </c>
      <c r="E5" s="13" t="n"/>
      <c r="F5" s="13" t="inlineStr">
        <is>
          <t>dailynews.lk</t>
        </is>
      </c>
      <c r="G5" s="11" t="inlineStr">
        <is>
          <t>News</t>
        </is>
      </c>
      <c r="H5" s="11" t="inlineStr">
        <is>
          <t>English</t>
        </is>
      </c>
      <c r="I5" s="13" t="inlineStr">
        <is>
          <t>Inscriptions / கல்வெட்டு; Archaeology / தொல்லியல்</t>
        </is>
      </c>
      <c r="J5" s="13" t="inlineStr">
        <is>
          <t>inscription</t>
        </is>
      </c>
      <c r="K5" s="11" t="inlineStr">
        <is>
          <t>Yes</t>
        </is>
      </c>
      <c r="L5" s="13" t="inlineStr">
        <is>
          <t>Google News query: Tamil inscription Sri Lanka. Auto-collected 2026-10-14 (news); review.</t>
        </is>
      </c>
      <c r="M5" s="14"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6">
      <c r="A6" s="7" t="inlineStr">
        <is>
          <t>NW-0005</t>
        </is>
      </c>
      <c r="B6" s="8" t="inlineStr">
        <is>
          <t>2025</t>
        </is>
      </c>
      <c r="C6" s="7" t="inlineStr">
        <is>
          <t>2025-04-22</t>
        </is>
      </c>
      <c r="D6" s="9" t="inlineStr">
        <is>
          <t>Significance of Galle Trilingual Inscription’s inclusion in the World Heritage List</t>
        </is>
      </c>
      <c r="E6" s="9" t="n"/>
      <c r="F6" s="9" t="inlineStr">
        <is>
          <t>Ceylon Daily News</t>
        </is>
      </c>
      <c r="G6" s="7" t="inlineStr">
        <is>
          <t>News</t>
        </is>
      </c>
      <c r="H6" s="7" t="inlineStr">
        <is>
          <t>English</t>
        </is>
      </c>
      <c r="I6" s="9" t="inlineStr">
        <is>
          <t>Inscriptions / கல்வெட்டு; Archaeology / தொல்லியல்</t>
        </is>
      </c>
      <c r="J6" s="9" t="inlineStr">
        <is>
          <t>inscription</t>
        </is>
      </c>
      <c r="K6" s="7" t="inlineStr">
        <is>
          <t>Yes</t>
        </is>
      </c>
      <c r="L6" s="9" t="inlineStr">
        <is>
          <t>Google News query: Tamil inscription Sri Lanka. Auto-collected 2026-10-14 (news); review.</t>
        </is>
      </c>
      <c r="M6" s="10"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7">
      <c r="A7" s="11" t="inlineStr">
        <is>
          <t>NW-0006</t>
        </is>
      </c>
      <c r="B7" s="12" t="inlineStr">
        <is>
          <t>2025</t>
        </is>
      </c>
      <c r="C7" s="11" t="inlineStr">
        <is>
          <t>2025-11-01</t>
        </is>
      </c>
      <c r="D7" s="13" t="inlineStr">
        <is>
          <t>Sinhala Buddhist monk alleges archaeology department official planted 'artefacts' in Kurunthurmalai</t>
        </is>
      </c>
      <c r="E7" s="13" t="n"/>
      <c r="F7" s="13" t="inlineStr">
        <is>
          <t>Tamil Guardian</t>
        </is>
      </c>
      <c r="G7" s="11" t="inlineStr">
        <is>
          <t>News</t>
        </is>
      </c>
      <c r="H7" s="11" t="inlineStr">
        <is>
          <t>English</t>
        </is>
      </c>
      <c r="I7" s="13" t="inlineStr">
        <is>
          <t>Archaeology / தொல்லியல்</t>
        </is>
      </c>
      <c r="J7" s="13" t="inlineStr">
        <is>
          <t>archaeology</t>
        </is>
      </c>
      <c r="K7" s="11" t="inlineStr">
        <is>
          <t>Yes</t>
        </is>
      </c>
      <c r="L7" s="13" t="inlineStr">
        <is>
          <t>Google News query: archaeology Vanni Tamil. Auto-collected 2026-10-14 (news); review.</t>
        </is>
      </c>
      <c r="M7"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8">
      <c r="A8" s="7" t="inlineStr">
        <is>
          <t>NW-0007</t>
        </is>
      </c>
      <c r="B8" s="8" t="inlineStr">
        <is>
          <t>2024</t>
        </is>
      </c>
      <c r="C8" s="7" t="n"/>
      <c r="D8" s="9" t="inlineStr">
        <is>
          <t>இலங்கையில் கண்டுபிடிக்கப்பட்ட நிலக்கீழ் நகரம்</t>
        </is>
      </c>
      <c r="E8" s="9" t="n"/>
      <c r="F8" s="9" t="inlineStr">
        <is>
          <t>IBC Tamil</t>
        </is>
      </c>
      <c r="G8" s="7" t="inlineStr">
        <is>
          <t>News</t>
        </is>
      </c>
      <c r="H8" s="7" t="inlineStr">
        <is>
          <t>Tamil</t>
        </is>
      </c>
      <c r="I8" s="9" t="inlineStr">
        <is>
          <t>Archaeology / தொல்லியல்</t>
        </is>
      </c>
      <c r="J8" s="9" t="inlineStr">
        <is>
          <t>தொல்லியல்; Polonnaruwa</t>
        </is>
      </c>
      <c r="K8" s="7" t="inlineStr">
        <is>
          <t>Yes</t>
        </is>
      </c>
      <c r="L8" s="9" t="inlineStr">
        <is>
          <t>URL timestamp Feb 2024</t>
        </is>
      </c>
      <c r="M8" s="10" t="inlineStr">
        <is>
          <t>https://ibctamil.com/article/an-underground-city-discovered-in-polonnaruwa-sl-1708747886</t>
        </is>
      </c>
    </row>
    <row r="9">
      <c r="A9" s="11" t="inlineStr">
        <is>
          <t>NW-0008</t>
        </is>
      </c>
      <c r="B9" s="12" t="inlineStr">
        <is>
          <t>2024</t>
        </is>
      </c>
      <c r="C9" s="11" t="inlineStr">
        <is>
          <t>2024-07-06</t>
        </is>
      </c>
      <c r="D9" s="13" t="inlineStr">
        <is>
          <t>Exploring Sri Lanka's archaeological and cultural treasures</t>
        </is>
      </c>
      <c r="E9" s="13" t="n"/>
      <c r="F9" s="13" t="inlineStr">
        <is>
          <t>Wanderlust Travel Magazine</t>
        </is>
      </c>
      <c r="G9" s="11" t="inlineStr">
        <is>
          <t>News</t>
        </is>
      </c>
      <c r="H9" s="11" t="inlineStr">
        <is>
          <t>English</t>
        </is>
      </c>
      <c r="I9" s="13" t="inlineStr">
        <is>
          <t>Archaeology / தொல்லியல்</t>
        </is>
      </c>
      <c r="J9" s="13" t="inlineStr">
        <is>
          <t>archaeological</t>
        </is>
      </c>
      <c r="K9" s="11" t="inlineStr">
        <is>
          <t>Yes</t>
        </is>
      </c>
      <c r="L9" s="13" t="inlineStr">
        <is>
          <t>Google News query: rock art Sri Lanka. Auto-collected 2026-10-14 (news); review.</t>
        </is>
      </c>
      <c r="M9" s="14" t="inlineStr">
        <is>
          <t>https://news.google.com/rss/articles/CBMiggFBVV95cUxQczl0U3RlM2Y4UjFBSU1ULWtUTEpFaXZIb3pBLTRkTmpoOEh5Nzc4MzlMNVM4MGpEd0FhWFVJTE84ZnZ3ZnVDUWVjUnBOVThrTndsX3gxT0g0ZkxlWDQyLWVRNDdFZ25HXzdlZWZmQ2ZZZFlMUHVHYm1DLWdVZjVuNmdR?oc=5</t>
        </is>
      </c>
    </row>
    <row r="10">
      <c r="A10" s="7" t="inlineStr">
        <is>
          <t>NW-0009</t>
        </is>
      </c>
      <c r="B10" s="8" t="inlineStr">
        <is>
          <t>2024</t>
        </is>
      </c>
      <c r="C10" s="7" t="inlineStr">
        <is>
          <t>2024-08-22</t>
        </is>
      </c>
      <c r="D10" s="9" t="inlineStr">
        <is>
          <t>Fact Check: அனுமனின் கதாயுதம் ஒன்று இலங்கையில் தொல்லியல் அகழாய்வின் போது கண்டெடுக்கப்பட்டதா?</t>
        </is>
      </c>
      <c r="E10" s="9" t="n"/>
      <c r="F10" s="9" t="inlineStr">
        <is>
          <t>NewsMeter</t>
        </is>
      </c>
      <c r="G10" s="7" t="inlineStr">
        <is>
          <t>News</t>
        </is>
      </c>
      <c r="H10" s="7" t="inlineStr">
        <is>
          <t>Tamil</t>
        </is>
      </c>
      <c r="I10" s="9" t="inlineStr">
        <is>
          <t>Archaeology / தொல்லியல்</t>
        </is>
      </c>
      <c r="J10" s="9" t="inlineStr">
        <is>
          <t>தொல்லியல்</t>
        </is>
      </c>
      <c r="K10" s="7" t="inlineStr">
        <is>
          <t>Yes</t>
        </is>
      </c>
      <c r="L10" s="9" t="inlineStr">
        <is>
          <t>Google News query: தொல்லியல் இலங்கை தமிழ். Auto-collected 2026-10-14 (news); review.</t>
        </is>
      </c>
      <c r="M10"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1">
      <c r="A11" s="11" t="inlineStr">
        <is>
          <t>NW-0010</t>
        </is>
      </c>
      <c r="B11" s="12" t="inlineStr">
        <is>
          <t>2023</t>
        </is>
      </c>
      <c r="C11" s="11" t="inlineStr">
        <is>
          <t>2023-03-29</t>
        </is>
      </c>
      <c r="D11" s="13" t="inlineStr">
        <is>
          <t>இலங்கையின் தொல்லியல் சிறப்புமிக்க ஆதிலிங்கேஸ்வரர் ஆலயம் உடைப்பு - அரசாங்கம் என்ன சொல்கிறது?</t>
        </is>
      </c>
      <c r="E11" s="13" t="n"/>
      <c r="F11" s="13" t="inlineStr">
        <is>
          <t>BBC</t>
        </is>
      </c>
      <c r="G11" s="11" t="inlineStr">
        <is>
          <t>News</t>
        </is>
      </c>
      <c r="H11" s="11" t="inlineStr">
        <is>
          <t>Tamil</t>
        </is>
      </c>
      <c r="I11" s="13" t="inlineStr">
        <is>
          <t>Archaeology / தொல்லியல்</t>
        </is>
      </c>
      <c r="J11" s="13" t="inlineStr">
        <is>
          <t>தொல்லியல்</t>
        </is>
      </c>
      <c r="K11" s="11" t="inlineStr">
        <is>
          <t>Yes</t>
        </is>
      </c>
      <c r="L11" s="13" t="inlineStr">
        <is>
          <t>Google News query: தொல்லியல் இலங்கை தமிழ். Auto-collected 2026-10-14 (news); review.</t>
        </is>
      </c>
      <c r="M11"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2">
      <c r="A12" s="7" t="inlineStr">
        <is>
          <t>NW-0011</t>
        </is>
      </c>
      <c r="B12" s="8" t="inlineStr">
        <is>
          <t>2023</t>
        </is>
      </c>
      <c r="C12" s="7" t="inlineStr">
        <is>
          <t>2023-08-11</t>
        </is>
      </c>
      <c r="D12" s="9" t="inlineStr">
        <is>
          <t>கீரிமலை கேணியையும் தொல்லியல் திணைக்களம் கட்டுப்பாட்டுக்குள் கொண்டுவர முயற்சி - அகில இலங்கை இந்து மாமன்றம்</t>
        </is>
      </c>
      <c r="E12" s="9" t="n"/>
      <c r="F12" s="9" t="inlineStr">
        <is>
          <t>Lanka Truth</t>
        </is>
      </c>
      <c r="G12" s="7" t="inlineStr">
        <is>
          <t>News</t>
        </is>
      </c>
      <c r="H12" s="7" t="inlineStr">
        <is>
          <t>Tamil</t>
        </is>
      </c>
      <c r="I12" s="9" t="inlineStr">
        <is>
          <t>Archaeology / தொல்லியல்</t>
        </is>
      </c>
      <c r="J12" s="9" t="inlineStr">
        <is>
          <t>தொல்லியல்</t>
        </is>
      </c>
      <c r="K12" s="7" t="inlineStr">
        <is>
          <t>Yes</t>
        </is>
      </c>
      <c r="L12" s="9" t="inlineStr">
        <is>
          <t>Google News query: தொல்லியல் இலங்கை தமிழ். Auto-collected 2026-10-14 (news); review.</t>
        </is>
      </c>
      <c r="M12" s="10" t="inlineStr">
        <is>
          <t>https://news.google.com/rss/articles/CBMiSkFVX3lxTE9RWHRpZjlDZE92MEg4bC1VRXFNMjNpSlotREpZclVwU2tncGcyRWFNUnpxQ1ZJTmlRZS1VanBPWl9XNVdjcWhtd29R?oc=5</t>
        </is>
      </c>
    </row>
    <row r="13">
      <c r="A13" s="11" t="inlineStr">
        <is>
          <t>NW-0012</t>
        </is>
      </c>
      <c r="B13" s="12" t="inlineStr">
        <is>
          <t>2023</t>
        </is>
      </c>
      <c r="C13" s="11" t="inlineStr">
        <is>
          <t>2023-09-13</t>
        </is>
      </c>
      <c r="D13" s="13" t="inlineStr">
        <is>
          <t>இலங்கை இனவாத குழுக்கள் சர்ச்சைக்குரிய தொல்பொருள் பிரதேசம் தொடர்பாக இனவாத பதட்டங்களை கிளப்பி வருகின்றன</t>
        </is>
      </c>
      <c r="E13" s="13" t="n"/>
      <c r="F13" s="13" t="inlineStr">
        <is>
          <t>World Socialist Web Site</t>
        </is>
      </c>
      <c r="G13" s="11" t="inlineStr">
        <is>
          <t>News</t>
        </is>
      </c>
      <c r="H13" s="11" t="inlineStr">
        <is>
          <t>Tamil</t>
        </is>
      </c>
      <c r="I13" s="13" t="inlineStr">
        <is>
          <t>Archaeology / தொல்லியல்</t>
        </is>
      </c>
      <c r="J13" s="13" t="inlineStr">
        <is>
          <t>தொல்பொருள்</t>
        </is>
      </c>
      <c r="K13" s="11" t="inlineStr">
        <is>
          <t>Yes</t>
        </is>
      </c>
      <c r="L13" s="13" t="inlineStr">
        <is>
          <t>Google News query: தொல்லியல் இலங்கை தமிழ். Auto-collected 2026-10-14 (news); review.</t>
        </is>
      </c>
      <c r="M13" s="14" t="inlineStr">
        <is>
          <t>https://news.google.com/rss/articles/CBMiaEFVX3lxTE9mazdldjk2bWROTF9UYjJKOWhvMk9hQUwwcGdfbjgwYVN4a2phYktJU3RfWHpUSzFxZlpLQmhURWxacjJWYTNFZEFMNlFuWG13S1Rra1ZVZGdPcU40bmZxS2p5M09wT09h?oc=5</t>
        </is>
      </c>
    </row>
    <row r="14">
      <c r="A14" s="7" t="inlineStr">
        <is>
          <t>NW-0013</t>
        </is>
      </c>
      <c r="B14" s="8" t="inlineStr">
        <is>
          <t>2023</t>
        </is>
      </c>
      <c r="C14" s="7" t="inlineStr">
        <is>
          <t>2023-09-27</t>
        </is>
      </c>
      <c r="D14" s="9" t="inlineStr">
        <is>
          <t>Shared heritage of archaeological sites in the North and East</t>
        </is>
      </c>
      <c r="E14" s="9" t="n"/>
      <c r="F14" s="9" t="inlineStr">
        <is>
          <t>Daily Mirror - Sri Lanka</t>
        </is>
      </c>
      <c r="G14" s="7" t="inlineStr">
        <is>
          <t>News</t>
        </is>
      </c>
      <c r="H14" s="7" t="inlineStr">
        <is>
          <t>English</t>
        </is>
      </c>
      <c r="I14" s="9" t="inlineStr">
        <is>
          <t>Archaeology / தொல்லியல்</t>
        </is>
      </c>
      <c r="J14" s="9" t="inlineStr">
        <is>
          <t>archaeological</t>
        </is>
      </c>
      <c r="K14" s="7" t="inlineStr">
        <is>
          <t>Yes</t>
        </is>
      </c>
      <c r="L14" s="9" t="inlineStr">
        <is>
          <t>Google News query: Tamil inscription Sri Lanka. Auto-collected 2026-10-14 (news); review.</t>
        </is>
      </c>
      <c r="M14"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15">
      <c r="A15" s="11" t="inlineStr">
        <is>
          <t>NW-0014</t>
        </is>
      </c>
      <c r="B15" s="12" t="inlineStr">
        <is>
          <t>2023</t>
        </is>
      </c>
      <c r="C15" s="11" t="inlineStr">
        <is>
          <t>2023-11-09</t>
        </is>
      </c>
      <c r="D15" s="13" t="inlineStr">
        <is>
          <t>இலங்கையில் மிகப் பெரிய கல்வெட்டு கண்டுபிடிப்பு</t>
        </is>
      </c>
      <c r="E15" s="13" t="n"/>
      <c r="F15" s="13" t="inlineStr">
        <is>
          <t>මුල් පිටුව</t>
        </is>
      </c>
      <c r="G15" s="11" t="inlineStr">
        <is>
          <t>News</t>
        </is>
      </c>
      <c r="H15" s="11" t="inlineStr">
        <is>
          <t>Tamil</t>
        </is>
      </c>
      <c r="I15" s="13" t="inlineStr">
        <is>
          <t>Inscriptions / கல்வெட்டு</t>
        </is>
      </c>
      <c r="J15" s="13" t="inlineStr">
        <is>
          <t>கல்வெட்டு</t>
        </is>
      </c>
      <c r="K15" s="11" t="inlineStr">
        <is>
          <t>Yes</t>
        </is>
      </c>
      <c r="L15" s="13" t="inlineStr">
        <is>
          <t>Google News query: கல்வெட்டு இலங்கை. Auto-collected 2026-10-14 (news); review.</t>
        </is>
      </c>
      <c r="M15" s="14" t="inlineStr">
        <is>
          <t>https://news.google.com/rss/articles/CBMiV0FVX3lxTE0xSVZDa2M2cjhyOFJNVzZ4UEt2TnRyanBkaXBhSmxhTElobUFMNWhic0dWMlloejhDY3NaOGVEMnNnN0liY1B6cjR1OTFMOVowUUp1YzQ1WQ?oc=5</t>
        </is>
      </c>
    </row>
    <row r="16">
      <c r="A16" s="7" t="inlineStr">
        <is>
          <t>NW-0015</t>
        </is>
      </c>
      <c r="B16" s="8" t="inlineStr">
        <is>
          <t>2021</t>
        </is>
      </c>
      <c r="C16" s="7" t="inlineStr">
        <is>
          <t>2021-11-22</t>
        </is>
      </c>
      <c r="D16" s="9" t="inlineStr">
        <is>
          <t>இலங்கை தமிழர் வரலாறு பற்றி இதுவரை அறியப்படாத புதிய கல்வெட்டு திருகோணமலையில் கண்டுபிடிப்பு</t>
        </is>
      </c>
      <c r="E16" s="9" t="n"/>
      <c r="F16" s="9" t="inlineStr">
        <is>
          <t>Virakesari</t>
        </is>
      </c>
      <c r="G16" s="7" t="inlineStr">
        <is>
          <t>News</t>
        </is>
      </c>
      <c r="H16" s="7" t="inlineStr">
        <is>
          <t>Tamil</t>
        </is>
      </c>
      <c r="I16" s="9" t="inlineStr">
        <is>
          <t>Inscriptions / கல்வெட்டு</t>
        </is>
      </c>
      <c r="J16" s="9" t="inlineStr">
        <is>
          <t>கல்வெட்டு</t>
        </is>
      </c>
      <c r="K16" s="7" t="inlineStr">
        <is>
          <t>Yes</t>
        </is>
      </c>
      <c r="L16" s="9" t="inlineStr">
        <is>
          <t>Google News query: கல்வெட்டு இலங்கை. Auto-collected 2026-10-14 (news); review.</t>
        </is>
      </c>
      <c r="M16" s="10" t="inlineStr">
        <is>
          <t>https://news.google.com/rss/articles/CBMiUkFVX3lxTE1fNTgzSTJzeXFaeXJrVU44Z3ZlcE13OFR5YU00WTBQRTVhUnJxSm1IeFFVdEVMaVI4M0dsREhFd1ZsMG9WT0pEZVU0Nms2TFRfLVE?oc=5</t>
        </is>
      </c>
    </row>
    <row r="17">
      <c r="A17" s="11" t="inlineStr">
        <is>
          <t>NW-0016</t>
        </is>
      </c>
      <c r="B17" s="12" t="inlineStr">
        <is>
          <t>2021</t>
        </is>
      </c>
      <c r="C17" s="11" t="inlineStr">
        <is>
          <t>2021-11-22</t>
        </is>
      </c>
      <c r="D17" s="13" t="inlineStr">
        <is>
          <t>இலங்கை தமிழர் வரலாறு: புதிய தகவல்களைக் கூறும் 13ஆம் நூற்றாண்டு கல்வெட்டு</t>
        </is>
      </c>
      <c r="E17" s="13" t="n"/>
      <c r="F17" s="13" t="inlineStr">
        <is>
          <t>BBC</t>
        </is>
      </c>
      <c r="G17" s="11" t="inlineStr">
        <is>
          <t>News</t>
        </is>
      </c>
      <c r="H17" s="11" t="inlineStr">
        <is>
          <t>Tamil</t>
        </is>
      </c>
      <c r="I17" s="13" t="inlineStr">
        <is>
          <t>Inscriptions / கல்வெட்டு</t>
        </is>
      </c>
      <c r="J17" s="13" t="inlineStr">
        <is>
          <t>கல்வெட்டு</t>
        </is>
      </c>
      <c r="K17" s="11" t="inlineStr">
        <is>
          <t>Yes</t>
        </is>
      </c>
      <c r="L17" s="13" t="inlineStr">
        <is>
          <t>Google News query: கல்வெட்டு இலங்கை. Auto-collected 2026-10-14 (news); review.</t>
        </is>
      </c>
      <c r="M1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18">
      <c r="A18" s="7" t="inlineStr">
        <is>
          <t>NW-0017</t>
        </is>
      </c>
      <c r="B18" s="8" t="inlineStr">
        <is>
          <t>2020</t>
        </is>
      </c>
      <c r="C18" s="7" t="inlineStr">
        <is>
          <t>2020-12-01</t>
        </is>
      </c>
      <c r="D18" s="9" t="inlineStr">
        <is>
          <t>Sri Lanka’s archaeology department acquires ‘ancient monastery site’ in Jaffna</t>
        </is>
      </c>
      <c r="E18" s="9" t="n"/>
      <c r="F18" s="9" t="inlineStr">
        <is>
          <t>Tamil Guardian</t>
        </is>
      </c>
      <c r="G18" s="7" t="inlineStr">
        <is>
          <t>News</t>
        </is>
      </c>
      <c r="H18" s="7" t="inlineStr">
        <is>
          <t>English</t>
        </is>
      </c>
      <c r="I18" s="9" t="inlineStr">
        <is>
          <t>Archaeology / தொல்லியல்</t>
        </is>
      </c>
      <c r="J18" s="9" t="inlineStr">
        <is>
          <t>archaeology</t>
        </is>
      </c>
      <c r="K18" s="7" t="inlineStr">
        <is>
          <t>Yes</t>
        </is>
      </c>
      <c r="L18" s="9" t="inlineStr">
        <is>
          <t>Google News query: archaeology Jaffna. Auto-collected 2026-10-14 (news); review.</t>
        </is>
      </c>
      <c r="M18"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19">
      <c r="A19" s="11" t="inlineStr">
        <is>
          <t>NW-0018</t>
        </is>
      </c>
      <c r="B19" s="12" t="inlineStr">
        <is>
          <t>2019</t>
        </is>
      </c>
      <c r="C19" s="11" t="inlineStr">
        <is>
          <t>2019-03-17</t>
        </is>
      </c>
      <c r="D19" s="13" t="inlineStr">
        <is>
          <t>இலங்கையில் பெருங்கற்காலத்தில் தமிழர்கள் வாழ்ந்த இடம்; அழிந்து வருவதாக மக்கள் கவலை</t>
        </is>
      </c>
      <c r="E19" s="13" t="n"/>
      <c r="F19" s="13" t="inlineStr">
        <is>
          <t>BBC</t>
        </is>
      </c>
      <c r="G19" s="11" t="inlineStr">
        <is>
          <t>News</t>
        </is>
      </c>
      <c r="H19" s="11" t="inlineStr">
        <is>
          <t>Tamil</t>
        </is>
      </c>
      <c r="I19" s="13" t="inlineStr">
        <is>
          <t>Archaeology / தொல்லியல்</t>
        </is>
      </c>
      <c r="J19" s="13" t="inlineStr">
        <is>
          <t>பெருங்கற்</t>
        </is>
      </c>
      <c r="K19" s="11" t="inlineStr">
        <is>
          <t>Yes</t>
        </is>
      </c>
      <c r="L19" s="13" t="inlineStr">
        <is>
          <t>Google News query: தொல்லியல் இலங்கை தமிழ். Auto-collected 2026-10-14 (news); review.</t>
        </is>
      </c>
      <c r="M19"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0">
      <c r="A20" s="7" t="inlineStr">
        <is>
          <t>NW-0019</t>
        </is>
      </c>
      <c r="B20" s="8" t="inlineStr">
        <is>
          <t>2019</t>
        </is>
      </c>
      <c r="C20" s="7" t="inlineStr">
        <is>
          <t>2019-04-10</t>
        </is>
      </c>
      <c r="D20" s="9" t="inlineStr">
        <is>
          <t>The antiquity of Jaffna Fort: new evidence from post-disaster archaeological investigations in northern Sri Lanka</t>
        </is>
      </c>
      <c r="E20" s="9" t="n"/>
      <c r="F20" s="9" t="inlineStr">
        <is>
          <t>Cambridge University Press &amp; Assessment</t>
        </is>
      </c>
      <c r="G20" s="7" t="inlineStr">
        <is>
          <t>News</t>
        </is>
      </c>
      <c r="H20" s="7" t="inlineStr">
        <is>
          <t>English</t>
        </is>
      </c>
      <c r="I20" s="9" t="inlineStr">
        <is>
          <t>Archaeology / தொல்லியல்</t>
        </is>
      </c>
      <c r="J20" s="9" t="inlineStr">
        <is>
          <t>archaeological</t>
        </is>
      </c>
      <c r="K20" s="7" t="inlineStr">
        <is>
          <t>Yes</t>
        </is>
      </c>
      <c r="L20" s="9" t="inlineStr">
        <is>
          <t>Google News query: archaeology Jaffna. Auto-collected 2026-10-14 (news); review.</t>
        </is>
      </c>
      <c r="M20" s="10"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21">
      <c r="A21" s="11" t="inlineStr">
        <is>
          <t>NW-0020</t>
        </is>
      </c>
      <c r="B21" s="12" t="inlineStr">
        <is>
          <t>2019</t>
        </is>
      </c>
      <c r="C21" s="11" t="inlineStr">
        <is>
          <t>2019-05-30</t>
        </is>
      </c>
      <c r="D21" s="13" t="inlineStr">
        <is>
          <t>30.05.19 SL Archaeology Dept steps up controversial construction work in Trincomalee</t>
        </is>
      </c>
      <c r="E21" s="13" t="n"/>
      <c r="F21" s="13" t="inlineStr">
        <is>
          <t>TamilNet</t>
        </is>
      </c>
      <c r="G21" s="11" t="inlineStr">
        <is>
          <t>News</t>
        </is>
      </c>
      <c r="H21" s="11" t="inlineStr">
        <is>
          <t>English</t>
        </is>
      </c>
      <c r="I21" s="13" t="inlineStr">
        <is>
          <t>Archaeology / தொல்லியல்</t>
        </is>
      </c>
      <c r="J21" s="13" t="inlineStr">
        <is>
          <t>archaeology</t>
        </is>
      </c>
      <c r="K21" s="11" t="inlineStr">
        <is>
          <t>Yes</t>
        </is>
      </c>
      <c r="L21" s="13" t="inlineStr">
        <is>
          <t>Google News query: archaeology Vanni Tamil. Auto-collected 2026-10-14 (news); review.</t>
        </is>
      </c>
      <c r="M21" s="14" t="inlineStr">
        <is>
          <t>https://news.google.com/rss/articles/CBMiZEFVX3lxTFBaOXhuY19ZUk1ySExJdXFObDBJWDEzMmtqZVhLNTNoNVhhZWhvQm1Idy1uUWRiU1h2Nkg4UWRMTmtNLVhOWU0zSzdBWFZjdzEwQnJtX0FLd1FnWXlpYVl0TU9OSG0?oc=5</t>
        </is>
      </c>
    </row>
    <row r="22">
      <c r="A22" s="7" t="inlineStr">
        <is>
          <t>NW-0021</t>
        </is>
      </c>
      <c r="B22" s="8" t="inlineStr">
        <is>
          <t>2019</t>
        </is>
      </c>
      <c r="C22" s="7" t="inlineStr">
        <is>
          <t>2019-08-19</t>
        </is>
      </c>
      <c r="D22" s="9" t="inlineStr">
        <is>
          <t>Tamil archaeological site under threat from granite mining</t>
        </is>
      </c>
      <c r="E22" s="9" t="n"/>
      <c r="F22" s="9" t="inlineStr">
        <is>
          <t>Tamil Guardian</t>
        </is>
      </c>
      <c r="G22" s="7" t="inlineStr">
        <is>
          <t>News</t>
        </is>
      </c>
      <c r="H22" s="7" t="inlineStr">
        <is>
          <t>English</t>
        </is>
      </c>
      <c r="I22" s="9" t="inlineStr">
        <is>
          <t>Archaeology / தொல்லியல்</t>
        </is>
      </c>
      <c r="J22" s="9" t="inlineStr">
        <is>
          <t>archaeological</t>
        </is>
      </c>
      <c r="K22" s="7" t="inlineStr">
        <is>
          <t>Yes</t>
        </is>
      </c>
      <c r="L22" s="9" t="inlineStr">
        <is>
          <t>Google News query: archaeology Vanni Tamil. Auto-collected 2026-10-14 (news); review.</t>
        </is>
      </c>
      <c r="M22" s="10" t="inlineStr">
        <is>
          <t>https://news.google.com/rss/articles/CBMilgFBVV95cUxPWjg3MzRjZlBYMTRYN2tEcGc5VXRTM25lZTlxYXl1RnhwLTdRQlRxYURPNE1oSGt0VFMxQ2pvNEg1LURmdF9rZ1NhZUNUU2lmSHIyMFpQTFU4cXAxTjZhN3Jsd2FhajVVdjN1dS1zUmptcFNJU0t1dlREZVRTbHAzV1JsTDM4dk9TLXQ2S0dIa3BBVzNnTnc?oc=5</t>
        </is>
      </c>
    </row>
    <row r="23">
      <c r="A23" s="11" t="inlineStr">
        <is>
          <t>NW-0022</t>
        </is>
      </c>
      <c r="B23" s="12" t="inlineStr">
        <is>
          <t>2019</t>
        </is>
      </c>
      <c r="C23" s="11" t="inlineStr">
        <is>
          <t>2019-09-30</t>
        </is>
      </c>
      <c r="D23" s="13" t="inlineStr">
        <is>
          <t>Monument to Tamil king in disrepair as Sri Lanka’s archaeology department ignores destruction</t>
        </is>
      </c>
      <c r="E23" s="13" t="n"/>
      <c r="F23" s="13" t="inlineStr">
        <is>
          <t>Tamil Guardian</t>
        </is>
      </c>
      <c r="G23" s="11" t="inlineStr">
        <is>
          <t>News</t>
        </is>
      </c>
      <c r="H23" s="11" t="inlineStr">
        <is>
          <t>English</t>
        </is>
      </c>
      <c r="I23" s="13" t="inlineStr">
        <is>
          <t>Archaeology / தொல்லியல்</t>
        </is>
      </c>
      <c r="J23" s="13" t="inlineStr">
        <is>
          <t>archaeology</t>
        </is>
      </c>
      <c r="K23" s="11" t="inlineStr">
        <is>
          <t>Yes</t>
        </is>
      </c>
      <c r="L23" s="13" t="inlineStr">
        <is>
          <t>Google News query: archaeology Vanni Tamil. Auto-collected 2026-10-14 (news); review.</t>
        </is>
      </c>
      <c r="M2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
      <c r="A24" s="7" t="inlineStr">
        <is>
          <t>NW-0023</t>
        </is>
      </c>
      <c r="B24" s="8" t="inlineStr">
        <is>
          <t>2019</t>
        </is>
      </c>
      <c r="C24" s="7" t="inlineStr">
        <is>
          <t>2019-10-01</t>
        </is>
      </c>
      <c r="D24" s="9" t="inlineStr">
        <is>
          <t>பல ஆண்டுகளுக்குப் பின் தம்பலகாமத்தில் கண்டுபிடிக்கப்பட்ட அரிய தமிழ்க்கல்வெட்டு</t>
        </is>
      </c>
      <c r="E24" s="9" t="n"/>
      <c r="F24" s="9" t="inlineStr">
        <is>
          <t>Virakesari</t>
        </is>
      </c>
      <c r="G24" s="7" t="inlineStr">
        <is>
          <t>News</t>
        </is>
      </c>
      <c r="H24" s="7" t="inlineStr">
        <is>
          <t>Tamil</t>
        </is>
      </c>
      <c r="I24" s="9" t="inlineStr">
        <is>
          <t>Inscriptions / கல்வெட்டு</t>
        </is>
      </c>
      <c r="J24" s="9" t="inlineStr">
        <is>
          <t>கல்வெட்டு</t>
        </is>
      </c>
      <c r="K24" s="7" t="inlineStr">
        <is>
          <t>Yes</t>
        </is>
      </c>
      <c r="L24" s="9" t="inlineStr">
        <is>
          <t>Google News query: கல்வெட்டு இலங்கை. Auto-collected 2026-10-14 (news); review.</t>
        </is>
      </c>
      <c r="M24" s="10" t="inlineStr">
        <is>
          <t>https://news.google.com/rss/articles/CBMiUEFVX3lxTFBoclkwMTRjdmdKLWZ2aVE4Tk5VNUd5VlAyeVM4WG5EVHBNUFFfT2lwTkVweC1qLTJNODhBRE1wdUcxdVpvU3NVXzJFeGFKMXFp?oc=5</t>
        </is>
      </c>
    </row>
    <row r="25">
      <c r="A25" s="11" t="inlineStr">
        <is>
          <t>NW-0024</t>
        </is>
      </c>
      <c r="B25" s="12" t="inlineStr">
        <is>
          <t>2018</t>
        </is>
      </c>
      <c r="C25" s="11" t="inlineStr">
        <is>
          <t>2018-02-11</t>
        </is>
      </c>
      <c r="D25" s="13" t="inlineStr">
        <is>
          <t>Head to the East for a feast of archaeological sites</t>
        </is>
      </c>
      <c r="E25" s="13" t="n"/>
      <c r="F25" s="13" t="inlineStr">
        <is>
          <t>Sunday Times (Sri Lanka)</t>
        </is>
      </c>
      <c r="G25" s="11" t="inlineStr">
        <is>
          <t>Feature</t>
        </is>
      </c>
      <c r="H25" s="11" t="inlineStr">
        <is>
          <t>English</t>
        </is>
      </c>
      <c r="I25" s="13" t="inlineStr">
        <is>
          <t>Archaeology / தொல்லியல்</t>
        </is>
      </c>
      <c r="J25" s="13" t="inlineStr">
        <is>
          <t>archaeology; Eastern Province</t>
        </is>
      </c>
      <c r="K25" s="11" t="inlineStr">
        <is>
          <t>Yes</t>
        </is>
      </c>
      <c r="L25" s="13" t="n"/>
      <c r="M25" s="14" t="inlineStr">
        <is>
          <t>https://www.sundaytimes.lk/180211/plus/head-to-the-east-for-a-feast-of-archaeological-sites-281129.html</t>
        </is>
      </c>
    </row>
    <row r="26">
      <c r="A26" s="7" t="inlineStr">
        <is>
          <t>NW-0025</t>
        </is>
      </c>
      <c r="B26" s="8" t="inlineStr">
        <is>
          <t>2018</t>
        </is>
      </c>
      <c r="C26" s="7" t="inlineStr">
        <is>
          <t>2018-08-16</t>
        </is>
      </c>
      <c r="D26" s="9" t="inlineStr">
        <is>
          <t>New Delhi with ‘cultural presence’ not concerned about Chinese ‘heritage archaeology’ in Kayts</t>
        </is>
      </c>
      <c r="E26" s="9" t="n"/>
      <c r="F26" s="9" t="inlineStr">
        <is>
          <t>TamilNet</t>
        </is>
      </c>
      <c r="G26" s="7" t="inlineStr">
        <is>
          <t>News</t>
        </is>
      </c>
      <c r="H26" s="7" t="inlineStr">
        <is>
          <t>English</t>
        </is>
      </c>
      <c r="I26" s="9" t="inlineStr">
        <is>
          <t>Archaeology / தொல்லியல்</t>
        </is>
      </c>
      <c r="J26" s="9" t="inlineStr">
        <is>
          <t>archaeology</t>
        </is>
      </c>
      <c r="K26" s="7" t="inlineStr">
        <is>
          <t>Yes</t>
        </is>
      </c>
      <c r="L26" s="9" t="inlineStr">
        <is>
          <t>Google News query: archaeology Jaffna. Auto-collected 2026-10-14 (news); review.</t>
        </is>
      </c>
      <c r="M26" s="10" t="inlineStr">
        <is>
          <t>https://news.google.com/rss/articles/CBMiZEFVX3lxTE1OS2ZQSnVTU3JtZVR3Umthby1VWWZYdU1yakJCUExKQ0IzVG56Vm1JRDZDWkF2YV9waVZzWnowWWtkbjFxSWJMVlVSN01SRUtXeTdjNl9YQ0NlZloxUzU0N1ljeVQ?oc=5</t>
        </is>
      </c>
    </row>
    <row r="27">
      <c r="A27" s="11" t="inlineStr">
        <is>
          <t>NW-0026</t>
        </is>
      </c>
      <c r="B27" s="12" t="inlineStr">
        <is>
          <t>2018</t>
        </is>
      </c>
      <c r="C27" s="11" t="inlineStr">
        <is>
          <t>2018-09-15</t>
        </is>
      </c>
      <c r="D27" s="13" t="inlineStr">
        <is>
          <t>China and Sri Lanka unite in Maritime Silk Road archaeological research</t>
        </is>
      </c>
      <c r="E27" s="13" t="n"/>
      <c r="F27" s="13" t="inlineStr">
        <is>
          <t>CGTN</t>
        </is>
      </c>
      <c r="G27" s="11" t="inlineStr">
        <is>
          <t>News</t>
        </is>
      </c>
      <c r="H27" s="11" t="inlineStr">
        <is>
          <t>English</t>
        </is>
      </c>
      <c r="I27" s="13" t="inlineStr">
        <is>
          <t>Archaeology / தொல்லியல்</t>
        </is>
      </c>
      <c r="J27" s="13" t="inlineStr">
        <is>
          <t>archaeological</t>
        </is>
      </c>
      <c r="K27" s="11" t="inlineStr">
        <is>
          <t>Yes</t>
        </is>
      </c>
      <c r="L27" s="13" t="inlineStr">
        <is>
          <t>Google News query: archaeology Jaffna. Auto-collected 2026-10-14 (news); review.</t>
        </is>
      </c>
      <c r="M2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8">
      <c r="A28" s="7" t="inlineStr">
        <is>
          <t>NW-0027</t>
        </is>
      </c>
      <c r="B28" s="8" t="inlineStr">
        <is>
          <t>2017</t>
        </is>
      </c>
      <c r="C28" s="7" t="inlineStr">
        <is>
          <t>2017-01-04</t>
        </is>
      </c>
      <c r="D28" s="9" t="inlineStr">
        <is>
          <t>Standing the test of time</t>
        </is>
      </c>
      <c r="E28" s="9" t="n"/>
      <c r="F28" s="9" t="inlineStr">
        <is>
          <t>Daily News (Sri Lanka)</t>
        </is>
      </c>
      <c r="G28" s="7" t="inlineStr">
        <is>
          <t>Feature</t>
        </is>
      </c>
      <c r="H28" s="7" t="inlineStr">
        <is>
          <t>English</t>
        </is>
      </c>
      <c r="I28" s="9" t="inlineStr">
        <is>
          <t>Archaeology / தொல்லியல்</t>
        </is>
      </c>
      <c r="J28" s="9" t="inlineStr">
        <is>
          <t>archaeology</t>
        </is>
      </c>
      <c r="K28" s="7" t="inlineStr">
        <is>
          <t>Yes</t>
        </is>
      </c>
      <c r="L28" s="9" t="inlineStr">
        <is>
          <t>Relevance to verify</t>
        </is>
      </c>
      <c r="M28" s="10" t="inlineStr">
        <is>
          <t>https://archives1.dailynews.lk/2017/01/04/features/103659</t>
        </is>
      </c>
    </row>
    <row r="29">
      <c r="A29" s="11" t="inlineStr">
        <is>
          <t>NW-0028</t>
        </is>
      </c>
      <c r="B29" s="12" t="inlineStr">
        <is>
          <t>2017</t>
        </is>
      </c>
      <c r="C29" s="11" t="inlineStr">
        <is>
          <t>2017-12-20</t>
        </is>
      </c>
      <c r="D29" s="13" t="inlineStr">
        <is>
          <t>Sri Lankan troops in Jaffna lectured on ‘archaeology’</t>
        </is>
      </c>
      <c r="E29" s="13" t="n"/>
      <c r="F29" s="13" t="inlineStr">
        <is>
          <t>Tamil Guardian</t>
        </is>
      </c>
      <c r="G29" s="11" t="inlineStr">
        <is>
          <t>News</t>
        </is>
      </c>
      <c r="H29" s="11" t="inlineStr">
        <is>
          <t>English</t>
        </is>
      </c>
      <c r="I29" s="13" t="inlineStr">
        <is>
          <t>Archaeology / தொல்லியல்</t>
        </is>
      </c>
      <c r="J29" s="13" t="inlineStr">
        <is>
          <t>archaeology</t>
        </is>
      </c>
      <c r="K29" s="11" t="inlineStr">
        <is>
          <t>Yes</t>
        </is>
      </c>
      <c r="L29" s="13" t="inlineStr">
        <is>
          <t>Google News query: archaeology Jaffna. Auto-collected 2026-10-14 (news); review.</t>
        </is>
      </c>
      <c r="M29" s="14" t="inlineStr">
        <is>
          <t>https://news.google.com/rss/articles/CBMiiwFBVV95cUxPcWJrT2RRWFB4dzZmS1RJY0FoOFZoQzY1ZWJsM0kzZGc4ZlNtZDZIVzBFYVdxdlZsbXNVeF9xOGJqLWh3d0xCNnIxRm5TV2d5RFN0QWJ1ZFJCazdrM1hlVmRXNHBub0pCdHd6Wk1LcTFnY3dydi1xd0J0dUxUNThpZVdnTjJGOUZHVXhF?oc=5</t>
        </is>
      </c>
    </row>
    <row r="30">
      <c r="A30" s="7" t="inlineStr">
        <is>
          <t>NW-0029</t>
        </is>
      </c>
      <c r="B30" s="8" t="inlineStr">
        <is>
          <t>2014</t>
        </is>
      </c>
      <c r="C30" s="7" t="inlineStr">
        <is>
          <t>2014-06-06</t>
        </is>
      </c>
      <c r="D30" s="9" t="inlineStr">
        <is>
          <t>06.06.14 SL Army conducts ‘archaeology’, The Hindu relays ‘history’</t>
        </is>
      </c>
      <c r="E30" s="9" t="n"/>
      <c r="F30" s="9" t="inlineStr">
        <is>
          <t>TamilNet</t>
        </is>
      </c>
      <c r="G30" s="7" t="inlineStr">
        <is>
          <t>News</t>
        </is>
      </c>
      <c r="H30" s="7" t="inlineStr">
        <is>
          <t>English</t>
        </is>
      </c>
      <c r="I30" s="9" t="inlineStr">
        <is>
          <t>Archaeology / தொல்லியல்</t>
        </is>
      </c>
      <c r="J30" s="9" t="inlineStr">
        <is>
          <t>archaeology</t>
        </is>
      </c>
      <c r="K30" s="7" t="inlineStr">
        <is>
          <t>Yes</t>
        </is>
      </c>
      <c r="L30" s="9" t="inlineStr">
        <is>
          <t>Google News query: archaeology Jaffna. Auto-collected 2026-10-14 (news); review.</t>
        </is>
      </c>
      <c r="M30" s="10" t="inlineStr">
        <is>
          <t>https://news.google.com/rss/articles/CBMiZEFVX3lxTE1LRUlucXZoVEVIaGlNTU1tN3BjNmpYdGQ3eVhfeTJVb1JMTGhWMndLQVhWTl9VOUZrSm92Z3NFak5OQ05rdGdLLTN2SFNaR0tkT21zVHV0NTdncGN2QmVyT1YyVnA?oc=5</t>
        </is>
      </c>
    </row>
    <row r="31">
      <c r="A31" s="11" t="inlineStr">
        <is>
          <t>NW-0030</t>
        </is>
      </c>
      <c r="B31" s="12" t="inlineStr">
        <is>
          <t>2013</t>
        </is>
      </c>
      <c r="C31" s="11" t="inlineStr">
        <is>
          <t>2013-03-10</t>
        </is>
      </c>
      <c r="D31" s="13" t="inlineStr">
        <is>
          <t>(Rock painting feature)</t>
        </is>
      </c>
      <c r="E31" s="13" t="n"/>
      <c r="F31" s="13" t="inlineStr">
        <is>
          <t>Sunday Observer</t>
        </is>
      </c>
      <c r="G31" s="11" t="inlineStr">
        <is>
          <t>Feature</t>
        </is>
      </c>
      <c r="H31" s="11" t="inlineStr">
        <is>
          <t>English</t>
        </is>
      </c>
      <c r="I31" s="13" t="inlineStr">
        <is>
          <t>Rock art / பாறை ஓவியம்</t>
        </is>
      </c>
      <c r="J31" s="13" t="inlineStr">
        <is>
          <t>rock paintings</t>
        </is>
      </c>
      <c r="K31" s="11" t="inlineStr">
        <is>
          <t>Yes</t>
        </is>
      </c>
      <c r="L31" s="13" t="inlineStr">
        <is>
          <t>Title to verify</t>
        </is>
      </c>
      <c r="M31" s="14" t="inlineStr">
        <is>
          <t>https://archives.sundayobserver.lk/2013/03/10/mon13.asp</t>
        </is>
      </c>
    </row>
    <row r="32">
      <c r="A32" s="7" t="inlineStr">
        <is>
          <t>NW-0031</t>
        </is>
      </c>
      <c r="B32" s="8" t="inlineStr">
        <is>
          <t>2013</t>
        </is>
      </c>
      <c r="C32" s="7" t="inlineStr">
        <is>
          <t>2013-07-27</t>
        </is>
      </c>
      <c r="D32" s="9" t="inlineStr">
        <is>
          <t>27.07.13 Sinhala archaeology focuses operation in North-East corridor</t>
        </is>
      </c>
      <c r="E32" s="9" t="n"/>
      <c r="F32" s="9" t="inlineStr">
        <is>
          <t>TamilNet</t>
        </is>
      </c>
      <c r="G32" s="7" t="inlineStr">
        <is>
          <t>News</t>
        </is>
      </c>
      <c r="H32" s="7" t="inlineStr">
        <is>
          <t>English</t>
        </is>
      </c>
      <c r="I32" s="9" t="inlineStr">
        <is>
          <t>Archaeology / தொல்லியல்</t>
        </is>
      </c>
      <c r="J32" s="9" t="inlineStr">
        <is>
          <t>archaeology</t>
        </is>
      </c>
      <c r="K32" s="7" t="inlineStr">
        <is>
          <t>Yes</t>
        </is>
      </c>
      <c r="L32" s="9" t="inlineStr">
        <is>
          <t>Google News query: Tamil inscription Sri Lanka. Auto-collected 2026-10-14 (news); review.</t>
        </is>
      </c>
      <c r="M32" s="10" t="inlineStr">
        <is>
          <t>https://news.google.com/rss/articles/CBMiZEFVX3lxTFBYTGhDRkNEazhYNFktcnRoUDZWQVFXUHpIeXM4a3dWbVlmUnZhUzlpa29pX01YajNWTXlhN2ZZQXlHR3Z5dWFBZ0dYS003TTJjYmJ0ZVUtYmRCVW5RMDliLWY2clE?oc=5</t>
        </is>
      </c>
    </row>
    <row r="33">
      <c r="A33" s="11" t="inlineStr">
        <is>
          <t>NW-0032</t>
        </is>
      </c>
      <c r="B33" s="12" t="inlineStr">
        <is>
          <t>2013</t>
        </is>
      </c>
      <c r="C33" s="11" t="inlineStr">
        <is>
          <t>2013-09-13</t>
        </is>
      </c>
      <c r="D33" s="13" t="inlineStr">
        <is>
          <t>13.09.13 Sri Lanka archaeology claims finding ‘Sinhala Prakrit’ in Delft</t>
        </is>
      </c>
      <c r="E33" s="13" t="n"/>
      <c r="F33" s="13" t="inlineStr">
        <is>
          <t>TamilNet</t>
        </is>
      </c>
      <c r="G33" s="11" t="inlineStr">
        <is>
          <t>News</t>
        </is>
      </c>
      <c r="H33" s="11" t="inlineStr">
        <is>
          <t>English</t>
        </is>
      </c>
      <c r="I33" s="13" t="inlineStr">
        <is>
          <t>Archaeology / தொல்லியல்</t>
        </is>
      </c>
      <c r="J33" s="13" t="inlineStr">
        <is>
          <t>archaeology</t>
        </is>
      </c>
      <c r="K33" s="11" t="inlineStr">
        <is>
          <t>Yes</t>
        </is>
      </c>
      <c r="L33" s="13" t="inlineStr">
        <is>
          <t>Google News query: Tamil inscription Sri Lanka. Auto-collected 2026-10-14 (news); review.</t>
        </is>
      </c>
      <c r="M33" s="14" t="inlineStr">
        <is>
          <t>https://news.google.com/rss/articles/CBMiZEFVX3lxTE9kekJTQWdVczhfMzVmbF9ETVpFUHFGbEw2Mk5LR2JoSXFEelNqZEE5TmJ2VkhubTZJcnJKeE1MLUNTeTdGZFkwbkJQU3dwLTBRSkluenBvbnJraDk3cHN3aER3SW8?oc=5</t>
        </is>
      </c>
    </row>
    <row r="34">
      <c r="A34" s="7" t="inlineStr">
        <is>
          <t>NW-0033</t>
        </is>
      </c>
      <c r="B34" s="8" t="inlineStr">
        <is>
          <t>2012</t>
        </is>
      </c>
      <c r="C34" s="7" t="inlineStr">
        <is>
          <t>2012-10-30</t>
        </is>
      </c>
      <c r="D34" s="9" t="inlineStr">
        <is>
          <t>Tamil went to Oman 20 centuries ago</t>
        </is>
      </c>
      <c r="E34" s="9" t="n"/>
      <c r="F34" s="9" t="inlineStr">
        <is>
          <t>TamilNet</t>
        </is>
      </c>
      <c r="G34" s="7" t="inlineStr">
        <is>
          <t>News</t>
        </is>
      </c>
      <c r="H34" s="7" t="inlineStr">
        <is>
          <t>English</t>
        </is>
      </c>
      <c r="I34" s="9" t="inlineStr">
        <is>
          <t>Brahmi / பிராமி</t>
        </is>
      </c>
      <c r="J34" s="9" t="inlineStr">
        <is>
          <t>Tamil Brahmi; overseas</t>
        </is>
      </c>
      <c r="K34" s="7" t="inlineStr">
        <is>
          <t>Yes</t>
        </is>
      </c>
      <c r="L34" s="9" t="n"/>
      <c r="M34" s="10" t="inlineStr">
        <is>
          <t>https://tamilnet.com/art.html?artid=35707&amp;catid=79</t>
        </is>
      </c>
    </row>
    <row r="35">
      <c r="A35" s="11" t="inlineStr">
        <is>
          <t>NW-0034</t>
        </is>
      </c>
      <c r="B35" s="12" t="inlineStr">
        <is>
          <t>2011</t>
        </is>
      </c>
      <c r="C35" s="11" t="n"/>
      <c r="D35" s="13" t="inlineStr">
        <is>
          <t>Would the heritage monuments which characterize our culture be considered during road development?</t>
        </is>
      </c>
      <c r="E35" s="13" t="inlineStr">
        <is>
          <t>S. Sajitharan</t>
        </is>
      </c>
      <c r="F35" s="13" t="inlineStr">
        <is>
          <t>Sunday Yarl Thinakkural</t>
        </is>
      </c>
      <c r="G35" s="11" t="inlineStr">
        <is>
          <t>Feature</t>
        </is>
      </c>
      <c r="H35" s="11" t="inlineStr">
        <is>
          <t>Tamil</t>
        </is>
      </c>
      <c r="I35" s="13" t="inlineStr">
        <is>
          <t>Archaeology / தொல்லியல்</t>
        </is>
      </c>
      <c r="J35" s="13" t="inlineStr">
        <is>
          <t>heritage; monuments</t>
        </is>
      </c>
      <c r="K35" s="11" t="inlineStr">
        <is>
          <t>Yes</t>
        </is>
      </c>
      <c r="L35" s="13" t="n"/>
      <c r="M35" s="14" t="inlineStr">
        <is>
          <t>https://www.his.jfn.ac.lk/?p=791</t>
        </is>
      </c>
    </row>
    <row r="36">
      <c r="A36" s="7" t="inlineStr">
        <is>
          <t>NW-0035</t>
        </is>
      </c>
      <c r="B36" s="8" t="inlineStr">
        <is>
          <t>2011</t>
        </is>
      </c>
      <c r="C36" s="7" t="inlineStr">
        <is>
          <t>2011-02-15</t>
        </is>
      </c>
      <c r="D36" s="9" t="inlineStr">
        <is>
          <t>அழிந்த சிவன் கோயிலின் எச்சங்கள்</t>
        </is>
      </c>
      <c r="E36" s="9" t="n"/>
      <c r="F36" s="9" t="inlineStr">
        <is>
          <t>Thinakaran</t>
        </is>
      </c>
      <c r="G36" s="7" t="inlineStr">
        <is>
          <t>Feature</t>
        </is>
      </c>
      <c r="H36" s="7" t="inlineStr">
        <is>
          <t>Tamil</t>
        </is>
      </c>
      <c r="I36" s="9" t="inlineStr">
        <is>
          <t>Archaeology / தொல்லியல்</t>
        </is>
      </c>
      <c r="J36" s="9" t="inlineStr">
        <is>
          <t>தொல்லியல்; temple ruins</t>
        </is>
      </c>
      <c r="K36" s="7" t="inlineStr">
        <is>
          <t>Yes</t>
        </is>
      </c>
      <c r="L36" s="9" t="n"/>
      <c r="M36" s="10" t="inlineStr">
        <is>
          <t>https://archives.thinakaran.lk/2011/02/15/?fn=i1102155&amp;p=1</t>
        </is>
      </c>
    </row>
    <row r="37">
      <c r="A37" s="11" t="inlineStr">
        <is>
          <t>NW-0036</t>
        </is>
      </c>
      <c r="B37" s="12" t="inlineStr">
        <is>
          <t>2010</t>
        </is>
      </c>
      <c r="C37" s="11" t="inlineStr">
        <is>
          <t>2010-06-27</t>
        </is>
      </c>
      <c r="D37" s="13" t="inlineStr">
        <is>
          <t>27.06.10 Tamil Brahmi inscription found in Tissamaharama</t>
        </is>
      </c>
      <c r="E37" s="13" t="n"/>
      <c r="F37" s="13" t="inlineStr">
        <is>
          <t>TamilNet</t>
        </is>
      </c>
      <c r="G37" s="11" t="inlineStr">
        <is>
          <t>News</t>
        </is>
      </c>
      <c r="H37" s="11" t="inlineStr">
        <is>
          <t>English</t>
        </is>
      </c>
      <c r="I37" s="13" t="inlineStr">
        <is>
          <t>Inscriptions / கல்வெட்டு; Brahmi / பிராமி</t>
        </is>
      </c>
      <c r="J37" s="13" t="inlineStr">
        <is>
          <t>inscription; brahmi</t>
        </is>
      </c>
      <c r="K37" s="11" t="inlineStr">
        <is>
          <t>Yes</t>
        </is>
      </c>
      <c r="L37" s="13" t="inlineStr">
        <is>
          <t>Google News query: Tamil inscription Sri Lanka. Auto-collected 2026-10-14 (news); review.</t>
        </is>
      </c>
      <c r="M37" s="14" t="inlineStr">
        <is>
          <t>https://news.google.com/rss/articles/CBMiZEFVX3lxTFB5WW9oaWc3X0tSS3prMVNvUmNkY2VLYjAxVENYak05RW9nQXhwT1FkNGpQVjQ3bVFLVG0tU1Ruem8wVWJzQTg3ZzJEZURsM252enJ2OVUwdzY5S1gtNFRTdHRpenE?oc=5</t>
        </is>
      </c>
    </row>
    <row r="38">
      <c r="A38" s="7" t="inlineStr">
        <is>
          <t>NW-0037</t>
        </is>
      </c>
      <c r="B38" s="8" t="inlineStr">
        <is>
          <t>2010</t>
        </is>
      </c>
      <c r="C38" s="7" t="inlineStr">
        <is>
          <t>2010-07-28</t>
        </is>
      </c>
      <c r="D38" s="9" t="inlineStr">
        <is>
          <t>28.07.10 Tissamaharama potsherd evidences ordinary early Tamils among population</t>
        </is>
      </c>
      <c r="E38" s="9" t="n"/>
      <c r="F38" s="9" t="inlineStr">
        <is>
          <t>TamilNet</t>
        </is>
      </c>
      <c r="G38" s="7" t="inlineStr">
        <is>
          <t>News</t>
        </is>
      </c>
      <c r="H38" s="7" t="inlineStr">
        <is>
          <t>English</t>
        </is>
      </c>
      <c r="I38" s="9" t="inlineStr">
        <is>
          <t>Brahmi / பிராமி</t>
        </is>
      </c>
      <c r="J38" s="9" t="inlineStr">
        <is>
          <t>potsherd</t>
        </is>
      </c>
      <c r="K38" s="7" t="inlineStr">
        <is>
          <t>Yes</t>
        </is>
      </c>
      <c r="L38" s="9" t="inlineStr">
        <is>
          <t>Google News query: Tamil Brahmi Sri Lanka. Auto-collected 2026-10-14 (news); review.</t>
        </is>
      </c>
      <c r="M38" s="10" t="inlineStr">
        <is>
          <t>https://news.google.com/rss/articles/CBMiZEFVX3lxTE81YVVJN0xuNnVVY19CVV8yVDBQeXotR3VEN0lGaFo1dGpyR19jaVp5RmVhRWo4VllaVDlQMERlVFZISl82alYxZERQbHk3djdZaGQ3QTBpNDZyQ0RzajRWNmJzTi0?oc=5</t>
        </is>
      </c>
    </row>
    <row r="39">
      <c r="A39" s="11" t="inlineStr">
        <is>
          <t>NW-0038</t>
        </is>
      </c>
      <c r="B39" s="12" t="inlineStr">
        <is>
          <t>2010</t>
        </is>
      </c>
      <c r="C39" s="11" t="inlineStr">
        <is>
          <t>2010-09-08</t>
        </is>
      </c>
      <c r="D39" s="13" t="inlineStr">
        <is>
          <t>08.09.10 SL Army, Archaeology dept appropriate lands of uprooted Tamils in Maathakal</t>
        </is>
      </c>
      <c r="E39" s="13" t="n"/>
      <c r="F39" s="13" t="inlineStr">
        <is>
          <t>TamilNet</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https://news.google.com/rss/articles/CBMiZEFVX3lxTFBENjVRODRyaWJQVnFWX19mQTFVTHlJcWZ3Si1fVFdPbHB0WDFZS19OVllKLTU2RGdqRHMyV3dBbVgzQjdSXzQtUW1hcGFMcXBIMTlVTHo2d0lFRVQzaVdDNzFlM0Y?oc=5</t>
        </is>
      </c>
    </row>
    <row r="40">
      <c r="A40" s="7" t="inlineStr">
        <is>
          <t>NW-0039</t>
        </is>
      </c>
      <c r="B40" s="8" t="inlineStr">
        <is>
          <t>2010</t>
        </is>
      </c>
      <c r="C40" s="7" t="inlineStr">
        <is>
          <t>2010-10-21</t>
        </is>
      </c>
      <c r="D40" s="9" t="inlineStr">
        <is>
          <t>21.10.10 Tissamaharama Tamil Brahmi inscription ‘missing’</t>
        </is>
      </c>
      <c r="E40" s="9" t="n"/>
      <c r="F40" s="9" t="inlineStr">
        <is>
          <t>TamilNet</t>
        </is>
      </c>
      <c r="G40" s="7" t="inlineStr">
        <is>
          <t>News</t>
        </is>
      </c>
      <c r="H40" s="7" t="inlineStr">
        <is>
          <t>English</t>
        </is>
      </c>
      <c r="I40" s="9" t="inlineStr">
        <is>
          <t>Inscriptions / கல்வெட்டு; Brahmi / பிராமி</t>
        </is>
      </c>
      <c r="J40" s="9" t="inlineStr">
        <is>
          <t>inscription; brahmi</t>
        </is>
      </c>
      <c r="K40" s="7" t="inlineStr">
        <is>
          <t>Yes</t>
        </is>
      </c>
      <c r="L40" s="9" t="inlineStr">
        <is>
          <t>Google News query: Tamil inscription Sri Lanka. Auto-collected 2026-10-14 (news); review.</t>
        </is>
      </c>
      <c r="M40" s="10" t="inlineStr">
        <is>
          <t>https://news.google.com/rss/articles/CBMiZEFVX3lxTE9ZUmVrNXZBN1dsTWFrLXJ1XzI5QkxKT2ZpdTZ5VEN6b2gtTVJMaGQ3SEQyZFBVRUoxOEN4SlBmeXhiRFU3QVBZcklScVVsZTB3Y3czUndwMWs4Sjl6SkZSejkxMk4?oc=5</t>
        </is>
      </c>
    </row>
    <row r="41">
      <c r="A41" s="11" t="inlineStr">
        <is>
          <t>NW-0040</t>
        </is>
      </c>
      <c r="B41" s="12" t="inlineStr">
        <is>
          <t>2010</t>
        </is>
      </c>
      <c r="C41" s="11" t="inlineStr">
        <is>
          <t>2010-10-23</t>
        </is>
      </c>
      <c r="D41" s="13" t="inlineStr">
        <is>
          <t>23.10.10 Millennium old Tamil inscription found in Trincomalee</t>
        </is>
      </c>
      <c r="E41" s="13" t="n"/>
      <c r="F41" s="13" t="inlineStr">
        <is>
          <t>TamilNet</t>
        </is>
      </c>
      <c r="G41" s="11" t="inlineStr">
        <is>
          <t>News</t>
        </is>
      </c>
      <c r="H41" s="11" t="inlineStr">
        <is>
          <t>English</t>
        </is>
      </c>
      <c r="I41" s="13" t="inlineStr">
        <is>
          <t>Inscriptions / கல்வெட்டு</t>
        </is>
      </c>
      <c r="J41" s="13" t="inlineStr">
        <is>
          <t>inscription</t>
        </is>
      </c>
      <c r="K41" s="11" t="inlineStr">
        <is>
          <t>Yes</t>
        </is>
      </c>
      <c r="L41" s="13" t="inlineStr">
        <is>
          <t>Google News query: Tamil inscription Sri Lanka. Auto-collected 2026-10-14 (news); review.</t>
        </is>
      </c>
      <c r="M41" s="14" t="inlineStr">
        <is>
          <t>https://news.google.com/rss/articles/CBMiZEFVX3lxTE9QamFYeDFUVjF1cDZyQmJuZXBEcWdyZktXREtyNC1XMkRwbzlsNTdxVXhRNUdWOW53bGVmWW5pMk9INXVMc0VSVmhYczA0U3lfVmtkWUF0V1BEb0dVUWJJRW4zMko?oc=5</t>
        </is>
      </c>
    </row>
    <row r="42">
      <c r="A42" s="7" t="inlineStr">
        <is>
          <t>NW-0041</t>
        </is>
      </c>
      <c r="B42" s="8" t="inlineStr">
        <is>
          <t>2008</t>
        </is>
      </c>
      <c r="C42" s="7" t="inlineStr">
        <is>
          <t>2008-05-04</t>
        </is>
      </c>
      <c r="D42" s="9" t="inlineStr">
        <is>
          <t>A solid work in range and richness (review of Rock and Wall Paintings of Sri Lanka)</t>
        </is>
      </c>
      <c r="E42" s="9" t="inlineStr">
        <is>
          <t>Ashley Halpé</t>
        </is>
      </c>
      <c r="F42" s="9" t="inlineStr">
        <is>
          <t>Sunday Times (Sri Lanka)</t>
        </is>
      </c>
      <c r="G42" s="7" t="inlineStr">
        <is>
          <t>Book review</t>
        </is>
      </c>
      <c r="H42" s="7" t="inlineStr">
        <is>
          <t>English</t>
        </is>
      </c>
      <c r="I42" s="9" t="inlineStr">
        <is>
          <t>Rock art / பாறை ஓவியம்</t>
        </is>
      </c>
      <c r="J42" s="9" t="inlineStr">
        <is>
          <t>rock art; review</t>
        </is>
      </c>
      <c r="K42" s="7" t="inlineStr">
        <is>
          <t>Yes</t>
        </is>
      </c>
      <c r="L42" s="9" t="n"/>
      <c r="M42" s="10" t="inlineStr">
        <is>
          <t>https://www.sundaytimes.lk/080504/Plus/plus000025.html</t>
        </is>
      </c>
    </row>
    <row r="43">
      <c r="A43" s="11" t="inlineStr">
        <is>
          <t>NW-0042</t>
        </is>
      </c>
      <c r="B43" s="12" t="inlineStr">
        <is>
          <t>2000</t>
        </is>
      </c>
      <c r="C43" s="11" t="inlineStr">
        <is>
          <t>2000-04-23</t>
        </is>
      </c>
      <c r="D43" s="13" t="inlineStr">
        <is>
          <t>Coins of history</t>
        </is>
      </c>
      <c r="E43" s="13" t="inlineStr">
        <is>
          <t>D. C. Ranatunga</t>
        </is>
      </c>
      <c r="F43" s="13" t="inlineStr">
        <is>
          <t>Sunday Times (Sri Lanka)</t>
        </is>
      </c>
      <c r="G43" s="11" t="inlineStr">
        <is>
          <t>Book review</t>
        </is>
      </c>
      <c r="H43" s="11" t="inlineStr">
        <is>
          <t>English</t>
        </is>
      </c>
      <c r="I43" s="13" t="inlineStr">
        <is>
          <t>Coins / நாணயம்</t>
        </is>
      </c>
      <c r="J43" s="13" t="inlineStr">
        <is>
          <t>coins; Tissamaharama</t>
        </is>
      </c>
      <c r="K43" s="11" t="inlineStr">
        <is>
          <t>Yes</t>
        </is>
      </c>
      <c r="L43" s="13" t="n"/>
      <c r="M43" s="14" t="inlineStr">
        <is>
          <t>https://www.sundaytimes.lk/000423/plus3.html</t>
        </is>
      </c>
    </row>
    <row r="44">
      <c r="A44" s="7" t="inlineStr">
        <is>
          <t>NW-0043</t>
        </is>
      </c>
      <c r="B44" s="8" t="n"/>
      <c r="C44" s="7" t="n"/>
      <c r="D44" s="9" t="inlineStr">
        <is>
          <t>2,000-year-old Tamil-Brahmi inscriptions discovered in Egypt's Valley of the Kings</t>
        </is>
      </c>
      <c r="E44" s="9" t="n"/>
      <c r="F44" s="9" t="inlineStr">
        <is>
          <t>Tamil Guardian</t>
        </is>
      </c>
      <c r="G44" s="7" t="inlineStr">
        <is>
          <t>News</t>
        </is>
      </c>
      <c r="H44" s="7" t="inlineStr">
        <is>
          <t>English</t>
        </is>
      </c>
      <c r="I44" s="9" t="inlineStr">
        <is>
          <t>Inscriptions / கல்வெட்டு; Brahmi / பிராமி</t>
        </is>
      </c>
      <c r="J44" s="9" t="inlineStr">
        <is>
          <t>Tamil Brahmi; overseas</t>
        </is>
      </c>
      <c r="K44" s="7" t="inlineStr">
        <is>
          <t>Unknown</t>
        </is>
      </c>
      <c r="L44" s="9" t="inlineStr">
        <is>
          <t>Context item (not Sri Lanka)</t>
        </is>
      </c>
      <c r="M44" s="10" t="inlineStr">
        <is>
          <t>https://www.tamilguardian.com/content/2000-year-old-tamil-brahmi-inscriptions-discovered-egypts-valley-kings</t>
        </is>
      </c>
    </row>
    <row r="45">
      <c r="A45" s="11" t="inlineStr">
        <is>
          <t>NW-0044</t>
        </is>
      </c>
      <c r="B45" s="12" t="n"/>
      <c r="C45" s="11" t="n"/>
      <c r="D45" s="13" t="inlineStr">
        <is>
          <t>3,400 year old human remains discovered in Velanai, Jaffna</t>
        </is>
      </c>
      <c r="E45" s="13" t="n"/>
      <c r="F45" s="13" t="inlineStr">
        <is>
          <t>Tamil Guardian</t>
        </is>
      </c>
      <c r="G45" s="11" t="inlineStr">
        <is>
          <t>News</t>
        </is>
      </c>
      <c r="H45" s="11" t="inlineStr">
        <is>
          <t>English</t>
        </is>
      </c>
      <c r="I45" s="13" t="inlineStr">
        <is>
          <t>Archaeology / தொல்லியல்</t>
        </is>
      </c>
      <c r="J45" s="13" t="inlineStr">
        <is>
          <t>archaeology; Velanai; megalithic</t>
        </is>
      </c>
      <c r="K45" s="11" t="inlineStr">
        <is>
          <t>Unknown</t>
        </is>
      </c>
      <c r="L45" s="13" t="n"/>
      <c r="M45" s="14" t="inlineStr">
        <is>
          <t>https://www.tamilguardian.com/content/3400-year-old-human-remains-discovered-velanai-jaffna</t>
        </is>
      </c>
    </row>
    <row r="46">
      <c r="A46" s="7" t="inlineStr">
        <is>
          <t>NW-0045</t>
        </is>
      </c>
      <c r="B46" s="8" t="n"/>
      <c r="C46" s="7" t="n"/>
      <c r="D46" s="9" t="inlineStr">
        <is>
          <t>Ancient Pandyan coins bring intrigue and dispute in Sri Lanka</t>
        </is>
      </c>
      <c r="E46" s="9" t="n"/>
      <c r="F46" s="9" t="inlineStr">
        <is>
          <t>Tamil Guardian</t>
        </is>
      </c>
      <c r="G46" s="7" t="inlineStr">
        <is>
          <t>News</t>
        </is>
      </c>
      <c r="H46" s="7" t="inlineStr">
        <is>
          <t>English</t>
        </is>
      </c>
      <c r="I46" s="9" t="inlineStr">
        <is>
          <t>Coins / நாணயம்</t>
        </is>
      </c>
      <c r="J46" s="9" t="inlineStr">
        <is>
          <t>coins; Pandya</t>
        </is>
      </c>
      <c r="K46" s="7" t="inlineStr">
        <is>
          <t>Unknown</t>
        </is>
      </c>
      <c r="L46" s="9" t="n"/>
      <c r="M46" s="10" t="inlineStr">
        <is>
          <t>https://www.tamilguardian.com/content/ancient-pandyan-coins-bring-intrigue-and-dispute-sri-lanka</t>
        </is>
      </c>
    </row>
    <row r="47">
      <c r="A47" s="11" t="inlineStr">
        <is>
          <t>NW-0046</t>
        </is>
      </c>
      <c r="B47" s="12" t="n"/>
      <c r="C47" s="11" t="n"/>
      <c r="D47" s="13" t="inlineStr">
        <is>
          <t>Book Review: The Historian As Bridge</t>
        </is>
      </c>
      <c r="E47" s="13" t="n"/>
      <c r="F47" s="13" t="inlineStr">
        <is>
          <t>Colombo Telegraph</t>
        </is>
      </c>
      <c r="G47" s="11" t="inlineStr">
        <is>
          <t>Review</t>
        </is>
      </c>
      <c r="H47" s="11" t="inlineStr">
        <is>
          <t>English</t>
        </is>
      </c>
      <c r="I47" s="13" t="n"/>
      <c r="J47" s="13" t="inlineStr">
        <is>
          <t>book review</t>
        </is>
      </c>
      <c r="K47" s="11" t="inlineStr">
        <is>
          <t>Unknown</t>
        </is>
      </c>
      <c r="L47" s="13" t="n"/>
      <c r="M47" s="14" t="inlineStr">
        <is>
          <t>https://www.colombotelegraph.com/index.php/book-review-the-historian-as-bridge/</t>
        </is>
      </c>
    </row>
    <row r="48">
      <c r="A48" s="7" t="inlineStr">
        <is>
          <t>NW-0047</t>
        </is>
      </c>
      <c r="B48" s="8" t="n"/>
      <c r="C48" s="7" t="n"/>
      <c r="D48" s="9" t="inlineStr">
        <is>
          <t>C V Wigneswaran on Pathmanathan's book</t>
        </is>
      </c>
      <c r="E48" s="9" t="n"/>
      <c r="F48" s="9" t="inlineStr">
        <is>
          <t>Sunday Observer</t>
        </is>
      </c>
      <c r="G48" s="7" t="inlineStr">
        <is>
          <t>Feature</t>
        </is>
      </c>
      <c r="H48" s="7" t="inlineStr">
        <is>
          <t>English</t>
        </is>
      </c>
      <c r="I48" s="9" t="n"/>
      <c r="J48" s="9" t="inlineStr">
        <is>
          <t>book review; Pathmanathan</t>
        </is>
      </c>
      <c r="K48" s="7" t="inlineStr">
        <is>
          <t>Unknown</t>
        </is>
      </c>
      <c r="L48" s="9" t="n"/>
      <c r="M48" s="10" t="inlineStr">
        <is>
          <t>https://archives1.sundayobserver.lk/node/26758</t>
        </is>
      </c>
    </row>
    <row r="49">
      <c r="A49" s="11" t="inlineStr">
        <is>
          <t>NW-0048</t>
        </is>
      </c>
      <c r="B49" s="12" t="n"/>
      <c r="C49" s="11" t="n"/>
      <c r="D49" s="13" t="inlineStr">
        <is>
          <t>Little known facets of Sri Lankan history: a Chola princess and the old name for Jaffna</t>
        </is>
      </c>
      <c r="E49" s="13" t="n"/>
      <c r="F49" s="13" t="inlineStr">
        <is>
          <t>The Island</t>
        </is>
      </c>
      <c r="G49" s="11" t="inlineStr">
        <is>
          <t>Feature</t>
        </is>
      </c>
      <c r="H49" s="11" t="inlineStr">
        <is>
          <t>English</t>
        </is>
      </c>
      <c r="I49" s="13" t="n"/>
      <c r="J49" s="13" t="inlineStr">
        <is>
          <t>Chola; Jaffna</t>
        </is>
      </c>
      <c r="K49" s="11" t="inlineStr">
        <is>
          <t>Unknown</t>
        </is>
      </c>
      <c r="L49" s="13" t="n"/>
      <c r="M49" s="14" t="inlineStr">
        <is>
          <t>https://island.lk/little-known-facets-of-sri-lankan-historya-chola-princess-and-the-old-name-for-jaffna/</t>
        </is>
      </c>
    </row>
    <row r="50">
      <c r="A50" s="7" t="inlineStr">
        <is>
          <t>NW-0049</t>
        </is>
      </c>
      <c r="B50" s="8" t="n"/>
      <c r="C50" s="7" t="n"/>
      <c r="D50" s="9" t="inlineStr">
        <is>
          <t>Neelagiri Hela Bithusithuwam</t>
        </is>
      </c>
      <c r="E50" s="9" t="n"/>
      <c r="F50" s="9" t="inlineStr">
        <is>
          <t>Sunday Observer</t>
        </is>
      </c>
      <c r="G50" s="7" t="inlineStr">
        <is>
          <t>Feature</t>
        </is>
      </c>
      <c r="H50" s="7" t="inlineStr">
        <is>
          <t>English</t>
        </is>
      </c>
      <c r="I50" s="9" t="inlineStr">
        <is>
          <t>Rock art / பாறை ஓவியம்</t>
        </is>
      </c>
      <c r="J50" s="9" t="inlineStr">
        <is>
          <t>paintings; Neelagiri</t>
        </is>
      </c>
      <c r="K50" s="7" t="inlineStr">
        <is>
          <t>Unknown</t>
        </is>
      </c>
      <c r="L50" s="9" t="n"/>
      <c r="M50" s="10" t="inlineStr">
        <is>
          <t>https://archives1.sundayobserver.lk/node/59637</t>
        </is>
      </c>
    </row>
    <row r="51">
      <c r="A51" s="11" t="inlineStr">
        <is>
          <t>NW-0050</t>
        </is>
      </c>
      <c r="B51" s="12" t="n"/>
      <c r="C51" s="11" t="n"/>
      <c r="D51" s="13" t="inlineStr">
        <is>
          <t>Reptiles in rock and time: unveiling Sri Lanka's ancient herpetological art</t>
        </is>
      </c>
      <c r="E51" s="13" t="n"/>
      <c r="F51" s="13" t="inlineStr">
        <is>
          <t>The Island</t>
        </is>
      </c>
      <c r="G51" s="11" t="inlineStr">
        <is>
          <t>News</t>
        </is>
      </c>
      <c r="H51" s="11" t="inlineStr">
        <is>
          <t>English</t>
        </is>
      </c>
      <c r="I51" s="13" t="inlineStr">
        <is>
          <t>Rock art / பாறை ஓவியம்</t>
        </is>
      </c>
      <c r="J51" s="13" t="inlineStr">
        <is>
          <t>rock art; பாறை ஓவியம்</t>
        </is>
      </c>
      <c r="K51" s="11" t="inlineStr">
        <is>
          <t>Unknown</t>
        </is>
      </c>
      <c r="L51" s="13" t="n"/>
      <c r="M51" s="14" t="inlineStr">
        <is>
          <t>https://island.lk/reptiles-in-rock-and-time-unveiling-sri-lankas-ancient-herpetological-art/</t>
        </is>
      </c>
    </row>
    <row r="52">
      <c r="A52" s="7" t="inlineStr">
        <is>
          <t>NW-0051</t>
        </is>
      </c>
      <c r="B52" s="8" t="n"/>
      <c r="C52" s="7" t="n"/>
      <c r="D52" s="9" t="inlineStr">
        <is>
          <t>Scripts in ancient Sri Lanka</t>
        </is>
      </c>
      <c r="E52" s="9" t="n"/>
      <c r="F52" s="9" t="inlineStr">
        <is>
          <t>Sunday Observer</t>
        </is>
      </c>
      <c r="G52" s="7" t="inlineStr">
        <is>
          <t>Feature</t>
        </is>
      </c>
      <c r="H52" s="7" t="inlineStr">
        <is>
          <t>English</t>
        </is>
      </c>
      <c r="I52" s="9" t="inlineStr">
        <is>
          <t>Brahmi / பிராமி</t>
        </is>
      </c>
      <c r="J52" s="9" t="inlineStr">
        <is>
          <t>Brahmi; Tamil Brahmi</t>
        </is>
      </c>
      <c r="K52" s="7" t="inlineStr">
        <is>
          <t>Unknown</t>
        </is>
      </c>
      <c r="L52" s="9" t="n"/>
      <c r="M52" s="10" t="inlineStr">
        <is>
          <t>https://archives1.sundayobserver.lk/node/44600</t>
        </is>
      </c>
    </row>
    <row r="53">
      <c r="A53" s="11" t="inlineStr">
        <is>
          <t>NW-0052</t>
        </is>
      </c>
      <c r="B53" s="12" t="n"/>
      <c r="C53" s="11" t="n"/>
      <c r="D53" s="13" t="inlineStr">
        <is>
          <t>Sri Lanka threatens legal action over Hindu worship at Kurunthur Malai</t>
        </is>
      </c>
      <c r="E53" s="13" t="n"/>
      <c r="F53" s="13" t="inlineStr">
        <is>
          <t>Tamil Guardian</t>
        </is>
      </c>
      <c r="G53" s="11" t="inlineStr">
        <is>
          <t>News</t>
        </is>
      </c>
      <c r="H53" s="11" t="inlineStr">
        <is>
          <t>English</t>
        </is>
      </c>
      <c r="I53" s="13" t="inlineStr">
        <is>
          <t>Archaeology / தொல்லியல்</t>
        </is>
      </c>
      <c r="J53" s="13" t="inlineStr">
        <is>
          <t>Kurunthurmalai; archaeology department</t>
        </is>
      </c>
      <c r="K53" s="11" t="inlineStr">
        <is>
          <t>Unknown</t>
        </is>
      </c>
      <c r="L53" s="13" t="n"/>
      <c r="M53" s="14" t="inlineStr">
        <is>
          <t>https://www.tamilguardian.com/index.php/node/955066</t>
        </is>
      </c>
    </row>
    <row r="54">
      <c r="A54" s="7" t="inlineStr">
        <is>
          <t>NW-0053</t>
        </is>
      </c>
      <c r="B54" s="8" t="n"/>
      <c r="C54" s="7" t="n"/>
      <c r="D54" s="9" t="inlineStr">
        <is>
          <t>Sri Lanka's Role In South Asia's Earliest Writing Controversy</t>
        </is>
      </c>
      <c r="E54" s="9" t="n"/>
      <c r="F54" s="9" t="inlineStr">
        <is>
          <t>Colombo Telegraph</t>
        </is>
      </c>
      <c r="G54" s="7" t="inlineStr">
        <is>
          <t>Opinion</t>
        </is>
      </c>
      <c r="H54" s="7" t="inlineStr">
        <is>
          <t>English</t>
        </is>
      </c>
      <c r="I54" s="9" t="inlineStr">
        <is>
          <t>Brahmi / பிராமி</t>
        </is>
      </c>
      <c r="J54" s="9" t="inlineStr">
        <is>
          <t>Brahmi; early writing</t>
        </is>
      </c>
      <c r="K54" s="7" t="inlineStr">
        <is>
          <t>Unknown</t>
        </is>
      </c>
      <c r="L54" s="9" t="n"/>
      <c r="M54" s="10" t="inlineStr">
        <is>
          <t>https://www.colombotelegraph.com/index.php/sri-lankas-role-in-south-asias-earliest-writing-controversy/</t>
        </is>
      </c>
    </row>
    <row r="55">
      <c r="A55" s="11" t="inlineStr">
        <is>
          <t>NW-0054</t>
        </is>
      </c>
      <c r="B55" s="12" t="n"/>
      <c r="C55" s="11" t="n"/>
      <c r="D55" s="13" t="inlineStr">
        <is>
          <t>Tamil civilisation - is it the oldest?</t>
        </is>
      </c>
      <c r="E55" s="13" t="n"/>
      <c r="F55" s="13" t="inlineStr">
        <is>
          <t>Tamil Guardian</t>
        </is>
      </c>
      <c r="G55" s="11" t="inlineStr">
        <is>
          <t>Feature</t>
        </is>
      </c>
      <c r="H55" s="11" t="inlineStr">
        <is>
          <t>English</t>
        </is>
      </c>
      <c r="I55" s="13" t="inlineStr">
        <is>
          <t>Archaeology / தொல்லியல்</t>
        </is>
      </c>
      <c r="J55" s="13" t="inlineStr">
        <is>
          <t>archaeology debate</t>
        </is>
      </c>
      <c r="K55" s="11" t="inlineStr">
        <is>
          <t>Unknown</t>
        </is>
      </c>
      <c r="L55" s="13" t="n"/>
      <c r="M55" s="14" t="inlineStr">
        <is>
          <t>https://www.tamilguardian.com/content/tamil-civilisation-it-oldest</t>
        </is>
      </c>
    </row>
    <row r="56">
      <c r="A56" s="7" t="inlineStr">
        <is>
          <t>NW-0055</t>
        </is>
      </c>
      <c r="B56" s="8" t="n"/>
      <c r="C56" s="7" t="n"/>
      <c r="D56" s="9" t="inlineStr">
        <is>
          <t>The Tamils Are The Original Inhabitants Of Sri Lanka</t>
        </is>
      </c>
      <c r="E56" s="9" t="n"/>
      <c r="F56" s="9" t="inlineStr">
        <is>
          <t>Colombo Telegraph</t>
        </is>
      </c>
      <c r="G56" s="7" t="inlineStr">
        <is>
          <t>Opinion</t>
        </is>
      </c>
      <c r="H56" s="7" t="inlineStr">
        <is>
          <t>English</t>
        </is>
      </c>
      <c r="I56" s="9" t="inlineStr">
        <is>
          <t>Archaeology / தொல்லியல்</t>
        </is>
      </c>
      <c r="J56" s="9" t="inlineStr">
        <is>
          <t>archaeology; history debate</t>
        </is>
      </c>
      <c r="K56" s="7" t="inlineStr">
        <is>
          <t>Unknown</t>
        </is>
      </c>
      <c r="L56" s="9" t="n"/>
      <c r="M56" s="10" t="inlineStr">
        <is>
          <t>https://www.colombotelegraph.com/index.php/the-tamils-are-the-original-inhabitants-of-sri-lanka/</t>
        </is>
      </c>
    </row>
    <row r="57">
      <c r="A57" s="11" t="inlineStr">
        <is>
          <t>NW-0056</t>
        </is>
      </c>
      <c r="B57" s="12" t="n"/>
      <c r="C57" s="11" t="n"/>
      <c r="D57" s="13" t="inlineStr">
        <is>
          <t>Trilingual inscription in Tamil, Chinese, and Persian recognised by UNESCO</t>
        </is>
      </c>
      <c r="E57" s="13" t="n"/>
      <c r="F57" s="13" t="inlineStr">
        <is>
          <t>Tamil Guardian</t>
        </is>
      </c>
      <c r="G57" s="11" t="inlineStr">
        <is>
          <t>News</t>
        </is>
      </c>
      <c r="H57" s="11" t="inlineStr">
        <is>
          <t>English</t>
        </is>
      </c>
      <c r="I57" s="13" t="inlineStr">
        <is>
          <t>Inscriptions / கல்வெட்டு</t>
        </is>
      </c>
      <c r="J57" s="13" t="inlineStr">
        <is>
          <t>Galle trilingual inscription</t>
        </is>
      </c>
      <c r="K57" s="11" t="inlineStr">
        <is>
          <t>Unknown</t>
        </is>
      </c>
      <c r="L57" s="13" t="n"/>
      <c r="M57" s="14" t="inlineStr">
        <is>
          <t>https://www.tamilguardian.com/index.php/content/trilingual-inscription-tamil-chinese-and-persian-recognised-unesco</t>
        </is>
      </c>
    </row>
    <row r="58">
      <c r="A58" s="7" t="inlineStr">
        <is>
          <t>NW-0057</t>
        </is>
      </c>
      <c r="B58" s="8" t="n"/>
      <c r="C58" s="7" t="n"/>
      <c r="D58" s="9" t="inlineStr">
        <is>
          <t>இலங்கையில் 2300 ஆண்டுகளுக்கு முன்பு தமிழர்கள் வாழ்ந்தார்கள் என்பதை நிரூபிக்கும் ஐந்து பிராமிக் கல்வெட்டுக்கள்</t>
        </is>
      </c>
      <c r="E58" s="9" t="n"/>
      <c r="F58" s="9" t="inlineStr">
        <is>
          <t>Thinakkural</t>
        </is>
      </c>
      <c r="G58" s="7" t="inlineStr">
        <is>
          <t>Feature</t>
        </is>
      </c>
      <c r="H58" s="7" t="inlineStr">
        <is>
          <t>Tamil</t>
        </is>
      </c>
      <c r="I58" s="9" t="inlineStr">
        <is>
          <t>Inscriptions / கல்வெட்டு; Brahmi / பிராமி</t>
        </is>
      </c>
      <c r="J58" s="9" t="inlineStr">
        <is>
          <t>பிராமி; கல்வெட்டு</t>
        </is>
      </c>
      <c r="K58" s="7" t="inlineStr">
        <is>
          <t>Unknown</t>
        </is>
      </c>
      <c r="L58" s="9" t="n"/>
      <c r="M58" s="10" t="inlineStr">
        <is>
          <t>https://thinakkural.lk/article/45056</t>
        </is>
      </c>
    </row>
    <row r="59">
      <c r="A59" s="11" t="inlineStr">
        <is>
          <t>NW-0058</t>
        </is>
      </c>
      <c r="B59" s="12" t="n"/>
      <c r="C59" s="11" t="n"/>
      <c r="D59" s="13" t="inlineStr">
        <is>
          <t>கலிங்கமாகன் பற்றிய முக்கிய கல்வெட்டு: அண்மையில் கண்டறியப்பட்ட தமிழர் வரலாறு</t>
        </is>
      </c>
      <c r="E59" s="13" t="n"/>
      <c r="F59" s="13" t="inlineStr">
        <is>
          <t>Tamil Mirror</t>
        </is>
      </c>
      <c r="G59" s="11" t="inlineStr">
        <is>
          <t>Feature</t>
        </is>
      </c>
      <c r="H59" s="11" t="inlineStr">
        <is>
          <t>Tamil</t>
        </is>
      </c>
      <c r="I59" s="13" t="inlineStr">
        <is>
          <t>Inscriptions / கல்வெட்டு</t>
        </is>
      </c>
      <c r="J59" s="13" t="inlineStr">
        <is>
          <t>கல்வெட்டு; Kalinga Magha</t>
        </is>
      </c>
      <c r="K59" s="11" t="inlineStr">
        <is>
          <t>Unknown</t>
        </is>
      </c>
      <c r="L59" s="13" t="n"/>
      <c r="M59" s="14" t="inlineStr">
        <is>
          <t>https://www.tamilmirror.lk/91-286936</t>
        </is>
      </c>
    </row>
    <row r="60">
      <c r="A60" s="7" t="inlineStr">
        <is>
          <t>NW-0059</t>
        </is>
      </c>
      <c r="B60" s="8" t="n"/>
      <c r="C60" s="7" t="n"/>
      <c r="D60" s="9" t="inlineStr">
        <is>
          <t>யாழ்ப்பாண அரசுகால வரலாறு கூறும் சங்கிலியன் தோரண வாசல்</t>
        </is>
      </c>
      <c r="E60" s="9" t="inlineStr">
        <is>
          <t>P. Pushparatnam</t>
        </is>
      </c>
      <c r="F60" s="9" t="inlineStr">
        <is>
          <t>Virakesari</t>
        </is>
      </c>
      <c r="G60" s="7" t="inlineStr">
        <is>
          <t>Feature</t>
        </is>
      </c>
      <c r="H60" s="7" t="inlineStr">
        <is>
          <t>Tamil</t>
        </is>
      </c>
      <c r="I60" s="9" t="inlineStr">
        <is>
          <t>Archaeology / தொல்லியல்</t>
        </is>
      </c>
      <c r="J60" s="9" t="inlineStr">
        <is>
          <t>Jaffna kingdom; Sangiliyan; தொல்லியல்</t>
        </is>
      </c>
      <c r="K60" s="7" t="inlineStr">
        <is>
          <t>Unknown</t>
        </is>
      </c>
      <c r="L60" s="9" t="n"/>
      <c r="M60" s="10" t="inlineStr">
        <is>
          <t>https://www.virakesari.lk/article/160191</t>
        </is>
      </c>
    </row>
  </sheetData>
  <autoFilter ref="A1:M6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2023-01-03</t>
        </is>
      </c>
      <c r="D64" s="9" t="inlineStr">
        <is>
          <t>தமிழ் இராச்சியத்தின் தோற்றம்பற்றிய முன்னைய வரலாற்றுப் பார்வையை மீள்வாசிப்பிற்கு உட்படுத்தும் அரிய தமிழ்க் கல்வெட்டு திருகோணமலையில் கண்டுபிடிப்பு</t>
        </is>
      </c>
      <c r="E64" s="9" t="inlineStr">
        <is>
          <t>பரமு புஷ்பரட்ணம்</t>
        </is>
      </c>
      <c r="F64" s="9" t="inlineStr">
        <is>
          <t>Ezhuna (எழுநா)</t>
        </is>
      </c>
      <c r="G64" s="7" t="inlineStr">
        <is>
          <t>Online magazine article</t>
        </is>
      </c>
      <c r="H64" s="7" t="inlineStr">
        <is>
          <t>Tamil</t>
        </is>
      </c>
      <c r="I64" s="9" t="inlineStr">
        <is>
          <t>Inscriptions / கல்வெட்டு</t>
        </is>
      </c>
      <c r="J64" s="9" t="inlineStr">
        <is>
          <t>கல்வெட்டு</t>
        </is>
      </c>
      <c r="K64" s="7" t="inlineStr">
        <is>
          <t>Yes</t>
        </is>
      </c>
      <c r="L64" s="9" t="inlineStr">
        <is>
          <t>Auto-collected 2026-10-14 (ezhuna); review.</t>
        </is>
      </c>
      <c r="M64" s="10" t="inlineStr">
        <is>
          <t>https://www.ezhunaonline.com/discovery-of-rare-tamil-inscription-in-trincomalee-re-examines-previous-historical-view-of-origin-of-tamil-kingdom/</t>
        </is>
      </c>
    </row>
    <row r="65">
      <c r="A65" s="11" t="inlineStr">
        <is>
          <t>MG-0064</t>
        </is>
      </c>
      <c r="B65" s="12" t="inlineStr">
        <is>
          <t>2023</t>
        </is>
      </c>
      <c r="C65" s="11" t="inlineStr">
        <is>
          <t>2023-01-13</t>
        </is>
      </c>
      <c r="D65" s="13" t="inlineStr">
        <is>
          <t>தமிழர் பற்றிக் குறிப்பிடும் பிற்காலக் கல்வெட்டுக்கள் (சோழர் காலத்திற்கு முன்பு)</t>
        </is>
      </c>
      <c r="E65" s="13" t="inlineStr">
        <is>
          <t>N. K. S. Thiruchelvam</t>
        </is>
      </c>
      <c r="F65" s="13" t="inlineStr">
        <is>
          <t>Ezhuna (எழுநா)</t>
        </is>
      </c>
      <c r="G65" s="11" t="inlineStr">
        <is>
          <t>Online magazine article</t>
        </is>
      </c>
      <c r="H65" s="11" t="inlineStr">
        <is>
          <t>Tamil</t>
        </is>
      </c>
      <c r="I65" s="13" t="inlineStr">
        <is>
          <t>Inscriptions / கல்வெட்டு</t>
        </is>
      </c>
      <c r="J65" s="13" t="inlineStr">
        <is>
          <t>கல்வெட்டு; pre-Chola</t>
        </is>
      </c>
      <c r="K65" s="11" t="inlineStr">
        <is>
          <t>Yes</t>
        </is>
      </c>
      <c r="L65" s="13" t="inlineStr">
        <is>
          <t>Series: Tamils in Brahmi &amp; Sinhala inscriptions</t>
        </is>
      </c>
      <c r="M65" s="14" t="inlineStr">
        <is>
          <t>https://www.ezhunaonline.com/later-inscriptions-refer-to-tamils/</t>
        </is>
      </c>
    </row>
    <row r="66">
      <c r="A66" s="7" t="inlineStr">
        <is>
          <t>MG-0065</t>
        </is>
      </c>
      <c r="B66" s="8" t="inlineStr">
        <is>
          <t>2023</t>
        </is>
      </c>
      <c r="C66" s="7" t="inlineStr">
        <is>
          <t>2023-01-16</t>
        </is>
      </c>
      <c r="D66" s="9" t="inlineStr">
        <is>
          <t>கிழார்களின் வம்ப வேந்தர்</t>
        </is>
      </c>
      <c r="E66" s="9" t="inlineStr">
        <is>
          <t>நடேசன் இரவீந்திரன்</t>
        </is>
      </c>
      <c r="F66" s="9" t="inlineStr">
        <is>
          <t>Ezhuna (எழுநா)</t>
        </is>
      </c>
      <c r="G66" s="7" t="inlineStr">
        <is>
          <t>Online magazine article</t>
        </is>
      </c>
      <c r="H66" s="7" t="inlineStr">
        <is>
          <t>Tamil</t>
        </is>
      </c>
      <c r="I66" s="9" t="n"/>
      <c r="J66" s="9" t="n"/>
      <c r="K66" s="7" t="inlineStr">
        <is>
          <t>Yes</t>
        </is>
      </c>
      <c r="L66" s="9" t="inlineStr">
        <is>
          <t>Auto-collected 2026-10-14 (ezhuna); review.</t>
        </is>
      </c>
      <c r="M66" s="10" t="inlineStr">
        <is>
          <t>https://www.ezhunaonline.com/kizhargalin-vampa-vendar/</t>
        </is>
      </c>
    </row>
    <row r="67">
      <c r="A67" s="11" t="inlineStr">
        <is>
          <t>MG-0066</t>
        </is>
      </c>
      <c r="B67" s="12" t="inlineStr">
        <is>
          <t>2023</t>
        </is>
      </c>
      <c r="C67" s="11" t="inlineStr">
        <is>
          <t>2023-02-16</t>
        </is>
      </c>
      <c r="D67" s="13" t="inlineStr">
        <is>
          <t>தமிழ் அதிகாரி மகாசாத்தான் பற்றி குறிப்பிடும் தாமரவெவ தூண்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Tamaravewa pillar</t>
        </is>
      </c>
      <c r="K67" s="11" t="inlineStr">
        <is>
          <t>Yes</t>
        </is>
      </c>
      <c r="L67" s="13" t="inlineStr">
        <is>
          <t>Series: Tamils in Brahmi &amp; Sinhala inscriptions</t>
        </is>
      </c>
      <c r="M67" s="14" t="inlineStr">
        <is>
          <t>https://www.ezhunaonline.com/tamaraveva-pillar-inscription-referring-to-the-tamil-official-mahasathan/</t>
        </is>
      </c>
    </row>
    <row r="68">
      <c r="A68" s="7" t="inlineStr">
        <is>
          <t>MG-0067</t>
        </is>
      </c>
      <c r="B68" s="8" t="inlineStr">
        <is>
          <t>2023</t>
        </is>
      </c>
      <c r="C68" s="7" t="inlineStr">
        <is>
          <t>2023-03-10</t>
        </is>
      </c>
      <c r="D68" s="9" t="inlineStr">
        <is>
          <t>தமிழர்களுக்கு மாகாண தலைப்பட்டினத்தைக் கொடுக்கக் கூடாது எனக் குறிப்பிடும் பதுளைக் கல்வெட்டு</t>
        </is>
      </c>
      <c r="E68" s="9" t="inlineStr">
        <is>
          <t>N. K. S. Thiruchelvam</t>
        </is>
      </c>
      <c r="F68" s="9" t="inlineStr">
        <is>
          <t>Ezhuna (எழுநா)</t>
        </is>
      </c>
      <c r="G68" s="7" t="inlineStr">
        <is>
          <t>Online magazine article</t>
        </is>
      </c>
      <c r="H68" s="7" t="inlineStr">
        <is>
          <t>Tamil</t>
        </is>
      </c>
      <c r="I68" s="9" t="inlineStr">
        <is>
          <t>Inscriptions / கல்வெட்டு</t>
        </is>
      </c>
      <c r="J68" s="9" t="inlineStr">
        <is>
          <t>கல்வெட்டு; Badulla pillar</t>
        </is>
      </c>
      <c r="K68" s="7" t="inlineStr">
        <is>
          <t>Yes</t>
        </is>
      </c>
      <c r="L68" s="9" t="inlineStr">
        <is>
          <t>Series: Tamils in Brahmi &amp; Sinhala inscriptions</t>
        </is>
      </c>
      <c r="M68" s="10" t="inlineStr">
        <is>
          <t>https://www.ezhunaonline.com/badulla-inscription/</t>
        </is>
      </c>
    </row>
    <row r="69">
      <c r="A69" s="11" t="inlineStr">
        <is>
          <t>MG-0068</t>
        </is>
      </c>
      <c r="B69" s="12" t="inlineStr">
        <is>
          <t>2023</t>
        </is>
      </c>
      <c r="C69" s="11" t="inlineStr">
        <is>
          <t>2023-03-31</t>
        </is>
      </c>
      <c r="D69" s="13" t="inlineStr">
        <is>
          <t>பல ஆண்டுகளுக்குப் பின்னர் வரலாற்று வெளிச்சத்திற்கு வந்திருக்கும் அரிய தமிழ்க் கல்வெட்டு தம்பலகாமத்தில் மீளவும் கண்டுபிடிப்பு</t>
        </is>
      </c>
      <c r="E69" s="13" t="inlineStr">
        <is>
          <t>பரமு புஷ்பரட்ணம்</t>
        </is>
      </c>
      <c r="F69" s="13" t="inlineStr">
        <is>
          <t>Ezhuna (எழுநா)</t>
        </is>
      </c>
      <c r="G69" s="11" t="inlineStr">
        <is>
          <t>Online magazine article</t>
        </is>
      </c>
      <c r="H69" s="11" t="inlineStr">
        <is>
          <t>Tamil</t>
        </is>
      </c>
      <c r="I69" s="13" t="inlineStr">
        <is>
          <t>Inscriptions / கல்வெட்டு</t>
        </is>
      </c>
      <c r="J69" s="13" t="inlineStr">
        <is>
          <t>கல்வெட்டு</t>
        </is>
      </c>
      <c r="K69" s="11" t="inlineStr">
        <is>
          <t>Yes</t>
        </is>
      </c>
      <c r="L69" s="13" t="inlineStr">
        <is>
          <t>Auto-collected 2026-10-14 (ezhuna); review.</t>
        </is>
      </c>
      <c r="M69" s="14" t="inlineStr">
        <is>
          <t>https://www.ezhunaonline.com/rediscovery-of-tamil-inscription-at-tambalagama/</t>
        </is>
      </c>
    </row>
    <row r="70">
      <c r="A70" s="7" t="inlineStr">
        <is>
          <t>MG-0069</t>
        </is>
      </c>
      <c r="B70" s="8" t="inlineStr">
        <is>
          <t>2023</t>
        </is>
      </c>
      <c r="C70" s="7" t="inlineStr">
        <is>
          <t>2023-04-04</t>
        </is>
      </c>
      <c r="D70" s="9" t="inlineStr">
        <is>
          <t>தமிழர் கிராமங்கள் மற்றும் காணிகள் பற்றிக் கூறும் அநுராதபுரம் கல் தோணிக்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Anuradhapura</t>
        </is>
      </c>
      <c r="K70" s="7" t="inlineStr">
        <is>
          <t>Yes</t>
        </is>
      </c>
      <c r="L70" s="9" t="inlineStr">
        <is>
          <t>Series: Tamils in Brahmi &amp; Sinhala inscriptions</t>
        </is>
      </c>
      <c r="M70" s="10" t="inlineStr">
        <is>
          <t>https://www.ezhunaonline.com/anuradhapura-inscription/</t>
        </is>
      </c>
    </row>
    <row r="71">
      <c r="A71" s="11" t="inlineStr">
        <is>
          <t>MG-0070</t>
        </is>
      </c>
      <c r="B71" s="12" t="inlineStr">
        <is>
          <t>2023</t>
        </is>
      </c>
      <c r="C71" s="11" t="inlineStr">
        <is>
          <t>2023-04-15</t>
        </is>
      </c>
      <c r="D71" s="13" t="inlineStr">
        <is>
          <t>பிரித்தெடுக்கப்பட்ட தமிழரின் நிலம் பற்றிக் கூறும் ரன்கொத் விகாரை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Rankoth Vihara</t>
        </is>
      </c>
      <c r="K71" s="11" t="inlineStr">
        <is>
          <t>Yes</t>
        </is>
      </c>
      <c r="L71" s="13" t="inlineStr">
        <is>
          <t>Series: Tamils in Brahmi &amp; Sinhala inscriptions</t>
        </is>
      </c>
      <c r="M71" s="14" t="inlineStr">
        <is>
          <t>https://www.ezhunaonline.com/rankoth-viharai-inscription/</t>
        </is>
      </c>
    </row>
    <row r="72">
      <c r="A72" s="7" t="inlineStr">
        <is>
          <t>MG-0071</t>
        </is>
      </c>
      <c r="B72" s="8" t="inlineStr">
        <is>
          <t>2023</t>
        </is>
      </c>
      <c r="C72" s="7" t="inlineStr">
        <is>
          <t>2023-04-22</t>
        </is>
      </c>
      <c r="D72" s="9" t="inlineStr">
        <is>
          <t>தமிழரின் பெளத்தப் பள்ளி பற்றிக் கூறும் வெஸ்ஸகிரி கற்பலகைக் கல்வெட்டு</t>
        </is>
      </c>
      <c r="E72" s="9" t="inlineStr">
        <is>
          <t>N. K. S. Thiruchelvam</t>
        </is>
      </c>
      <c r="F72" s="9" t="inlineStr">
        <is>
          <t>Ezhuna (எழுநா)</t>
        </is>
      </c>
      <c r="G72" s="7" t="inlineStr">
        <is>
          <t>Online magazine article</t>
        </is>
      </c>
      <c r="H72" s="7" t="inlineStr">
        <is>
          <t>Tamil</t>
        </is>
      </c>
      <c r="I72" s="9" t="inlineStr">
        <is>
          <t>Inscriptions / கல்வெட்டு</t>
        </is>
      </c>
      <c r="J72" s="9" t="inlineStr">
        <is>
          <t>கல்வெட்டு; Vessagiri</t>
        </is>
      </c>
      <c r="K72" s="7" t="inlineStr">
        <is>
          <t>Yes</t>
        </is>
      </c>
      <c r="L72" s="9" t="inlineStr">
        <is>
          <t>Series: Tamils in Brahmi &amp; Sinhala inscriptions</t>
        </is>
      </c>
      <c r="M72" s="10" t="inlineStr">
        <is>
          <t>https://www.ezhunaonline.com/wessagiri-inscription/</t>
        </is>
      </c>
    </row>
    <row r="73">
      <c r="A73" s="11" t="inlineStr">
        <is>
          <t>MG-0072</t>
        </is>
      </c>
      <c r="B73" s="12" t="inlineStr">
        <is>
          <t>2023</t>
        </is>
      </c>
      <c r="C73" s="11" t="inlineStr">
        <is>
          <t>2023-04-25</t>
        </is>
      </c>
      <c r="D73" s="13" t="inlineStr">
        <is>
          <t>கீழைக்கரைக்கான எழுத்துச் சான்றுகள் : நாடுகாட்டுப் பரவணிக் கல்வெட்டு III</t>
        </is>
      </c>
      <c r="E73" s="13" t="inlineStr">
        <is>
          <t>Vivekanantharaja Thulanchanan</t>
        </is>
      </c>
      <c r="F73" s="13" t="inlineStr">
        <is>
          <t>Ezhuna (எழுநா)</t>
        </is>
      </c>
      <c r="G73" s="11" t="inlineStr">
        <is>
          <t>Online magazine article</t>
        </is>
      </c>
      <c r="H73" s="11" t="inlineStr">
        <is>
          <t>Tamil</t>
        </is>
      </c>
      <c r="I73" s="13" t="inlineStr">
        <is>
          <t>Inscriptions / கல்வெட்டு</t>
        </is>
      </c>
      <c r="J73" s="13" t="inlineStr">
        <is>
          <t>கல்வெட்டு; Nadukadu Paravani</t>
        </is>
      </c>
      <c r="K73" s="11" t="inlineStr">
        <is>
          <t>Yes</t>
        </is>
      </c>
      <c r="L73" s="13" t="inlineStr">
        <is>
          <t>Series: East coast of Sri Lanka - a historical perspective</t>
        </is>
      </c>
      <c r="M73" s="14" t="inlineStr">
        <is>
          <t>https://www.ezhunaonline.com/keekhakarai-paravani-inscriptioniii/</t>
        </is>
      </c>
    </row>
    <row r="74">
      <c r="A74" s="7" t="inlineStr">
        <is>
          <t>MG-0073</t>
        </is>
      </c>
      <c r="B74" s="8" t="inlineStr">
        <is>
          <t>2023</t>
        </is>
      </c>
      <c r="C74" s="7" t="inlineStr">
        <is>
          <t>2023-05-18</t>
        </is>
      </c>
      <c r="D74" s="9" t="inlineStr">
        <is>
          <t>வன்னியில் வெளிச்சத்திற்கு வராத மிகப்பிரமாண்டமான சுற்றுலாத்தலம்</t>
        </is>
      </c>
      <c r="E74" s="9" t="inlineStr">
        <is>
          <t>பரமு புஷ்பரட்ணம்</t>
        </is>
      </c>
      <c r="F74" s="9" t="inlineStr">
        <is>
          <t>Ezhuna (எழுநா)</t>
        </is>
      </c>
      <c r="G74" s="7" t="inlineStr">
        <is>
          <t>Online magazine article</t>
        </is>
      </c>
      <c r="H74" s="7" t="inlineStr">
        <is>
          <t>Tamil</t>
        </is>
      </c>
      <c r="I74" s="9" t="n"/>
      <c r="J74" s="9" t="n"/>
      <c r="K74" s="7" t="inlineStr">
        <is>
          <t>Yes</t>
        </is>
      </c>
      <c r="L74" s="9" t="inlineStr">
        <is>
          <t>Auto-collected 2026-10-14 (ezhuna); review.</t>
        </is>
      </c>
      <c r="M74" s="10" t="inlineStr">
        <is>
          <t>https://www.ezhunaonline.com/the-biggest-undiscovered-tourist-destination-in-vanni/</t>
        </is>
      </c>
    </row>
    <row r="75">
      <c r="A75" s="11" t="inlineStr">
        <is>
          <t>MG-0074</t>
        </is>
      </c>
      <c r="B75" s="12" t="inlineStr">
        <is>
          <t>2023</t>
        </is>
      </c>
      <c r="C75" s="11" t="inlineStr">
        <is>
          <t>2023-06-23</t>
        </is>
      </c>
      <c r="D75" s="13" t="inlineStr">
        <is>
          <t>யாழ்ப்பாணக் கோட்டையின் அண்மைக்காலத் தொல்லியல் ஆய்வுகள் – ஒரு புதிய பார்வை – பகுதி 3</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தொல்லியல்</t>
        </is>
      </c>
      <c r="K75" s="11" t="inlineStr">
        <is>
          <t>Yes</t>
        </is>
      </c>
      <c r="L75" s="13" t="inlineStr">
        <is>
          <t>Auto-collected 2026-10-14 (ezhuna); review.</t>
        </is>
      </c>
      <c r="M75" s="14" t="inlineStr">
        <is>
          <t>https://www.ezhunaonline.com/jaffna-fort-3/</t>
        </is>
      </c>
    </row>
    <row r="76">
      <c r="A76" s="7" t="inlineStr">
        <is>
          <t>MG-0075</t>
        </is>
      </c>
      <c r="B76" s="8" t="inlineStr">
        <is>
          <t>2023</t>
        </is>
      </c>
      <c r="C76" s="7" t="inlineStr">
        <is>
          <t>2023-07-05</t>
        </is>
      </c>
      <c r="D76" s="9" t="inlineStr">
        <is>
          <t>யாழ்ப்பாண நகரம் தோன்றிய காலத்தை மீளாய்வு செய்யும் யாழ்ப்பாணக் கோட்டை அகழ்வாய்வு</t>
        </is>
      </c>
      <c r="E76" s="9" t="inlineStr">
        <is>
          <t>பரமு புஷ்பரட்ணம்</t>
        </is>
      </c>
      <c r="F76" s="9" t="inlineStr">
        <is>
          <t>Ezhuna (எழுநா)</t>
        </is>
      </c>
      <c r="G76" s="7" t="inlineStr">
        <is>
          <t>Online magazine article</t>
        </is>
      </c>
      <c r="H76" s="7" t="inlineStr">
        <is>
          <t>Tamil</t>
        </is>
      </c>
      <c r="I76" s="9" t="inlineStr">
        <is>
          <t>Archaeology / தொல்லியல்</t>
        </is>
      </c>
      <c r="J76" s="9" t="inlineStr">
        <is>
          <t>அகழ்வாய்வு</t>
        </is>
      </c>
      <c r="K76" s="7" t="inlineStr">
        <is>
          <t>Yes</t>
        </is>
      </c>
      <c r="L76" s="9" t="inlineStr">
        <is>
          <t>Auto-collected 2026-10-14 (ezhuna); review.</t>
        </is>
      </c>
      <c r="M76" s="10" t="inlineStr">
        <is>
          <t>https://www.ezhunaonline.com/archaeological-research-of-jaffna-fort/</t>
        </is>
      </c>
    </row>
    <row r="77">
      <c r="A77" s="11" t="inlineStr">
        <is>
          <t>MG-0076</t>
        </is>
      </c>
      <c r="B77" s="12" t="inlineStr">
        <is>
          <t>2023</t>
        </is>
      </c>
      <c r="C77" s="11" t="inlineStr">
        <is>
          <t>2023-08-16</t>
        </is>
      </c>
      <c r="D77" s="13" t="inlineStr">
        <is>
          <t>யாழ்ப்பாண அரசில் ஆட்சிபுரிந்த புவனேகபாகு வெளியிட்ட முருகப் பெருமானைக் குறிக்கும் அரிய நாணயங்கள்</t>
        </is>
      </c>
      <c r="E77" s="13" t="inlineStr">
        <is>
          <t>பரமு புஷ்பரட்ணம்</t>
        </is>
      </c>
      <c r="F77" s="13" t="inlineStr">
        <is>
          <t>Ezhuna (எழுநா)</t>
        </is>
      </c>
      <c r="G77" s="11" t="inlineStr">
        <is>
          <t>Online magazine article</t>
        </is>
      </c>
      <c r="H77" s="11" t="inlineStr">
        <is>
          <t>Tamil</t>
        </is>
      </c>
      <c r="I77" s="13" t="inlineStr">
        <is>
          <t>Coins / நாணயம்</t>
        </is>
      </c>
      <c r="J77" s="13" t="n"/>
      <c r="K77" s="11" t="inlineStr">
        <is>
          <t>Yes</t>
        </is>
      </c>
      <c r="L77" s="13" t="inlineStr">
        <is>
          <t>Auto-collected 2026-10-14 (ezhuna); review.</t>
        </is>
      </c>
      <c r="M77" s="14" t="inlineStr">
        <is>
          <t>https://www.ezhunaonline.com/the-coins-of-bhuvanaikabahu/</t>
        </is>
      </c>
    </row>
    <row r="78">
      <c r="A78" s="7" t="inlineStr">
        <is>
          <t>MG-0077</t>
        </is>
      </c>
      <c r="B78" s="8" t="inlineStr">
        <is>
          <t>2023</t>
        </is>
      </c>
      <c r="C78" s="7" t="inlineStr">
        <is>
          <t>2023-08-31</t>
        </is>
      </c>
      <c r="D78" s="9" t="inlineStr">
        <is>
          <t>கீழைக்கரைக்கான எழுத்துச் சான்றுகள் : மட்டக்களப்புப் பூர்வ சரித்திரம் III</t>
        </is>
      </c>
      <c r="E78" s="9" t="inlineStr">
        <is>
          <t>Vivekanantharaja Thulanchanan</t>
        </is>
      </c>
      <c r="F78" s="9" t="inlineStr">
        <is>
          <t>Ezhuna (எழுநா)</t>
        </is>
      </c>
      <c r="G78" s="7" t="inlineStr">
        <is>
          <t>Online magazine article</t>
        </is>
      </c>
      <c r="H78" s="7" t="inlineStr">
        <is>
          <t>Tamil</t>
        </is>
      </c>
      <c r="I78" s="9" t="n"/>
      <c r="J78" s="9" t="inlineStr">
        <is>
          <t>Batticaloa; sources</t>
        </is>
      </c>
      <c r="K78" s="7" t="inlineStr">
        <is>
          <t>Yes</t>
        </is>
      </c>
      <c r="L78" s="9" t="inlineStr">
        <is>
          <t>Series: East coast of Sri Lanka - a historical perspective</t>
        </is>
      </c>
      <c r="M78" s="10" t="inlineStr">
        <is>
          <t>https://www.ezhunaonline.com/batticaloa-history-iii/</t>
        </is>
      </c>
    </row>
    <row r="79">
      <c r="A79" s="11" t="inlineStr">
        <is>
          <t>MG-0078</t>
        </is>
      </c>
      <c r="B79" s="12" t="inlineStr">
        <is>
          <t>2023</t>
        </is>
      </c>
      <c r="C79" s="11" t="inlineStr">
        <is>
          <t>2023-09-06</t>
        </is>
      </c>
      <c r="D79" s="13" t="inlineStr">
        <is>
          <t>அநுராதபுர இராசதானி காலத்தில் எல்லாள மன்னன் வெளியிட்ட தமிழ் நாணயம்</t>
        </is>
      </c>
      <c r="E79" s="13" t="inlineStr">
        <is>
          <t>பரமு புஷ்பரட்ணம்</t>
        </is>
      </c>
      <c r="F79" s="13" t="inlineStr">
        <is>
          <t>Ezhuna (எழுநா)</t>
        </is>
      </c>
      <c r="G79" s="11" t="inlineStr">
        <is>
          <t>Online magazine article</t>
        </is>
      </c>
      <c r="H79" s="11" t="inlineStr">
        <is>
          <t>Tamil</t>
        </is>
      </c>
      <c r="I79" s="13" t="inlineStr">
        <is>
          <t>Coins / நாணயம்</t>
        </is>
      </c>
      <c r="J79" s="13" t="inlineStr">
        <is>
          <t>நாணயம்</t>
        </is>
      </c>
      <c r="K79" s="11" t="inlineStr">
        <is>
          <t>Yes</t>
        </is>
      </c>
      <c r="L79" s="13" t="inlineStr">
        <is>
          <t>Auto-collected 2026-10-14 (ezhuna); review.</t>
        </is>
      </c>
      <c r="M79" s="14" t="inlineStr">
        <is>
          <t>https://www.ezhunaonline.com/tamil-coin-of-ellalan/</t>
        </is>
      </c>
    </row>
    <row r="80">
      <c r="A80" s="7" t="inlineStr">
        <is>
          <t>MG-0079</t>
        </is>
      </c>
      <c r="B80" s="8" t="inlineStr">
        <is>
          <t>2023</t>
        </is>
      </c>
      <c r="C80" s="7" t="inlineStr">
        <is>
          <t>2023-10-04</t>
        </is>
      </c>
      <c r="D80" s="9" t="inlineStr">
        <is>
          <t>பெரிய புளியங்குளம் தமிழ்க் கல்வெட்டும் முள்ளியான் குடிமனை அழிபாடுகளும்</t>
        </is>
      </c>
      <c r="E80" s="9" t="inlineStr">
        <is>
          <t>பரமு புஷ்பரட்ணம்</t>
        </is>
      </c>
      <c r="F80" s="9" t="inlineStr">
        <is>
          <t>Ezhuna (எழுநா)</t>
        </is>
      </c>
      <c r="G80" s="7" t="inlineStr">
        <is>
          <t>Online magazine article</t>
        </is>
      </c>
      <c r="H80" s="7" t="inlineStr">
        <is>
          <t>Tamil</t>
        </is>
      </c>
      <c r="I80" s="9" t="inlineStr">
        <is>
          <t>Inscriptions / கல்வெட்டு</t>
        </is>
      </c>
      <c r="J80" s="9" t="inlineStr">
        <is>
          <t>கல்வெட்டு</t>
        </is>
      </c>
      <c r="K80" s="7" t="inlineStr">
        <is>
          <t>Yes</t>
        </is>
      </c>
      <c r="L80" s="9" t="inlineStr">
        <is>
          <t>Auto-collected 2026-10-14 (ezhuna); review.</t>
        </is>
      </c>
      <c r="M80" s="10" t="inlineStr">
        <is>
          <t>https://www.ezhunaonline.com/an-inscription-and-a-ruined-house-in-vanni/</t>
        </is>
      </c>
    </row>
    <row r="81">
      <c r="A81" s="11" t="inlineStr">
        <is>
          <t>MG-0080</t>
        </is>
      </c>
      <c r="B81" s="12" t="inlineStr">
        <is>
          <t>2023</t>
        </is>
      </c>
      <c r="C81" s="11" t="inlineStr">
        <is>
          <t>2023-10-20</t>
        </is>
      </c>
      <c r="D81" s="13" t="inlineStr">
        <is>
          <t>கீழைக்கரைக்கான வேறு தொன்மச் சான்றுகள் II</t>
        </is>
      </c>
      <c r="E81" s="13" t="inlineStr">
        <is>
          <t>Vivekanantharaja Thulanchanan</t>
        </is>
      </c>
      <c r="F81" s="13" t="inlineStr">
        <is>
          <t>Ezhuna (எழுநா)</t>
        </is>
      </c>
      <c r="G81" s="11" t="inlineStr">
        <is>
          <t>Online magazine article</t>
        </is>
      </c>
      <c r="H81" s="11" t="inlineStr">
        <is>
          <t>Tamil</t>
        </is>
      </c>
      <c r="I81" s="13" t="n"/>
      <c r="J81" s="13" t="inlineStr">
        <is>
          <t>Batticaloa; myths</t>
        </is>
      </c>
      <c r="K81" s="11" t="inlineStr">
        <is>
          <t>Yes</t>
        </is>
      </c>
      <c r="L81" s="13" t="inlineStr">
        <is>
          <t>Series: East coast of Sri Lanka - a historical perspective</t>
        </is>
      </c>
      <c r="M81" s="14" t="inlineStr">
        <is>
          <t>https://www.ezhunaonline.com/the-other-myths-of-batticaloa-2/</t>
        </is>
      </c>
    </row>
    <row r="82">
      <c r="A82" s="7" t="inlineStr">
        <is>
          <t>MG-0081</t>
        </is>
      </c>
      <c r="B82" s="8" t="inlineStr">
        <is>
          <t>2023</t>
        </is>
      </c>
      <c r="C82" s="7" t="inlineStr">
        <is>
          <t>2023-11-22</t>
        </is>
      </c>
      <c r="D82" s="9" t="inlineStr">
        <is>
          <t>வரலாற்றுக்கு முற்பட்ட இலங்கை</t>
        </is>
      </c>
      <c r="E82" s="9" t="inlineStr">
        <is>
          <t>Vivekanantharaja Thulanchanan</t>
        </is>
      </c>
      <c r="F82" s="9" t="inlineStr">
        <is>
          <t>Ezhuna (எழுநா)</t>
        </is>
      </c>
      <c r="G82" s="7" t="inlineStr">
        <is>
          <t>Online magazine article</t>
        </is>
      </c>
      <c r="H82" s="7" t="inlineStr">
        <is>
          <t>Tamil</t>
        </is>
      </c>
      <c r="I82" s="9" t="n"/>
      <c r="J82" s="9" t="inlineStr">
        <is>
          <t>prehistory</t>
        </is>
      </c>
      <c r="K82" s="7" t="inlineStr">
        <is>
          <t>Yes</t>
        </is>
      </c>
      <c r="L82" s="9" t="inlineStr">
        <is>
          <t>Series: East coast of Sri Lanka - a historical perspective</t>
        </is>
      </c>
      <c r="M82" s="10" t="inlineStr">
        <is>
          <t>https://www.ezhunaonline.com/timeline-of-sri-lankan-pre-history/</t>
        </is>
      </c>
    </row>
    <row r="83">
      <c r="A83" s="11" t="inlineStr">
        <is>
          <t>MG-0082</t>
        </is>
      </c>
      <c r="B83" s="12" t="inlineStr">
        <is>
          <t>2023</t>
        </is>
      </c>
      <c r="C83" s="11" t="inlineStr">
        <is>
          <t>2023-12-31</t>
        </is>
      </c>
      <c r="D83" s="13" t="inlineStr">
        <is>
          <t>இயக்கர் அல்லது பத்தர் : இலங்கை வரலாற்றுக் காலத்தின் துவக்கம்</t>
        </is>
      </c>
      <c r="E83" s="13" t="inlineStr">
        <is>
          <t>Vivekanantharaja Thulanchanan</t>
        </is>
      </c>
      <c r="F83" s="13" t="inlineStr">
        <is>
          <t>Ezhuna (எழுநா)</t>
        </is>
      </c>
      <c r="G83" s="11" t="inlineStr">
        <is>
          <t>Online magazine article</t>
        </is>
      </c>
      <c r="H83" s="11" t="inlineStr">
        <is>
          <t>Tamil</t>
        </is>
      </c>
      <c r="I83" s="13" t="n"/>
      <c r="J83" s="13" t="inlineStr">
        <is>
          <t>early history</t>
        </is>
      </c>
      <c r="K83" s="11" t="inlineStr">
        <is>
          <t>Yes</t>
        </is>
      </c>
      <c r="L83" s="13" t="inlineStr">
        <is>
          <t>Series: East coast of Sri Lanka - a historical perspective</t>
        </is>
      </c>
      <c r="M83" s="14" t="inlineStr">
        <is>
          <t>https://www.ezhunaonline.com/the-initial-stage-of-sri-lankan-history-period/</t>
        </is>
      </c>
    </row>
    <row r="84">
      <c r="A84" s="7" t="inlineStr">
        <is>
          <t>MG-0083</t>
        </is>
      </c>
      <c r="B84" s="8" t="inlineStr">
        <is>
          <t>2022</t>
        </is>
      </c>
      <c r="C84" s="7" t="inlineStr">
        <is>
          <t>2022-05-04</t>
        </is>
      </c>
      <c r="D84" s="9" t="inlineStr">
        <is>
          <t>இலங்கையில் அகழ்வாய்வு ஒரு அறிவியல் ஒழுக்கமா?</t>
        </is>
      </c>
      <c r="E84" s="9" t="inlineStr">
        <is>
          <t>பாக்கியநாதன் அகிலன்</t>
        </is>
      </c>
      <c r="F84" s="9" t="inlineStr">
        <is>
          <t>Ezhuna (எழுநா)</t>
        </is>
      </c>
      <c r="G84" s="7" t="inlineStr">
        <is>
          <t>Online magazine article</t>
        </is>
      </c>
      <c r="H84" s="7" t="inlineStr">
        <is>
          <t>Tamil</t>
        </is>
      </c>
      <c r="I84" s="9" t="inlineStr">
        <is>
          <t>Archaeology / தொல்லியல்</t>
        </is>
      </c>
      <c r="J84" s="9" t="inlineStr">
        <is>
          <t>அகழ்வாய்வு</t>
        </is>
      </c>
      <c r="K84" s="7" t="inlineStr">
        <is>
          <t>Yes</t>
        </is>
      </c>
      <c r="L84" s="9" t="inlineStr">
        <is>
          <t>Auto-collected 2026-10-14 (ezhuna); review.</t>
        </is>
      </c>
      <c r="M84" s="10" t="inlineStr">
        <is>
          <t>https://www.ezhunaonline.com/%e0%ae%ae%e0%ae%b0%e0%ae%aa%e0%af%81%e0%ae%b0%e0%ae%bf%e0%ae%ae%e0%af%88%e0%ae%95%e0%ae%b3%e0%af%88%e0%ae%aa%e0%af%8d-%e0%ae%aa%e0%ae%b1%e0%af%88%e0%ae%a4%e0%ae%b2%e0%af%8d-%e0%ae%87%e0%ae%b2/</t>
        </is>
      </c>
    </row>
    <row r="85">
      <c r="A85" s="11" t="inlineStr">
        <is>
          <t>MG-0084</t>
        </is>
      </c>
      <c r="B85" s="12" t="inlineStr">
        <is>
          <t>2022</t>
        </is>
      </c>
      <c r="C85" s="11" t="inlineStr">
        <is>
          <t>2022-09-28</t>
        </is>
      </c>
      <c r="D85" s="13" t="inlineStr">
        <is>
          <t>இலங்கையில் தமிழர் பற்றிய பிராமிக் கல்வெட்டுக்கள் – ஓர் அறிமுகம்</t>
        </is>
      </c>
      <c r="E85" s="13" t="inlineStr">
        <is>
          <t>N. K. S. Thiruchelvam</t>
        </is>
      </c>
      <c r="F85" s="13" t="inlineStr">
        <is>
          <t>Ezhuna (எழுநா)</t>
        </is>
      </c>
      <c r="G85" s="11" t="inlineStr">
        <is>
          <t>Online magazine article</t>
        </is>
      </c>
      <c r="H85" s="11" t="inlineStr">
        <is>
          <t>Tamil</t>
        </is>
      </c>
      <c r="I85" s="13" t="inlineStr">
        <is>
          <t>Inscriptions / கல்வெட்டு; Brahmi / பிராமி</t>
        </is>
      </c>
      <c r="J85" s="13" t="inlineStr">
        <is>
          <t>பிராமி; கல்வெட்டு; introduction</t>
        </is>
      </c>
      <c r="K85" s="11" t="inlineStr">
        <is>
          <t>Yes</t>
        </is>
      </c>
      <c r="L85" s="13" t="inlineStr">
        <is>
          <t>Series: Tamils in Brahmi &amp; Sinhala inscriptions</t>
        </is>
      </c>
      <c r="M85" s="14" t="inlineStr">
        <is>
          <t>https://www.ezhunaonline.com/brahmic-inscriptions-on-tamils-in-ceylon-an-introduction/</t>
        </is>
      </c>
    </row>
    <row r="86">
      <c r="A86" s="7" t="inlineStr">
        <is>
          <t>MG-0085</t>
        </is>
      </c>
      <c r="B86" s="8" t="inlineStr">
        <is>
          <t>2022</t>
        </is>
      </c>
      <c r="C86" s="7" t="inlineStr">
        <is>
          <t>2022-10-05</t>
        </is>
      </c>
      <c r="D86" s="9" t="inlineStr">
        <is>
          <t>இலங்கைத் தமிழரின் பூர்வீக வரலாற்றையும், பண்பாட்டையும் அடையாளப்படுத்திக் காட்டும் கட்டுக்கரைத் தொல்லியல் அகழ்வாய்வுகள் – பகுதி 4</t>
        </is>
      </c>
      <c r="E86" s="9" t="inlineStr">
        <is>
          <t>பரமு புஷ்பரட்ணம்</t>
        </is>
      </c>
      <c r="F86" s="9" t="inlineStr">
        <is>
          <t>Ezhuna (எழுநா)</t>
        </is>
      </c>
      <c r="G86" s="7" t="inlineStr">
        <is>
          <t>Online magazine article</t>
        </is>
      </c>
      <c r="H86" s="7" t="inlineStr">
        <is>
          <t>Tamil</t>
        </is>
      </c>
      <c r="I86" s="9" t="inlineStr">
        <is>
          <t>Archaeology / தொல்லியல்</t>
        </is>
      </c>
      <c r="J86" s="9" t="inlineStr">
        <is>
          <t>தொல்லியல்; அகழ்வாய்வு</t>
        </is>
      </c>
      <c r="K86" s="7" t="inlineStr">
        <is>
          <t>Yes</t>
        </is>
      </c>
      <c r="L86" s="9" t="inlineStr">
        <is>
          <t>Auto-collected 2026-10-14 (ezhuna); review.</t>
        </is>
      </c>
      <c r="M86" s="10" t="inlineStr">
        <is>
          <t>https://www.ezhunaonline.com/paleolithic-culture-and-contemporary-tamil-culture/</t>
        </is>
      </c>
    </row>
    <row r="87">
      <c r="A87" s="11" t="inlineStr">
        <is>
          <t>MG-0086</t>
        </is>
      </c>
      <c r="B87" s="12" t="inlineStr">
        <is>
          <t>2022</t>
        </is>
      </c>
      <c r="C87" s="11" t="inlineStr">
        <is>
          <t>2022-10-10</t>
        </is>
      </c>
      <c r="D87" s="13" t="inlineStr">
        <is>
          <t>தமிழர் தொடர்பாக பலரும் அறிந்திருந்த 5 பிராமிக் கல்வெட்டுக்கள்</t>
        </is>
      </c>
      <c r="E87" s="13" t="inlineStr">
        <is>
          <t>N. K. S. Thiruchelvam</t>
        </is>
      </c>
      <c r="F87" s="13" t="inlineStr">
        <is>
          <t>Ezhuna (எழுநா)</t>
        </is>
      </c>
      <c r="G87" s="11" t="inlineStr">
        <is>
          <t>Online magazine article</t>
        </is>
      </c>
      <c r="H87" s="11" t="inlineStr">
        <is>
          <t>Tamil</t>
        </is>
      </c>
      <c r="I87" s="13" t="inlineStr">
        <is>
          <t>Inscriptions / கல்வெட்டு; Brahmi / பிராமி</t>
        </is>
      </c>
      <c r="J87" s="13" t="inlineStr">
        <is>
          <t>பிராமி; கல்வெட்டு</t>
        </is>
      </c>
      <c r="K87" s="11" t="inlineStr">
        <is>
          <t>Yes</t>
        </is>
      </c>
      <c r="L87" s="13" t="inlineStr">
        <is>
          <t>Series: Tamils in Brahmi &amp; Sinhala inscriptions</t>
        </is>
      </c>
      <c r="M87" s="14" t="inlineStr">
        <is>
          <t>https://www.ezhunaonline.com/5brahmic-in-icriptions-tamils/</t>
        </is>
      </c>
    </row>
    <row r="88">
      <c r="A88" s="7" t="inlineStr">
        <is>
          <t>MG-0087</t>
        </is>
      </c>
      <c r="B88" s="8" t="inlineStr">
        <is>
          <t>2022</t>
        </is>
      </c>
      <c r="C88" s="7" t="inlineStr">
        <is>
          <t>2022-10-26</t>
        </is>
      </c>
      <c r="D88" s="9" t="inlineStr">
        <is>
          <t>கீழைக்கரைக்கான வரலாற்றுச் சான்றுகள் : கல்வெட்டுக்களும் பொறிப்புகளும்</t>
        </is>
      </c>
      <c r="E88" s="9" t="inlineStr">
        <is>
          <t>விவேகானந்தராஜா துலாஞ்சனன்</t>
        </is>
      </c>
      <c r="F88" s="9" t="inlineStr">
        <is>
          <t>Ezhuna (எழுநா)</t>
        </is>
      </c>
      <c r="G88" s="7" t="inlineStr">
        <is>
          <t>Online magazine article</t>
        </is>
      </c>
      <c r="H88" s="7" t="inlineStr">
        <is>
          <t>Tamil</t>
        </is>
      </c>
      <c r="I88" s="9" t="inlineStr">
        <is>
          <t>Inscriptions / கல்வெட்டு</t>
        </is>
      </c>
      <c r="J88" s="9" t="inlineStr">
        <is>
          <t>கல்வெட்டு</t>
        </is>
      </c>
      <c r="K88" s="7" t="inlineStr">
        <is>
          <t>Yes</t>
        </is>
      </c>
      <c r="L88" s="9" t="inlineStr">
        <is>
          <t>Auto-collected 2026-10-14 (ezhuna); review.</t>
        </is>
      </c>
      <c r="M88" s="10" t="inlineStr">
        <is>
          <t>https://www.ezhunaonline.com/historical-evidence-of-keekhakarai/</t>
        </is>
      </c>
    </row>
    <row r="89">
      <c r="A89" s="11" t="inlineStr">
        <is>
          <t>MG-0088</t>
        </is>
      </c>
      <c r="B89" s="12" t="inlineStr">
        <is>
          <t>2022</t>
        </is>
      </c>
      <c r="C89" s="11" t="inlineStr">
        <is>
          <t>2022-11-07</t>
        </is>
      </c>
      <c r="D89" s="13" t="inlineStr">
        <is>
          <t>தமிழ் வணிகன் பற்றிக் கூறும் பெரிய புளியங்குளம் கல்வெட்டுக்கள்</t>
        </is>
      </c>
      <c r="E89" s="13" t="inlineStr">
        <is>
          <t>N. K. S. Thiruchelvam</t>
        </is>
      </c>
      <c r="F89" s="13" t="inlineStr">
        <is>
          <t>Ezhuna (எழுநா)</t>
        </is>
      </c>
      <c r="G89" s="11" t="inlineStr">
        <is>
          <t>Online magazine article</t>
        </is>
      </c>
      <c r="H89" s="11" t="inlineStr">
        <is>
          <t>Tamil</t>
        </is>
      </c>
      <c r="I89" s="13" t="inlineStr">
        <is>
          <t>Inscriptions / கல்வெட்டு</t>
        </is>
      </c>
      <c r="J89" s="13" t="inlineStr">
        <is>
          <t>கல்வெட்டு; Periya Puliyankulam</t>
        </is>
      </c>
      <c r="K89" s="11" t="inlineStr">
        <is>
          <t>Yes</t>
        </is>
      </c>
      <c r="L89" s="13" t="inlineStr">
        <is>
          <t>Series: Tamils in Brahmi &amp; Sinhala inscriptions</t>
        </is>
      </c>
      <c r="M89" s="14" t="inlineStr">
        <is>
          <t>https://www.ezhunaonline.com/tamil-vanikan-puliankulam-inscriptions/</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n"/>
      <c r="D94" s="9" t="inlineStr">
        <is>
          <t>Sankiliyatital Archaeological Site in Jaffna</t>
        </is>
      </c>
      <c r="E94" s="9" t="inlineStr">
        <is>
          <t>Nishan Weerasooriya</t>
        </is>
      </c>
      <c r="F94" s="9" t="inlineStr">
        <is>
          <t>AmazingLanka.com</t>
        </is>
      </c>
      <c r="G94" s="7" t="inlineStr">
        <is>
          <t>Web article</t>
        </is>
      </c>
      <c r="H94" s="7" t="inlineStr">
        <is>
          <t>English</t>
        </is>
      </c>
      <c r="I94" s="9" t="inlineStr">
        <is>
          <t>Archaeology / தொல்லியல்</t>
        </is>
      </c>
      <c r="J94" s="9" t="inlineStr">
        <is>
          <t>தொல்லியல்; Jaffna</t>
        </is>
      </c>
      <c r="K94" s="7" t="inlineStr">
        <is>
          <t>Yes</t>
        </is>
      </c>
      <c r="L94" s="9" t="n"/>
      <c r="M94" s="10" t="inlineStr">
        <is>
          <t>https://amazinglanka.com/wp/sankiliyatital/</t>
        </is>
      </c>
    </row>
    <row r="95">
      <c r="A95" s="11" t="inlineStr">
        <is>
          <t>MG-0094</t>
        </is>
      </c>
      <c r="B95" s="12" t="inlineStr">
        <is>
          <t>2021</t>
        </is>
      </c>
      <c r="C95" s="11" t="inlineStr">
        <is>
          <t>2021-01-29</t>
        </is>
      </c>
      <c r="D95" s="13" t="inlineStr">
        <is>
          <t>அழிந்துவரும் மரபுரிமைச் சின்னங்கள்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https://www.ezhunaonline.com/alinthu-varum-maraburimai-sinnangal/</t>
        </is>
      </c>
    </row>
    <row r="96">
      <c r="A96" s="7" t="inlineStr">
        <is>
          <t>MG-0095</t>
        </is>
      </c>
      <c r="B96" s="8" t="inlineStr">
        <is>
          <t>2021</t>
        </is>
      </c>
      <c r="C96" s="7" t="inlineStr">
        <is>
          <t>2021-01-29</t>
        </is>
      </c>
      <c r="D96" s="9" t="inlineStr">
        <is>
          <t>யாழ்ப்பாண நகருக்கு முந்திய தலைநகரங்கள்</t>
        </is>
      </c>
      <c r="E96" s="9" t="inlineStr">
        <is>
          <t>இரத்தினவேலுப்பிள்ளை மயூரநாதன்</t>
        </is>
      </c>
      <c r="F96" s="9" t="inlineStr">
        <is>
          <t>Ezhuna (எழுநா)</t>
        </is>
      </c>
      <c r="G96" s="7" t="inlineStr">
        <is>
          <t>Online magazine article</t>
        </is>
      </c>
      <c r="H96" s="7" t="inlineStr">
        <is>
          <t>Tamil</t>
        </is>
      </c>
      <c r="I96" s="9" t="n"/>
      <c r="J96" s="9" t="n"/>
      <c r="K96" s="7" t="inlineStr">
        <is>
          <t>Yes</t>
        </is>
      </c>
      <c r="L96" s="9" t="inlineStr">
        <is>
          <t>Auto-collected 2026-10-14 (ezhuna); review.</t>
        </is>
      </c>
      <c r="M96" s="10" t="inlineStr">
        <is>
          <t>https://www.ezhunaonline.com/yaalpana-nagarukku-mundhiya-thalainagarangal/</t>
        </is>
      </c>
    </row>
    <row r="97">
      <c r="A97" s="11" t="inlineStr">
        <is>
          <t>MG-0096</t>
        </is>
      </c>
      <c r="B97" s="12" t="inlineStr">
        <is>
          <t>2020</t>
        </is>
      </c>
      <c r="C97" s="11" t="inlineStr">
        <is>
          <t>2020-04</t>
        </is>
      </c>
      <c r="D97" s="13" t="inlineStr">
        <is>
          <t>Tamil Inscriptions in Sri Lanka (list)</t>
        </is>
      </c>
      <c r="E97" s="13" t="inlineStr">
        <is>
          <t>Lanka Pradeepa</t>
        </is>
      </c>
      <c r="F97" s="13" t="inlineStr">
        <is>
          <t>Lanka Pradeepa (lankapradeepa.com)</t>
        </is>
      </c>
      <c r="G97" s="11" t="inlineStr">
        <is>
          <t>Web article</t>
        </is>
      </c>
      <c r="H97" s="11" t="inlineStr">
        <is>
          <t>English</t>
        </is>
      </c>
      <c r="I97" s="13" t="inlineStr">
        <is>
          <t>Inscriptions / கல்வெட்டு</t>
        </is>
      </c>
      <c r="J97" s="13" t="inlineStr">
        <is>
          <t>கல்வெட்டு; list; bibliography</t>
        </is>
      </c>
      <c r="K97" s="11" t="inlineStr">
        <is>
          <t>Yes</t>
        </is>
      </c>
      <c r="L97" s="13" t="inlineStr">
        <is>
          <t>Updated May 2023; 27 references</t>
        </is>
      </c>
      <c r="M97" s="14" t="inlineStr">
        <is>
          <t>https://www.lankapradeepa.com/2020/04/tamil-inscriptions-in-sri-lanka_16.html</t>
        </is>
      </c>
    </row>
    <row r="98">
      <c r="A98" s="7" t="inlineStr">
        <is>
          <t>MG-0097</t>
        </is>
      </c>
      <c r="B98" s="8" t="inlineStr">
        <is>
          <t>2012</t>
        </is>
      </c>
      <c r="C98" s="7" t="n"/>
      <c r="D98" s="9" t="inlineStr">
        <is>
          <t>The Avuranchchi Stones and Resting Stones (Sumaithankikkal) in the Cultural Life of Tamils</t>
        </is>
      </c>
      <c r="E98" s="9" t="inlineStr">
        <is>
          <t>S. Sajitharan</t>
        </is>
      </c>
      <c r="F98" s="9" t="inlineStr">
        <is>
          <t>Life Style of Jaffna, Express Newspapers (Ceylon)</t>
        </is>
      </c>
      <c r="G98" s="7" t="inlineStr">
        <is>
          <t>Book chapter</t>
        </is>
      </c>
      <c r="H98" s="7" t="inlineStr">
        <is>
          <t>Tamil</t>
        </is>
      </c>
      <c r="I98" s="9" t="n"/>
      <c r="J98" s="9" t="inlineStr">
        <is>
          <t>stones; material culture</t>
        </is>
      </c>
      <c r="K98" s="7" t="inlineStr">
        <is>
          <t>Yes</t>
        </is>
      </c>
      <c r="L98" s="9" t="n"/>
      <c r="M98" s="10" t="inlineStr">
        <is>
          <t>https://www.his.jfn.ac.lk/?p=791</t>
        </is>
      </c>
    </row>
    <row r="99">
      <c r="A99" s="11" t="inlineStr">
        <is>
          <t>MG-0098</t>
        </is>
      </c>
      <c r="B99" s="12" t="inlineStr">
        <is>
          <t>2012</t>
        </is>
      </c>
      <c r="C99" s="11" t="n"/>
      <c r="D99" s="13" t="inlineStr">
        <is>
          <t>The Dutch Church of Chankanai: one of the most important archaeological sites in the Jaffna Peninsula</t>
        </is>
      </c>
      <c r="E99" s="13" t="inlineStr">
        <is>
          <t>S. Sajitharan</t>
        </is>
      </c>
      <c r="F99" s="13" t="inlineStr">
        <is>
          <t>Kalasurapi (Historical Society journal)</t>
        </is>
      </c>
      <c r="G99" s="11" t="inlineStr">
        <is>
          <t>Magazine article</t>
        </is>
      </c>
      <c r="H99" s="11" t="inlineStr">
        <is>
          <t>Tamil</t>
        </is>
      </c>
      <c r="I99" s="13" t="inlineStr">
        <is>
          <t>Archaeology / தொல்லியல்</t>
        </is>
      </c>
      <c r="J99" s="13" t="inlineStr">
        <is>
          <t>archaeology; heritage</t>
        </is>
      </c>
      <c r="K99" s="11" t="inlineStr">
        <is>
          <t>Yes</t>
        </is>
      </c>
      <c r="L99" s="13" t="n"/>
      <c r="M99" s="14" t="inlineStr">
        <is>
          <t>https://www.his.jfn.ac.lk/?p=791</t>
        </is>
      </c>
    </row>
    <row r="100">
      <c r="A100" s="7" t="inlineStr">
        <is>
          <t>MG-0099</t>
        </is>
      </c>
      <c r="B100" s="8" t="inlineStr">
        <is>
          <t>2008</t>
        </is>
      </c>
      <c r="C100" s="7" t="n"/>
      <c r="D100" s="9" t="inlineStr">
        <is>
          <t>Amazing Discovery of Archaeological Artifact by Dept. of Archaeology, Tamil University, Thanjavur</t>
        </is>
      </c>
      <c r="E100" s="9" t="inlineStr">
        <is>
          <t>S. Sajitharan</t>
        </is>
      </c>
      <c r="F100" s="9" t="inlineStr">
        <is>
          <t>Thedal (Archaeological Study Circle, Dept. of History, University of Jaffna)</t>
        </is>
      </c>
      <c r="G100" s="7" t="inlineStr">
        <is>
          <t>Magazine article</t>
        </is>
      </c>
      <c r="H100" s="7" t="inlineStr">
        <is>
          <t>Tamil</t>
        </is>
      </c>
      <c r="I100" s="9" t="inlineStr">
        <is>
          <t>Archaeology / தொல்லியல்</t>
        </is>
      </c>
      <c r="J100" s="9" t="inlineStr">
        <is>
          <t>தொல்லியல்</t>
        </is>
      </c>
      <c r="K100" s="7" t="inlineStr">
        <is>
          <t>Yes</t>
        </is>
      </c>
      <c r="L100" s="9" t="n"/>
      <c r="M100" s="10" t="inlineStr">
        <is>
          <t>https://www.his.jfn.ac.lk/?p=791</t>
        </is>
      </c>
    </row>
    <row r="101">
      <c r="A101" s="11" t="inlineStr">
        <is>
          <t>MG-0100</t>
        </is>
      </c>
      <c r="B101" s="12" t="inlineStr">
        <is>
          <t>2003</t>
        </is>
      </c>
      <c r="C101" s="11" t="inlineStr">
        <is>
          <t>2003-04-11</t>
        </is>
      </c>
      <c r="D101" s="13" t="inlineStr">
        <is>
          <t>A magnum opus on Tamil-Brahmi inscriptions</t>
        </is>
      </c>
      <c r="E101" s="13" t="inlineStr">
        <is>
          <t>R. Champakalakshmi</t>
        </is>
      </c>
      <c r="F101" s="13" t="inlineStr">
        <is>
          <t>Frontline</t>
        </is>
      </c>
      <c r="G101" s="11" t="inlineStr">
        <is>
          <t>Book review</t>
        </is>
      </c>
      <c r="H101" s="11" t="inlineStr">
        <is>
          <t>English</t>
        </is>
      </c>
      <c r="I101" s="13" t="inlineStr">
        <is>
          <t>Inscriptions / கல்வெட்டு; Brahmi / பிராமி</t>
        </is>
      </c>
      <c r="J101" s="13" t="inlineStr">
        <is>
          <t>Tamil Brahmi; Mahadevan; Sinhala Brahmi</t>
        </is>
      </c>
      <c r="K101" s="11" t="inlineStr">
        <is>
          <t>Yes</t>
        </is>
      </c>
      <c r="L101" s="13" t="n"/>
      <c r="M101" s="14" t="inlineStr">
        <is>
          <t>https://www.worldgenweb.org/lkawgw/tamil-brahmi.htm</t>
        </is>
      </c>
    </row>
    <row r="102">
      <c r="A102" s="7" t="inlineStr">
        <is>
          <t>MG-0101</t>
        </is>
      </c>
      <c r="B102" s="8" t="n"/>
      <c r="C102" s="7" t="n"/>
      <c r="D102" s="9" t="inlineStr">
        <is>
          <t>Ancient Buddhist Shrines in Batticaloa and Ampara Districts</t>
        </is>
      </c>
      <c r="E102" s="9" t="n"/>
      <c r="F102" s="9" t="inlineStr">
        <is>
          <t>AmazingLanka.com</t>
        </is>
      </c>
      <c r="G102" s="7" t="inlineStr">
        <is>
          <t>Web article</t>
        </is>
      </c>
      <c r="H102" s="7" t="inlineStr">
        <is>
          <t>English</t>
        </is>
      </c>
      <c r="I102" s="9" t="inlineStr">
        <is>
          <t>Archaeology / தொல்லியல்</t>
        </is>
      </c>
      <c r="J102" s="9" t="inlineStr">
        <is>
          <t>archaeology; East</t>
        </is>
      </c>
      <c r="K102" s="7" t="inlineStr">
        <is>
          <t>Unknown</t>
        </is>
      </c>
      <c r="L102" s="9" t="n"/>
      <c r="M102" s="10" t="inlineStr">
        <is>
          <t>https://amazinglanka.com/wp/buddhist-shrines-in-batticaloa-and-ampara/</t>
        </is>
      </c>
    </row>
    <row r="103">
      <c r="A103" s="11" t="inlineStr">
        <is>
          <t>MG-0102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MG-0103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MG-0104</t>
        </is>
      </c>
      <c r="B105" s="12" t="n"/>
      <c r="C105" s="11" t="n"/>
      <c r="D105" s="13" t="inlineStr">
        <is>
          <t>Manniththalai Sand Bar Ancient Settlement and Archaeological Sites</t>
        </is>
      </c>
      <c r="E105" s="13" t="n"/>
      <c r="F105" s="13" t="inlineStr">
        <is>
          <t>AmazingLanka.com</t>
        </is>
      </c>
      <c r="G105" s="11" t="inlineStr">
        <is>
          <t>Web article</t>
        </is>
      </c>
      <c r="H105" s="11" t="inlineStr">
        <is>
          <t>English</t>
        </is>
      </c>
      <c r="I105" s="13" t="inlineStr">
        <is>
          <t>Archaeology / தொல்லியல்</t>
        </is>
      </c>
      <c r="J105" s="13" t="inlineStr">
        <is>
          <t>தொல்லியல்; settlement</t>
        </is>
      </c>
      <c r="K105" s="11" t="inlineStr">
        <is>
          <t>Unknown</t>
        </is>
      </c>
      <c r="L105" s="13" t="n"/>
      <c r="M105" s="14" t="inlineStr">
        <is>
          <t>https://amazinglanka.com/wp/manniththalai-settlements/</t>
        </is>
      </c>
    </row>
    <row r="106">
      <c r="A106" s="7" t="inlineStr">
        <is>
          <t>MG-0105</t>
        </is>
      </c>
      <c r="B106" s="8" t="n"/>
      <c r="C106" s="7" t="n"/>
      <c r="D106" s="9" t="inlineStr">
        <is>
          <t>Vanni Bandara Stone Memorial in Oddusuddan: A Legacy of Resistance</t>
        </is>
      </c>
      <c r="E106" s="9" t="n"/>
      <c r="F106" s="9" t="inlineStr">
        <is>
          <t>AmazingLanka.com</t>
        </is>
      </c>
      <c r="G106" s="7" t="inlineStr">
        <is>
          <t>Web article</t>
        </is>
      </c>
      <c r="H106" s="7" t="inlineStr">
        <is>
          <t>English</t>
        </is>
      </c>
      <c r="I106" s="9" t="inlineStr">
        <is>
          <t>Hero stones / நடுகல்</t>
        </is>
      </c>
      <c r="J106" s="9" t="inlineStr">
        <is>
          <t>memorial stone; Vanni</t>
        </is>
      </c>
      <c r="K106" s="7" t="inlineStr">
        <is>
          <t>Unknown</t>
        </is>
      </c>
      <c r="L106" s="9" t="n"/>
      <c r="M106" s="10" t="inlineStr">
        <is>
          <t>https://amazinglanka.com/wp/vanni-bandara-en/</t>
        </is>
      </c>
    </row>
    <row r="107">
      <c r="A107" s="11" t="inlineStr">
        <is>
          <t>MG-0106</t>
        </is>
      </c>
      <c r="B107" s="12" t="n"/>
      <c r="C107" s="11" t="n"/>
      <c r="D107" s="13" t="inlineStr">
        <is>
          <t>இலங்கைத் தமிழ்க் கல்வெட்டுகளில் பிராமணரும் பிரமதேயமும்</t>
        </is>
      </c>
      <c r="E107" s="13" t="n"/>
      <c r="F107" s="13" t="inlineStr">
        <is>
          <t>Ezhuna (எழுநா)</t>
        </is>
      </c>
      <c r="G107" s="11" t="inlineStr">
        <is>
          <t>Online magazine article</t>
        </is>
      </c>
      <c r="H107" s="11" t="inlineStr">
        <is>
          <t>Tamil</t>
        </is>
      </c>
      <c r="I107" s="13" t="inlineStr">
        <is>
          <t>Inscriptions / கல்வெட்டு</t>
        </is>
      </c>
      <c r="J107" s="13" t="inlineStr">
        <is>
          <t>கல்வெட்டு; Brahmadeya</t>
        </is>
      </c>
      <c r="K107" s="11" t="inlineStr">
        <is>
          <t>Unknown</t>
        </is>
      </c>
      <c r="L107" s="13" t="n"/>
      <c r="M107" s="14" t="inlineStr">
        <is>
          <t>https://www.ezhunaonline.com/article/brahmin-and-brahmatheya-in-sri-lankan-tamil-inscriptions/</t>
        </is>
      </c>
    </row>
    <row r="108">
      <c r="A108" s="7" t="inlineStr">
        <is>
          <t>MG-0107</t>
        </is>
      </c>
      <c r="B108" s="8" t="n"/>
      <c r="C108" s="7" t="n"/>
      <c r="D108" s="9" t="inlineStr">
        <is>
          <t>இலங்கைப் பிராமிக் கல்வெட்டுக்களில் சங்ககால வேள்</t>
        </is>
      </c>
      <c r="E108" s="9" t="inlineStr">
        <is>
          <t>N. K. S. Thiruchelvam</t>
        </is>
      </c>
      <c r="F108" s="9" t="inlineStr">
        <is>
          <t>Ezhuna (எழுநா)</t>
        </is>
      </c>
      <c r="G108" s="7" t="inlineStr">
        <is>
          <t>Online magazine article</t>
        </is>
      </c>
      <c r="H108" s="7" t="inlineStr">
        <is>
          <t>Tamil</t>
        </is>
      </c>
      <c r="I108" s="9" t="inlineStr">
        <is>
          <t>Inscriptions / கல்வெட்டு; Brahmi / பிராமி</t>
        </is>
      </c>
      <c r="J108" s="9" t="inlineStr">
        <is>
          <t>பிராமி; Sangam; Vel</t>
        </is>
      </c>
      <c r="K108" s="7" t="inlineStr">
        <is>
          <t>Unknown</t>
        </is>
      </c>
      <c r="L108" s="9" t="n"/>
      <c r="M108" s="10" t="inlineStr">
        <is>
          <t>https://www.ezhunaonline.com/sangam-age-in-sri-lankan-brahmic-inscriptions/</t>
        </is>
      </c>
    </row>
    <row r="109">
      <c r="A109" s="11" t="inlineStr">
        <is>
          <t>MG-0108</t>
        </is>
      </c>
      <c r="B109" s="12" t="n"/>
      <c r="C109" s="11" t="n"/>
      <c r="D109" s="13" t="inlineStr">
        <is>
          <t>இலங்கையில் கண்ணகி வழிபாடு புகுந்த முறை</t>
        </is>
      </c>
      <c r="E109" s="13" t="n"/>
      <c r="F109" s="13" t="inlineStr">
        <is>
          <t>Ezhuna (எழுநா)</t>
        </is>
      </c>
      <c r="G109" s="11" t="inlineStr">
        <is>
          <t>Online magazine article</t>
        </is>
      </c>
      <c r="H109" s="11" t="inlineStr">
        <is>
          <t>Tamil</t>
        </is>
      </c>
      <c r="I109" s="13" t="n"/>
      <c r="J109" s="13" t="inlineStr">
        <is>
          <t>Kannagi worship</t>
        </is>
      </c>
      <c r="K109" s="11" t="inlineStr">
        <is>
          <t>Unknown</t>
        </is>
      </c>
      <c r="L109" s="13" t="n"/>
      <c r="M109" s="14" t="inlineStr">
        <is>
          <t>https://www.ezhunaonline.com/how-kannagi-worship-entered-sri-lanka/</t>
        </is>
      </c>
    </row>
    <row r="110">
      <c r="A110" s="7" t="inlineStr">
        <is>
          <t>MG-0109</t>
        </is>
      </c>
      <c r="B110" s="8" t="n"/>
      <c r="C110" s="7" t="n"/>
      <c r="D110" s="9" t="inlineStr">
        <is>
          <t>கல்லஞ்சிய பாறைக் கல்வெட்டு கூறும் நாக மன்னன்</t>
        </is>
      </c>
      <c r="E110" s="9" t="inlineStr">
        <is>
          <t>N. K. S. Thiruchelvam</t>
        </is>
      </c>
      <c r="F110" s="9" t="inlineStr">
        <is>
          <t>Ezhuna (எழுநா)</t>
        </is>
      </c>
      <c r="G110" s="7" t="inlineStr">
        <is>
          <t>Online magazine article</t>
        </is>
      </c>
      <c r="H110" s="7" t="inlineStr">
        <is>
          <t>Tamil</t>
        </is>
      </c>
      <c r="I110" s="9" t="inlineStr">
        <is>
          <t>Inscriptions / கல்வெட்டு</t>
        </is>
      </c>
      <c r="J110" s="9" t="inlineStr">
        <is>
          <t>கல்வெட்டு; Naga</t>
        </is>
      </c>
      <c r="K110" s="7" t="inlineStr">
        <is>
          <t>Unknown</t>
        </is>
      </c>
      <c r="L110" s="9" t="inlineStr">
        <is>
          <t>Series: Naga people in Brahmi inscriptions</t>
        </is>
      </c>
      <c r="M110" s="10" t="inlineStr">
        <is>
          <t>https://www.ezhunaonline.com/the-kallanchiya-rock-inscription-tells-of-king-nagan/</t>
        </is>
      </c>
    </row>
    <row r="111">
      <c r="A111" s="11" t="inlineStr">
        <is>
          <t>MG-0110</t>
        </is>
      </c>
      <c r="B111" s="12" t="n"/>
      <c r="C111" s="11" t="n"/>
      <c r="D111" s="13" t="inlineStr">
        <is>
          <t>செட்டிகுளம் : தமிழரின் பூர்வீக வரலாற்றை வெளிச்சத்திற்கு கொண்டுவரும் சில தொல்லியற் சான்றுகள்</t>
        </is>
      </c>
      <c r="E111" s="13" t="n"/>
      <c r="F111" s="13" t="inlineStr">
        <is>
          <t>Ezhuna (எழுநா)</t>
        </is>
      </c>
      <c r="G111" s="11" t="inlineStr">
        <is>
          <t>Online magazine article</t>
        </is>
      </c>
      <c r="H111" s="11" t="inlineStr">
        <is>
          <t>Tamil</t>
        </is>
      </c>
      <c r="I111" s="13" t="inlineStr">
        <is>
          <t>Archaeology / தொல்லியல்</t>
        </is>
      </c>
      <c r="J111" s="13" t="inlineStr">
        <is>
          <t>தொல்லியல்; Cheddikulam</t>
        </is>
      </c>
      <c r="K111" s="11" t="inlineStr">
        <is>
          <t>Unknown</t>
        </is>
      </c>
      <c r="L111" s="13" t="n"/>
      <c r="M111" s="14" t="inlineStr">
        <is>
          <t>https://www.ezhunaonline.com/the-archaeological-value-of-cheddikulam/</t>
        </is>
      </c>
    </row>
    <row r="112">
      <c r="A112" s="7" t="inlineStr">
        <is>
          <t>MG-0111</t>
        </is>
      </c>
      <c r="B112" s="8" t="n"/>
      <c r="C112" s="7" t="n"/>
      <c r="D112" s="9" t="inlineStr">
        <is>
          <t>நாட்டார் சமயங்களும் இந்து மதமும்</t>
        </is>
      </c>
      <c r="E112" s="9" t="n"/>
      <c r="F112" s="9" t="inlineStr">
        <is>
          <t>Ezhuna (எழுநா)</t>
        </is>
      </c>
      <c r="G112" s="7" t="inlineStr">
        <is>
          <t>Online magazine article</t>
        </is>
      </c>
      <c r="H112" s="7" t="inlineStr">
        <is>
          <t>Tamil</t>
        </is>
      </c>
      <c r="I112" s="9" t="inlineStr">
        <is>
          <t>Hero stones / நடுகல்</t>
        </is>
      </c>
      <c r="J112" s="9" t="inlineStr">
        <is>
          <t>folk religion; நடுகல்</t>
        </is>
      </c>
      <c r="K112" s="7" t="inlineStr">
        <is>
          <t>Unknown</t>
        </is>
      </c>
      <c r="L112" s="9" t="n"/>
      <c r="M112" s="10" t="inlineStr">
        <is>
          <t>https://www.ezhunaonline.com/folk-religion-and-hinduism/</t>
        </is>
      </c>
    </row>
    <row r="113">
      <c r="A113" s="11" t="inlineStr">
        <is>
          <t>MG-0112</t>
        </is>
      </c>
      <c r="B113" s="12" t="n"/>
      <c r="C113" s="11" t="n"/>
      <c r="D113" s="13" t="inlineStr">
        <is>
          <t>பண்டைத் தமிழர் வழிபாட்டு மரபில் கண்ணகி</t>
        </is>
      </c>
      <c r="E113" s="13" t="n"/>
      <c r="F113" s="13" t="inlineStr">
        <is>
          <t>Ezhuna (எழுநா)</t>
        </is>
      </c>
      <c r="G113" s="11" t="inlineStr">
        <is>
          <t>Online magazine article</t>
        </is>
      </c>
      <c r="H113" s="11" t="inlineStr">
        <is>
          <t>Tamil</t>
        </is>
      </c>
      <c r="I113" s="13" t="n"/>
      <c r="J113" s="13" t="inlineStr">
        <is>
          <t>Kannagi worship</t>
        </is>
      </c>
      <c r="K113" s="11" t="inlineStr">
        <is>
          <t>Unknown</t>
        </is>
      </c>
      <c r="L113" s="13" t="n"/>
      <c r="M113" s="14" t="inlineStr">
        <is>
          <t>https://www.ezhunaonline.com/kanaki-worship-in-ancient-tamil-culture/</t>
        </is>
      </c>
    </row>
    <row r="114">
      <c r="A114" s="7" t="inlineStr">
        <is>
          <t>MG-0113</t>
        </is>
      </c>
      <c r="B114" s="8" t="n"/>
      <c r="C114" s="7" t="n"/>
      <c r="D114" s="9" t="inlineStr">
        <is>
          <t>பிராமி எழுத்து வடிவமும் தொடக்ககால எழுத்தறிவும்</t>
        </is>
      </c>
      <c r="E114" s="9" t="n"/>
      <c r="F114" s="9" t="inlineStr">
        <is>
          <t>Ezhuna (எழுநா)</t>
        </is>
      </c>
      <c r="G114" s="7" t="inlineStr">
        <is>
          <t>Online magazine article</t>
        </is>
      </c>
      <c r="H114" s="7" t="inlineStr">
        <is>
          <t>Tamil</t>
        </is>
      </c>
      <c r="I114" s="9" t="inlineStr">
        <is>
          <t>Brahmi / பிராமி</t>
        </is>
      </c>
      <c r="J114" s="9" t="inlineStr">
        <is>
          <t>பிராமி; literacy</t>
        </is>
      </c>
      <c r="K114" s="7" t="inlineStr">
        <is>
          <t>Unknown</t>
        </is>
      </c>
      <c r="L114" s="9" t="n"/>
      <c r="M114" s="10" t="inlineStr">
        <is>
          <t>https://www.ezhunaonline.com/article/brahmi-script-and-early-literacy/</t>
        </is>
      </c>
    </row>
    <row r="115">
      <c r="A115" s="11" t="inlineStr">
        <is>
          <t>MG-0114</t>
        </is>
      </c>
      <c r="B115" s="12" t="n"/>
      <c r="C115" s="11" t="n"/>
      <c r="D115" s="13" t="inlineStr">
        <is>
          <t>பெருங்கற்பண்பாட்டுக் கால இலங்கையில் தமிழரும் பௌத்தமும்</t>
        </is>
      </c>
      <c r="E115" s="13" t="n"/>
      <c r="F115" s="13" t="inlineStr">
        <is>
          <t>Ezhuna (எழுநா)</t>
        </is>
      </c>
      <c r="G115" s="11" t="inlineStr">
        <is>
          <t>Online magazine article</t>
        </is>
      </c>
      <c r="H115" s="11" t="inlineStr">
        <is>
          <t>Tamil</t>
        </is>
      </c>
      <c r="I115" s="13" t="inlineStr">
        <is>
          <t>Archaeology / தொல்லியல்</t>
        </is>
      </c>
      <c r="J115" s="13" t="inlineStr">
        <is>
          <t>megalithic; Buddhism; Tamils</t>
        </is>
      </c>
      <c r="K115" s="11" t="inlineStr">
        <is>
          <t>Unknown</t>
        </is>
      </c>
      <c r="L115" s="13" t="n"/>
      <c r="M115" s="14" t="inlineStr">
        <is>
          <t>https://www.ezhunaonline.com/compilation/buddhism-and-tamils-during-megalith-of-srilanka/</t>
        </is>
      </c>
    </row>
    <row r="116">
      <c r="A116" s="7" t="inlineStr">
        <is>
          <t>MG-0115</t>
        </is>
      </c>
      <c r="B116" s="8" t="n"/>
      <c r="C116" s="7" t="n"/>
      <c r="D116" s="9" t="inlineStr">
        <is>
          <t>மீளுருவாக்கப்பட்ட ஆரியகுளமும் ஆரியச்சக்கரவர்த்திகளும்</t>
        </is>
      </c>
      <c r="E116" s="9" t="n"/>
      <c r="F116" s="9" t="inlineStr">
        <is>
          <t>Ezhuna (எழுநா)</t>
        </is>
      </c>
      <c r="G116" s="7" t="inlineStr">
        <is>
          <t>Online magazine article</t>
        </is>
      </c>
      <c r="H116" s="7" t="inlineStr">
        <is>
          <t>Tamil</t>
        </is>
      </c>
      <c r="I116" s="9" t="n"/>
      <c r="J116" s="9" t="inlineStr">
        <is>
          <t>history; Jaffna kingdom</t>
        </is>
      </c>
      <c r="K116" s="7" t="inlineStr">
        <is>
          <t>Unknown</t>
        </is>
      </c>
      <c r="L116" s="9" t="n"/>
      <c r="M116" s="10" t="inlineStr">
        <is>
          <t>https://www.ezhunaonline.com/history-of-ariya-kulam-jaffna/</t>
        </is>
      </c>
    </row>
    <row r="117">
      <c r="A117" s="11" t="inlineStr">
        <is>
          <t>MG-0116</t>
        </is>
      </c>
      <c r="B117" s="12" t="n"/>
      <c r="C117" s="11" t="n"/>
      <c r="D117" s="13" t="inlineStr">
        <is>
          <t>யாழ்ப்பாணஅரசு தோன்ற முன்னர் வன்னிப் பெருநிலப்பரப்பில் தமிழ் இராசதானி இருந்ததை உறுதிப்படுத்தும் குருந்தன்குள ஆலய அழிபாடுகள்</t>
        </is>
      </c>
      <c r="E117" s="13" t="n"/>
      <c r="F117" s="13" t="inlineStr">
        <is>
          <t>Ezhuna (எழுநா)</t>
        </is>
      </c>
      <c r="G117" s="11" t="inlineStr">
        <is>
          <t>Online magazine article</t>
        </is>
      </c>
      <c r="H117" s="11" t="inlineStr">
        <is>
          <t>Tamil</t>
        </is>
      </c>
      <c r="I117" s="13" t="inlineStr">
        <is>
          <t>Archaeology / தொல்லியல்</t>
        </is>
      </c>
      <c r="J117" s="13" t="inlineStr">
        <is>
          <t>தொல்லியல்; Kurundankulam; Vanni</t>
        </is>
      </c>
      <c r="K117" s="11" t="inlineStr">
        <is>
          <t>Unknown</t>
        </is>
      </c>
      <c r="L117" s="13" t="n"/>
      <c r="M117" s="14" t="inlineStr">
        <is>
          <t>https://www.ezhunaonline.com/tamil-rasathani-in-vanni-kurundankula-temple/</t>
        </is>
      </c>
    </row>
    <row r="118">
      <c r="A118" s="7" t="inlineStr">
        <is>
          <t>MG-0117</t>
        </is>
      </c>
      <c r="B118" s="8" t="n"/>
      <c r="C118" s="7" t="n"/>
      <c r="D118" s="9" t="inlineStr">
        <is>
          <t>வேலணை, சாட்டியில் பெருங்கற்காலப் பண்பாடு</t>
        </is>
      </c>
      <c r="E118" s="9" t="n"/>
      <c r="F118" s="9" t="inlineStr">
        <is>
          <t>Ezhuna (எழுநா)</t>
        </is>
      </c>
      <c r="G118" s="7" t="inlineStr">
        <is>
          <t>Online magazine article</t>
        </is>
      </c>
      <c r="H118" s="7" t="inlineStr">
        <is>
          <t>Tamil</t>
        </is>
      </c>
      <c r="I118" s="9" t="inlineStr">
        <is>
          <t>Archaeology / தொல்லியல்</t>
        </is>
      </c>
      <c r="J118" s="9" t="inlineStr">
        <is>
          <t>தொல்லியல்; megalithic; Chatti</t>
        </is>
      </c>
      <c r="K118" s="7" t="inlineStr">
        <is>
          <t>Unknown</t>
        </is>
      </c>
      <c r="L118" s="9" t="n"/>
      <c r="M118" s="10" t="inlineStr">
        <is>
          <t>https://www.ezhunaonline.com/velana-palaeolithic-culture-at-chatti/</t>
        </is>
      </c>
    </row>
  </sheetData>
  <autoFilter ref="A1:M11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0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2026-04-11</t>
        </is>
      </c>
      <c r="E2" s="9" t="inlineStr">
        <is>
          <t>Glimpses of an Ancient Civilisation: Society and Culture in Jaffna (300 BC to AD 500)</t>
        </is>
      </c>
      <c r="F2" s="9" t="inlineStr">
        <is>
          <t>S. Pathmanathan</t>
        </is>
      </c>
      <c r="G2" s="9" t="n"/>
      <c r="H2" s="7" t="inlineStr">
        <is>
          <t>Book</t>
        </is>
      </c>
      <c r="I2" s="7" t="inlineStr">
        <is>
          <t>English</t>
        </is>
      </c>
      <c r="J2" s="9" t="inlineStr">
        <is>
          <t>Brahmi / பிராமி; Archaeology / தொல்லியல்; Coins / நாணயம்</t>
        </is>
      </c>
      <c r="K2" s="9" t="inlineStr">
        <is>
          <t>Tamil-Brahmi; Vallipuram gold plate; Roman coins; archaeology</t>
        </is>
      </c>
      <c r="L2" s="7" t="inlineStr">
        <is>
          <t>Yes</t>
        </is>
      </c>
      <c r="M2" s="9" t="inlineStr">
        <is>
          <t>Launched 11 Apr 2026</t>
        </is>
      </c>
      <c r="N2" s="10" t="inlineStr">
        <is>
          <t>https://www.tamilguardian.com/content/prof-pathmanathans-new-book-sheds-light-early-jaffna-civilisation</t>
        </is>
      </c>
    </row>
    <row r="3">
      <c r="A3" s="11" t="inlineStr">
        <is>
          <t>ALL-0002</t>
        </is>
      </c>
      <c r="B3" s="11" t="inlineStr">
        <is>
          <t>Books</t>
        </is>
      </c>
      <c r="C3" s="12" t="inlineStr">
        <is>
          <t>2025</t>
        </is>
      </c>
      <c r="D3" s="11" t="n"/>
      <c r="E3" s="13" t="inlineStr">
        <is>
          <t>இலங்கையின் பிராமி மற்றும் சிங்களக் கல்வெட்டுகளில் தமிழர் (Tamils in the Brahmi and Sinhala Inscriptions of Sri Lanka)</t>
        </is>
      </c>
      <c r="F3" s="13" t="inlineStr">
        <is>
          <t>N. K. S. Thiruchelvam</t>
        </is>
      </c>
      <c r="G3" s="13" t="inlineStr">
        <is>
          <t>Ezhuna</t>
        </is>
      </c>
      <c r="H3" s="11" t="inlineStr">
        <is>
          <t>Book</t>
        </is>
      </c>
      <c r="I3" s="11" t="inlineStr">
        <is>
          <t>Tamil</t>
        </is>
      </c>
      <c r="J3" s="13" t="inlineStr">
        <is>
          <t>Inscriptions / கல்வெட்டு; Brahmi / பிராமி</t>
        </is>
      </c>
      <c r="K3" s="13" t="inlineStr">
        <is>
          <t>Brahmi; கல்வெட்டு; Tamils</t>
        </is>
      </c>
      <c r="L3" s="11" t="inlineStr">
        <is>
          <t>Yes</t>
        </is>
      </c>
      <c r="M3" s="13" t="inlineStr">
        <is>
          <t>Book launch 26 Jul 2025, Trincomalee</t>
        </is>
      </c>
      <c r="N3" s="14" t="inlineStr">
        <is>
          <t>https://www.ezhunaonline.com/books/tamils-in-the-inscriptions-of-brahmi-and-sinhala/</t>
        </is>
      </c>
    </row>
    <row r="4">
      <c r="A4" s="7" t="inlineStr">
        <is>
          <t>ALL-0003</t>
        </is>
      </c>
      <c r="B4" s="7" t="inlineStr">
        <is>
          <t>Books</t>
        </is>
      </c>
      <c r="C4" s="8" t="inlineStr">
        <is>
          <t>2022</t>
        </is>
      </c>
      <c r="D4" s="7" t="n"/>
      <c r="E4" s="9" t="inlineStr">
        <is>
          <t>Ancient Sri Lanka: Glimpses of the Past</t>
        </is>
      </c>
      <c r="F4" s="9" t="inlineStr">
        <is>
          <t>K. Indrapala</t>
        </is>
      </c>
      <c r="G4" s="9" t="inlineStr">
        <is>
          <t>Ohm Books Publishing</t>
        </is>
      </c>
      <c r="H4" s="7" t="inlineStr">
        <is>
          <t>Book</t>
        </is>
      </c>
      <c r="I4" s="7" t="inlineStr">
        <is>
          <t>English</t>
        </is>
      </c>
      <c r="J4" s="9" t="inlineStr">
        <is>
          <t>Archaeology / தொல்லியல்</t>
        </is>
      </c>
      <c r="K4" s="9" t="inlineStr">
        <is>
          <t>archaeology; history</t>
        </is>
      </c>
      <c r="L4" s="7" t="inlineStr">
        <is>
          <t>Yes</t>
        </is>
      </c>
      <c r="M4" s="9" t="n"/>
      <c r="N4" s="10" t="inlineStr">
        <is>
          <t>https://en.wikipedia.org/wiki/K._Indrapala</t>
        </is>
      </c>
    </row>
    <row r="5">
      <c r="A5" s="11" t="inlineStr">
        <is>
          <t>ALL-0004</t>
        </is>
      </c>
      <c r="B5" s="11" t="inlineStr">
        <is>
          <t>Books</t>
        </is>
      </c>
      <c r="C5" s="12" t="inlineStr">
        <is>
          <t>2014</t>
        </is>
      </c>
      <c r="D5" s="11" t="n"/>
      <c r="E5" s="13" t="inlineStr">
        <is>
          <t>Collection of Historical Articles of Prof. V. Sivasamy</t>
        </is>
      </c>
      <c r="F5" s="13" t="inlineStr">
        <is>
          <t>K. Arunthavarajah (ed.)</t>
        </is>
      </c>
      <c r="G5" s="13" t="inlineStr">
        <is>
          <t>Anchu Publication, Nallur</t>
        </is>
      </c>
      <c r="H5" s="11" t="inlineStr">
        <is>
          <t>Edited volume</t>
        </is>
      </c>
      <c r="I5" s="11" t="inlineStr">
        <is>
          <t>Tamil</t>
        </is>
      </c>
      <c r="J5" s="13" t="inlineStr">
        <is>
          <t>Inscriptions / கல்வெட்டு</t>
        </is>
      </c>
      <c r="K5" s="13" t="inlineStr">
        <is>
          <t>history; epigraphy</t>
        </is>
      </c>
      <c r="L5" s="11" t="inlineStr">
        <is>
          <t>Yes</t>
        </is>
      </c>
      <c r="M5" s="13" t="n"/>
      <c r="N5" s="14" t="inlineStr">
        <is>
          <t>https://www.his.jfn.ac.lk/index.php/profkarunthavarajah/</t>
        </is>
      </c>
    </row>
    <row r="6">
      <c r="A6" s="7" t="inlineStr">
        <is>
          <t>ALL-0005</t>
        </is>
      </c>
      <c r="B6" s="7" t="inlineStr">
        <is>
          <t>Books</t>
        </is>
      </c>
      <c r="C6" s="8" t="inlineStr">
        <is>
          <t>2012</t>
        </is>
      </c>
      <c r="D6" s="7" t="n"/>
      <c r="E6" s="9" t="inlineStr">
        <is>
          <t>Life Style of Jaffna</t>
        </is>
      </c>
      <c r="F6" s="9" t="inlineStr">
        <is>
          <t>K. Arunthavarajah (managing ed.)</t>
        </is>
      </c>
      <c r="G6" s="9" t="inlineStr">
        <is>
          <t>Department of History, University of Jaffna, with Veerakesari</t>
        </is>
      </c>
      <c r="H6" s="7" t="inlineStr">
        <is>
          <t>Edited volume</t>
        </is>
      </c>
      <c r="I6" s="7" t="inlineStr">
        <is>
          <t>English</t>
        </is>
      </c>
      <c r="J6" s="9" t="inlineStr">
        <is>
          <t>Archaeology / தொல்லியல்</t>
        </is>
      </c>
      <c r="K6" s="9" t="inlineStr">
        <is>
          <t>material culture; heritage</t>
        </is>
      </c>
      <c r="L6" s="7" t="inlineStr">
        <is>
          <t>Yes</t>
        </is>
      </c>
      <c r="M6" s="9" t="n"/>
      <c r="N6" s="10" t="inlineStr">
        <is>
          <t>https://www.his.jfn.ac.lk/index.php/profkarunthavarajah/</t>
        </is>
      </c>
    </row>
    <row r="7">
      <c r="A7" s="11" t="inlineStr">
        <is>
          <t>ALL-0006</t>
        </is>
      </c>
      <c r="B7" s="11" t="inlineStr">
        <is>
          <t>Books</t>
        </is>
      </c>
      <c r="C7" s="12" t="inlineStr">
        <is>
          <t>2010</t>
        </is>
      </c>
      <c r="D7" s="11" t="n"/>
      <c r="E7" s="13" t="inlineStr">
        <is>
          <t>Spolia Zeylanica Vol. 47: Tamil Inscriptions in the Colombo National Museum</t>
        </is>
      </c>
      <c r="F7" s="13" t="inlineStr">
        <is>
          <t>Department of National Museums</t>
        </is>
      </c>
      <c r="G7" s="13" t="inlineStr">
        <is>
          <t>Department of National Museums, Colombo</t>
        </is>
      </c>
      <c r="H7" s="11" t="inlineStr">
        <is>
          <t>Book</t>
        </is>
      </c>
      <c r="I7" s="11" t="inlineStr">
        <is>
          <t>English</t>
        </is>
      </c>
      <c r="J7" s="13" t="inlineStr">
        <is>
          <t>Inscriptions / கல்வெட்டு</t>
        </is>
      </c>
      <c r="K7" s="13" t="inlineStr">
        <is>
          <t>Tamil inscriptions; museum catalogue</t>
        </is>
      </c>
      <c r="L7" s="11" t="inlineStr">
        <is>
          <t>Yes</t>
        </is>
      </c>
      <c r="M7" s="13" t="inlineStr">
        <is>
          <t>ISBN 9789555780278</t>
        </is>
      </c>
      <c r="N7" s="14" t="inlineStr">
        <is>
          <t>https://opac.busl.ac.lk/bib/14671</t>
        </is>
      </c>
    </row>
    <row r="8">
      <c r="A8" s="7" t="inlineStr">
        <is>
          <t>ALL-0007</t>
        </is>
      </c>
      <c r="B8" s="7" t="inlineStr">
        <is>
          <t>Books</t>
        </is>
      </c>
      <c r="C8" s="8" t="inlineStr">
        <is>
          <t>2008</t>
        </is>
      </c>
      <c r="D8" s="7" t="n"/>
      <c r="E8" s="9" t="inlineStr">
        <is>
          <t>Rock and Wall Paintings of Sri Lanka (facsimile edition)</t>
        </is>
      </c>
      <c r="F8" s="9" t="inlineStr">
        <is>
          <t>Senaka Bandaranayake</t>
        </is>
      </c>
      <c r="G8" s="9" t="inlineStr">
        <is>
          <t>Stamford Lake</t>
        </is>
      </c>
      <c r="H8" s="7" t="inlineStr">
        <is>
          <t>Book</t>
        </is>
      </c>
      <c r="I8" s="7" t="inlineStr">
        <is>
          <t>English</t>
        </is>
      </c>
      <c r="J8" s="9" t="inlineStr">
        <is>
          <t>Rock art / பாறை ஓவியம்</t>
        </is>
      </c>
      <c r="K8" s="9" t="inlineStr">
        <is>
          <t>பாறை ஓவியம்; rock art; wall paintings</t>
        </is>
      </c>
      <c r="L8" s="7" t="inlineStr">
        <is>
          <t>Yes</t>
        </is>
      </c>
      <c r="M8" s="9" t="inlineStr">
        <is>
          <t>Publisher to verify</t>
        </is>
      </c>
      <c r="N8" s="10" t="inlineStr">
        <is>
          <t>https://www.sundaytimes.lk/080504/Plus/plus000025.html</t>
        </is>
      </c>
    </row>
    <row r="9">
      <c r="A9" s="11" t="inlineStr">
        <is>
          <t>ALL-0008</t>
        </is>
      </c>
      <c r="B9" s="11" t="inlineStr">
        <is>
          <t>Books</t>
        </is>
      </c>
      <c r="C9" s="12" t="inlineStr">
        <is>
          <t>2006</t>
        </is>
      </c>
      <c r="D9" s="11" t="n"/>
      <c r="E9" s="13" t="inlineStr">
        <is>
          <t>Ilankait Tamilc Cacanankal c. AD 800-1300 (Tamil Inscriptions of Sri Lanka)</t>
        </is>
      </c>
      <c r="F9" s="13" t="inlineStr">
        <is>
          <t>S. Pathmanathan</t>
        </is>
      </c>
      <c r="G9" s="13" t="inlineStr">
        <is>
          <t>Department of Hindu Religious and Cultural Affairs</t>
        </is>
      </c>
      <c r="H9" s="11" t="inlineStr">
        <is>
          <t>Book</t>
        </is>
      </c>
      <c r="I9" s="11" t="inlineStr">
        <is>
          <t>Tamil</t>
        </is>
      </c>
      <c r="J9" s="13" t="inlineStr">
        <is>
          <t>Inscriptions / கல்வெட்டு</t>
        </is>
      </c>
      <c r="K9" s="13" t="inlineStr">
        <is>
          <t>கல்வெட்டு; inscriptions corpus</t>
        </is>
      </c>
      <c r="L9" s="11" t="inlineStr">
        <is>
          <t>Yes</t>
        </is>
      </c>
      <c r="M9" s="13" t="inlineStr">
        <is>
          <t>Same as entry from Wikipedia; fuller title</t>
        </is>
      </c>
      <c r="N9" s="14" t="inlineStr">
        <is>
          <t>https://jfn.ac.lk/prof-s-pathmanathan/</t>
        </is>
      </c>
    </row>
    <row r="10">
      <c r="A10" s="7" t="inlineStr">
        <is>
          <t>ALL-0009</t>
        </is>
      </c>
      <c r="B10" s="7" t="inlineStr">
        <is>
          <t>Books</t>
        </is>
      </c>
      <c r="C10" s="8" t="inlineStr">
        <is>
          <t>2006</t>
        </is>
      </c>
      <c r="D10" s="7" t="n"/>
      <c r="E10" s="9" t="inlineStr">
        <is>
          <t>இலங்கைத் தமிழ்ச் சாசனங்கள் (Tamil Inscriptions in Sri Lanka)</t>
        </is>
      </c>
      <c r="F10" s="9" t="inlineStr">
        <is>
          <t>S. Pathmanathan</t>
        </is>
      </c>
      <c r="G10" s="9" t="inlineStr">
        <is>
          <t>Department of Hindu Religious &amp; Cultural Affairs, Colombo</t>
        </is>
      </c>
      <c r="H10" s="7" t="inlineStr">
        <is>
          <t>Book</t>
        </is>
      </c>
      <c r="I10" s="7" t="inlineStr">
        <is>
          <t>Tamil</t>
        </is>
      </c>
      <c r="J10" s="9" t="inlineStr">
        <is>
          <t>Inscriptions / கல்வெட்டு</t>
        </is>
      </c>
      <c r="K10" s="9" t="inlineStr">
        <is>
          <t>inscriptions; கல்வெட்டு</t>
        </is>
      </c>
      <c r="L10" s="7" t="inlineStr">
        <is>
          <t>Yes</t>
        </is>
      </c>
      <c r="M10" s="9" t="n"/>
      <c r="N10" s="10" t="inlineStr">
        <is>
          <t>https://en.wikipedia.org/wiki/S._Pathmanathan</t>
        </is>
      </c>
    </row>
    <row r="11">
      <c r="A11" s="11" t="inlineStr">
        <is>
          <t>ALL-0010</t>
        </is>
      </c>
      <c r="B11" s="11" t="inlineStr">
        <is>
          <t>Books</t>
        </is>
      </c>
      <c r="C11" s="12" t="inlineStr">
        <is>
          <t>2005</t>
        </is>
      </c>
      <c r="D11" s="11" t="n"/>
      <c r="E11" s="13" t="inlineStr">
        <is>
          <t>Hindu Encyclopaedia (Tamil), Parts I-IX (1992-2008)</t>
        </is>
      </c>
      <c r="F11" s="13" t="inlineStr">
        <is>
          <t>S. Pathmanathan (ed.-in-chief)</t>
        </is>
      </c>
      <c r="G11" s="13" t="inlineStr">
        <is>
          <t>Department of Hindu Religious and Cultural Affairs</t>
        </is>
      </c>
      <c r="H11" s="11" t="inlineStr">
        <is>
          <t>Encyclopaedia</t>
        </is>
      </c>
      <c r="I11" s="11" t="inlineStr">
        <is>
          <t>Tamil</t>
        </is>
      </c>
      <c r="J11" s="13" t="n"/>
      <c r="K11" s="13" t="inlineStr">
        <is>
          <t>encyclopaedia; temples</t>
        </is>
      </c>
      <c r="L11" s="11" t="inlineStr">
        <is>
          <t>Yes</t>
        </is>
      </c>
      <c r="M11" s="13" t="inlineStr">
        <is>
          <t>Parts: III 1996, IV 1998, V 2001, VI 2003, VII 2005, VIII 2006, IX 2008</t>
        </is>
      </c>
      <c r="N11" s="14" t="inlineStr">
        <is>
          <t>https://jfn.ac.lk/prof-s-pathmanathan/</t>
        </is>
      </c>
    </row>
    <row r="12">
      <c r="A12" s="7" t="inlineStr">
        <is>
          <t>ALL-0011</t>
        </is>
      </c>
      <c r="B12" s="7" t="inlineStr">
        <is>
          <t>Books</t>
        </is>
      </c>
      <c r="C12" s="8" t="inlineStr">
        <is>
          <t>2005</t>
        </is>
      </c>
      <c r="D12" s="7" t="n"/>
      <c r="E12" s="9" t="inlineStr">
        <is>
          <t>The Evolution of an Ethnic Identity: The Tamils of Sri Lanka c. 300 BCE to c. 1200 CE</t>
        </is>
      </c>
      <c r="F12" s="9" t="inlineStr">
        <is>
          <t>K. Indrapala</t>
        </is>
      </c>
      <c r="G12" s="9" t="inlineStr">
        <is>
          <t>MV Publications (Sydney); reissued Vijitha Yapa 2007, Ohm Books 2015</t>
        </is>
      </c>
      <c r="H12" s="7" t="inlineStr">
        <is>
          <t>Book</t>
        </is>
      </c>
      <c r="I12" s="7" t="inlineStr">
        <is>
          <t>English</t>
        </is>
      </c>
      <c r="J12" s="9" t="inlineStr">
        <is>
          <t>Inscriptions / கல்வெட்டு; Brahmi / பிராமி</t>
        </is>
      </c>
      <c r="K12" s="9" t="inlineStr">
        <is>
          <t>Tamil Brahmi; inscriptions; ethnic history</t>
        </is>
      </c>
      <c r="L12" s="7" t="inlineStr">
        <is>
          <t>Yes</t>
        </is>
      </c>
      <c r="M12" s="9" t="n"/>
      <c r="N12" s="10" t="inlineStr">
        <is>
          <t>https://en.wikipedia.org/wiki/K._Indrapala</t>
        </is>
      </c>
    </row>
    <row r="13">
      <c r="A13" s="11" t="inlineStr">
        <is>
          <t>ALL-0012</t>
        </is>
      </c>
      <c r="B13" s="11" t="inlineStr">
        <is>
          <t>Books</t>
        </is>
      </c>
      <c r="C13" s="12" t="inlineStr">
        <is>
          <t>2004</t>
        </is>
      </c>
      <c r="D13" s="11" t="n"/>
      <c r="E13" s="13" t="inlineStr">
        <is>
          <t>A Study of the Language of the Tamil Inscriptions of the 7th and 8th Centuries A.D.</t>
        </is>
      </c>
      <c r="F13" s="13" t="inlineStr">
        <is>
          <t>K. Kanapathypillai</t>
        </is>
      </c>
      <c r="G13" s="13" t="inlineStr">
        <is>
          <t>Kumaran Book House, Colombo-Chennai</t>
        </is>
      </c>
      <c r="H13" s="11" t="inlineStr">
        <is>
          <t>Book</t>
        </is>
      </c>
      <c r="I13" s="11" t="inlineStr">
        <is>
          <t>English</t>
        </is>
      </c>
      <c r="J13" s="13" t="inlineStr">
        <is>
          <t>Inscriptions / கல்வெட்டு</t>
        </is>
      </c>
      <c r="K13" s="13" t="inlineStr">
        <is>
          <t>Tamil inscriptions; epigraphy</t>
        </is>
      </c>
      <c r="L13" s="11" t="inlineStr">
        <is>
          <t>Yes</t>
        </is>
      </c>
      <c r="M13" s="13" t="inlineStr">
        <is>
          <t>1st edition 2004 (reprint)</t>
        </is>
      </c>
      <c r="N13" s="14" t="inlineStr">
        <is>
          <t>https://unioncatalogue.dlp.gov.lk/Record/batt.35119/Similar</t>
        </is>
      </c>
    </row>
    <row r="14">
      <c r="A14" s="7" t="inlineStr">
        <is>
          <t>ALL-0013</t>
        </is>
      </c>
      <c r="B14" s="7" t="inlineStr">
        <is>
          <t>Books</t>
        </is>
      </c>
      <c r="C14" s="8" t="inlineStr">
        <is>
          <t>2004</t>
        </is>
      </c>
      <c r="D14" s="7" t="n"/>
      <c r="E14" s="9" t="inlineStr">
        <is>
          <t>Ilankaiyil Intu Camayam (Hinduism in Sri Lanka)</t>
        </is>
      </c>
      <c r="F14" s="9" t="inlineStr">
        <is>
          <t>S. Pathmanathan</t>
        </is>
      </c>
      <c r="G14" s="9" t="inlineStr">
        <is>
          <t>Kumaran Book House, Colombo-Chennai</t>
        </is>
      </c>
      <c r="H14" s="7" t="inlineStr">
        <is>
          <t>Book</t>
        </is>
      </c>
      <c r="I14" s="7" t="inlineStr">
        <is>
          <t>Tamil</t>
        </is>
      </c>
      <c r="J14" s="9" t="n"/>
      <c r="K14" s="9" t="inlineStr">
        <is>
          <t>Hinduism; history</t>
        </is>
      </c>
      <c r="L14" s="7" t="inlineStr">
        <is>
          <t>Yes</t>
        </is>
      </c>
      <c r="M14" s="9" t="n"/>
      <c r="N14" s="10" t="inlineStr">
        <is>
          <t>https://jfn.ac.lk/prof-s-pathmanathan/</t>
        </is>
      </c>
    </row>
    <row r="15">
      <c r="A15" s="11" t="inlineStr">
        <is>
          <t>ALL-0014</t>
        </is>
      </c>
      <c r="B15" s="11" t="inlineStr">
        <is>
          <t>Books</t>
        </is>
      </c>
      <c r="C15" s="12" t="inlineStr">
        <is>
          <t>2004</t>
        </is>
      </c>
      <c r="D15" s="11" t="n"/>
      <c r="E15" s="13" t="inlineStr">
        <is>
          <t>Tamil Literature and Historical Traditions in Sri Lanka</t>
        </is>
      </c>
      <c r="F15" s="13" t="inlineStr">
        <is>
          <t>S. Pathmanathan</t>
        </is>
      </c>
      <c r="G15" s="13" t="inlineStr">
        <is>
          <t>Kumaran Press</t>
        </is>
      </c>
      <c r="H15" s="11" t="inlineStr">
        <is>
          <t>Book</t>
        </is>
      </c>
      <c r="I15" s="11" t="inlineStr">
        <is>
          <t>Tamil</t>
        </is>
      </c>
      <c r="J15" s="13" t="n"/>
      <c r="K15" s="13" t="inlineStr">
        <is>
          <t>history</t>
        </is>
      </c>
      <c r="L15" s="11" t="inlineStr">
        <is>
          <t>Yes</t>
        </is>
      </c>
      <c r="M15" s="13" t="n"/>
      <c r="N15" s="14" t="inlineStr">
        <is>
          <t>https://en.wikipedia.org/wiki/S._Pathmanathan</t>
        </is>
      </c>
    </row>
    <row r="16">
      <c r="A16" s="7" t="inlineStr">
        <is>
          <t>ALL-0015</t>
        </is>
      </c>
      <c r="B16" s="7" t="inlineStr">
        <is>
          <t>Books</t>
        </is>
      </c>
      <c r="C16" s="8" t="inlineStr">
        <is>
          <t>2003</t>
        </is>
      </c>
      <c r="D16" s="7" t="n"/>
      <c r="E16" s="9" t="inlineStr">
        <is>
          <t>Early Tamil Epigraphy: From the Earliest Times to the Sixth Century A.D.</t>
        </is>
      </c>
      <c r="F16" s="9" t="inlineStr">
        <is>
          <t>Iravatham Mahadevan</t>
        </is>
      </c>
      <c r="G16" s="9" t="inlineStr">
        <is>
          <t>Cre-A, Chennai &amp; Harvard University</t>
        </is>
      </c>
      <c r="H16" s="7" t="inlineStr">
        <is>
          <t>Book</t>
        </is>
      </c>
      <c r="I16" s="7" t="inlineStr">
        <is>
          <t>English</t>
        </is>
      </c>
      <c r="J16" s="9" t="inlineStr">
        <is>
          <t>Inscriptions / கல்வெட்டு; Brahmi / பிராமி</t>
        </is>
      </c>
      <c r="K16" s="9" t="inlineStr">
        <is>
          <t>Tamil Brahmi; epigraphy; Sri Lanka parallels</t>
        </is>
      </c>
      <c r="L16" s="7" t="inlineStr">
        <is>
          <t>Yes</t>
        </is>
      </c>
      <c r="M16" s="9" t="inlineStr">
        <is>
          <t>Discusses Sri Lankan Brahmi</t>
        </is>
      </c>
      <c r="N16" s="10" t="inlineStr">
        <is>
          <t>https://vedamsbooks.com/books/early_tamil_epigraphy_from_the_earliest_times_to_the_sixth_century_c_e_volume_1_tamil_brahmi_inscriptions</t>
        </is>
      </c>
    </row>
    <row r="17">
      <c r="A17" s="11" t="inlineStr">
        <is>
          <t>ALL-0016</t>
        </is>
      </c>
      <c r="B17" s="11" t="inlineStr">
        <is>
          <t>Books</t>
        </is>
      </c>
      <c r="C17" s="12" t="inlineStr">
        <is>
          <t>2003</t>
        </is>
      </c>
      <c r="D17" s="11" t="n"/>
      <c r="E17" s="13" t="inlineStr">
        <is>
          <t>Glimpses of Hindu Heritage</t>
        </is>
      </c>
      <c r="F17" s="13" t="inlineStr">
        <is>
          <t>S. Pathmanathan (joint ed.)</t>
        </is>
      </c>
      <c r="G17" s="13" t="inlineStr">
        <is>
          <t>Ministry of Hindu Religious Affairs</t>
        </is>
      </c>
      <c r="H17" s="11" t="inlineStr">
        <is>
          <t>Edited volume</t>
        </is>
      </c>
      <c r="I17" s="11" t="inlineStr">
        <is>
          <t>English</t>
        </is>
      </c>
      <c r="J17" s="13" t="inlineStr">
        <is>
          <t>Archaeology / தொல்லியல்</t>
        </is>
      </c>
      <c r="K17" s="13" t="inlineStr">
        <is>
          <t>heritage; bronzes</t>
        </is>
      </c>
      <c r="L17" s="11" t="inlineStr">
        <is>
          <t>Yes</t>
        </is>
      </c>
      <c r="M17" s="13" t="n"/>
      <c r="N17" s="14" t="inlineStr">
        <is>
          <t>https://jfn.ac.lk/prof-s-pathmanathan/</t>
        </is>
      </c>
    </row>
    <row r="18">
      <c r="A18" s="7" t="inlineStr">
        <is>
          <t>ALL-0017</t>
        </is>
      </c>
      <c r="B18" s="7" t="inlineStr">
        <is>
          <t>Books</t>
        </is>
      </c>
      <c r="C18" s="8" t="inlineStr">
        <is>
          <t>2002</t>
        </is>
      </c>
      <c r="D18" s="7" t="n"/>
      <c r="E18" s="9" t="inlineStr">
        <is>
          <t>Ancient Coins of Sri Lankan Tamil Rulers</t>
        </is>
      </c>
      <c r="F18" s="9" t="inlineStr">
        <is>
          <t>P. Pushparatnam</t>
        </is>
      </c>
      <c r="G18" s="9" t="inlineStr">
        <is>
          <t>Bavani Patippakam, Jaffna</t>
        </is>
      </c>
      <c r="H18" s="7" t="inlineStr">
        <is>
          <t>Book</t>
        </is>
      </c>
      <c r="I18" s="7" t="inlineStr">
        <is>
          <t>English</t>
        </is>
      </c>
      <c r="J18" s="9" t="inlineStr">
        <is>
          <t>Brahmi / பிராமி; Archaeology / தொல்லியல்; Coins / நாணயம்</t>
        </is>
      </c>
      <c r="K18" s="9" t="inlineStr">
        <is>
          <t>coins; Tamil Brahmi; archaeology</t>
        </is>
      </c>
      <c r="L18" s="7" t="inlineStr">
        <is>
          <t>Yes</t>
        </is>
      </c>
      <c r="M18" s="9" t="inlineStr">
        <is>
          <t>192 pp.</t>
        </is>
      </c>
      <c r="N18" s="10" t="inlineStr">
        <is>
          <t>https://mannar.dlp.gov.lk/bib/9820</t>
        </is>
      </c>
    </row>
    <row r="19">
      <c r="A19" s="11" t="inlineStr">
        <is>
          <t>ALL-0018</t>
        </is>
      </c>
      <c r="B19" s="11" t="inlineStr">
        <is>
          <t>Books</t>
        </is>
      </c>
      <c r="C19" s="12" t="inlineStr">
        <is>
          <t>2001</t>
        </is>
      </c>
      <c r="D19" s="11" t="n"/>
      <c r="E19" s="13" t="inlineStr">
        <is>
          <t>Hindu Culture in Sri Lanka, Vol. 1: Temple Art &amp; Architecture (ed.)</t>
        </is>
      </c>
      <c r="F19" s="13" t="inlineStr">
        <is>
          <t>S. Pathmanathan (ed.)</t>
        </is>
      </c>
      <c r="G19" s="13" t="inlineStr">
        <is>
          <t>Department of Hindu Religious &amp; Cultural Affairs</t>
        </is>
      </c>
      <c r="H19" s="11" t="inlineStr">
        <is>
          <t>Book</t>
        </is>
      </c>
      <c r="I19" s="11" t="inlineStr">
        <is>
          <t>Tamil</t>
        </is>
      </c>
      <c r="J19" s="13" t="inlineStr">
        <is>
          <t>Archaeology / தொல்லியல்</t>
        </is>
      </c>
      <c r="K19" s="13" t="inlineStr">
        <is>
          <t>temple architecture; archaeology</t>
        </is>
      </c>
      <c r="L19" s="11" t="inlineStr">
        <is>
          <t>Yes</t>
        </is>
      </c>
      <c r="M19" s="13" t="n"/>
      <c r="N19" s="14" t="inlineStr">
        <is>
          <t>https://en.wikipedia.org/wiki/S._Pathmanathan</t>
        </is>
      </c>
    </row>
    <row r="20">
      <c r="A20" s="7" t="inlineStr">
        <is>
          <t>ALL-0019</t>
        </is>
      </c>
      <c r="B20" s="7" t="inlineStr">
        <is>
          <t>Books</t>
        </is>
      </c>
      <c r="C20" s="8" t="inlineStr">
        <is>
          <t>2000</t>
        </is>
      </c>
      <c r="D20" s="7" t="n"/>
      <c r="E20" s="9" t="inlineStr">
        <is>
          <t>History and Archaeology of Sri Lanka, Vol. I: Reflections on a Heritage</t>
        </is>
      </c>
      <c r="F20" s="9" t="inlineStr">
        <is>
          <t>R.A.L.H. Gunawardana, S. Pathmanathan, M. Rohanadheera (eds.)</t>
        </is>
      </c>
      <c r="G20" s="9" t="inlineStr">
        <is>
          <t>Central Cultural Fund, Colombo</t>
        </is>
      </c>
      <c r="H20" s="7" t="inlineStr">
        <is>
          <t>Edited volume</t>
        </is>
      </c>
      <c r="I20" s="7" t="inlineStr">
        <is>
          <t>English</t>
        </is>
      </c>
      <c r="J20" s="9" t="inlineStr">
        <is>
          <t>Archaeology / தொல்லியல்</t>
        </is>
      </c>
      <c r="K20" s="9" t="inlineStr">
        <is>
          <t>archaeology; history</t>
        </is>
      </c>
      <c r="L20" s="7" t="inlineStr">
        <is>
          <t>Yes</t>
        </is>
      </c>
      <c r="M20" s="9" t="n"/>
      <c r="N20" s="10" t="inlineStr">
        <is>
          <t>https://jfn.ac.lk/prof-s-pathmanathan/</t>
        </is>
      </c>
    </row>
    <row r="21">
      <c r="A21" s="11" t="inlineStr">
        <is>
          <t>ALL-0020</t>
        </is>
      </c>
      <c r="B21" s="11" t="inlineStr">
        <is>
          <t>Books</t>
        </is>
      </c>
      <c r="C21" s="12" t="inlineStr">
        <is>
          <t>2000</t>
        </is>
      </c>
      <c r="D21" s="11" t="n"/>
      <c r="E21" s="13" t="inlineStr">
        <is>
          <t>Temples of Siva in Sri Lanka</t>
        </is>
      </c>
      <c r="F21" s="13" t="inlineStr">
        <is>
          <t>S. Pathmanathan (chief ed.)</t>
        </is>
      </c>
      <c r="G21" s="13" t="inlineStr">
        <is>
          <t>Chinmaya Mission of Sri Lanka</t>
        </is>
      </c>
      <c r="H21" s="11" t="inlineStr">
        <is>
          <t>Edited volume</t>
        </is>
      </c>
      <c r="I21" s="11" t="inlineStr">
        <is>
          <t>English</t>
        </is>
      </c>
      <c r="J21" s="13" t="inlineStr">
        <is>
          <t>Inscriptions / கல்வெட்டு</t>
        </is>
      </c>
      <c r="K21" s="13" t="inlineStr">
        <is>
          <t>temples; inscriptions</t>
        </is>
      </c>
      <c r="L21" s="11" t="inlineStr">
        <is>
          <t>Yes</t>
        </is>
      </c>
      <c r="M21" s="13" t="inlineStr">
        <is>
          <t>Page gives 1999/2000</t>
        </is>
      </c>
      <c r="N21" s="14" t="inlineStr">
        <is>
          <t>https://jfn.ac.lk/prof-s-pathmanathan/</t>
        </is>
      </c>
    </row>
    <row r="22">
      <c r="A22" s="7" t="inlineStr">
        <is>
          <t>ALL-0021</t>
        </is>
      </c>
      <c r="B22" s="7" t="inlineStr">
        <is>
          <t>Books</t>
        </is>
      </c>
      <c r="C22" s="8" t="inlineStr">
        <is>
          <t>1999</t>
        </is>
      </c>
      <c r="D22" s="7" t="n"/>
      <c r="E22" s="9" t="inlineStr">
        <is>
          <t>Ancient Sri Lankan coins / trade at Tissamaharama (Bopearachchi &amp; Wickremesinhe)</t>
        </is>
      </c>
      <c r="F22" s="9" t="inlineStr">
        <is>
          <t>O. Bopearachchi, R. Wickremesinhe</t>
        </is>
      </c>
      <c r="G22" s="9" t="inlineStr">
        <is>
          <t>(Ruhuna: an ancient civilisation revisited)</t>
        </is>
      </c>
      <c r="H22" s="7" t="inlineStr">
        <is>
          <t>Book</t>
        </is>
      </c>
      <c r="I22" s="7" t="inlineStr">
        <is>
          <t>English</t>
        </is>
      </c>
      <c r="J22" s="9" t="inlineStr">
        <is>
          <t>Coins / நாணயம்</t>
        </is>
      </c>
      <c r="K22" s="9" t="inlineStr">
        <is>
          <t>coins; Tissamaharama; trade</t>
        </is>
      </c>
      <c r="L22" s="7" t="inlineStr">
        <is>
          <t>Yes</t>
        </is>
      </c>
      <c r="M22" s="9" t="inlineStr">
        <is>
          <t>Title to verify; reviewed Apr 2000</t>
        </is>
      </c>
      <c r="N22" s="10" t="inlineStr">
        <is>
          <t>https://www.sundaytimes.lk/000423/plus3.html</t>
        </is>
      </c>
    </row>
    <row r="23">
      <c r="A23" s="11" t="inlineStr">
        <is>
          <t>ALL-0022</t>
        </is>
      </c>
      <c r="B23" s="11" t="inlineStr">
        <is>
          <t>Books</t>
        </is>
      </c>
      <c r="C23" s="12" t="inlineStr">
        <is>
          <t>1999</t>
        </is>
      </c>
      <c r="D23" s="11" t="n"/>
      <c r="E23" s="13" t="inlineStr">
        <is>
          <t>Studies in Sri Lankan Tamil Linguistics and Culture</t>
        </is>
      </c>
      <c r="F23" s="13" t="inlineStr">
        <is>
          <t>K. Balasubramaniyam, K. Ratnamalar, R. Subathini (eds.)</t>
        </is>
      </c>
      <c r="G23" s="13" t="inlineStr">
        <is>
          <t>Sri Lanka Offset Service, Chennai</t>
        </is>
      </c>
      <c r="H23" s="11" t="inlineStr">
        <is>
          <t>Book</t>
        </is>
      </c>
      <c r="I23" s="11" t="inlineStr">
        <is>
          <t>English</t>
        </is>
      </c>
      <c r="J23" s="13" t="n"/>
      <c r="K23" s="13" t="inlineStr">
        <is>
          <t>culture; linguistics</t>
        </is>
      </c>
      <c r="L23" s="11" t="inlineStr">
        <is>
          <t>Yes</t>
        </is>
      </c>
      <c r="M23" s="13" t="inlineStr">
        <is>
          <t>454 pp.</t>
        </is>
      </c>
      <c r="N23" s="14" t="inlineStr">
        <is>
          <t>https://unioncatalogue.dlp.gov.lk/Record/poin.4050/Description</t>
        </is>
      </c>
    </row>
    <row r="24">
      <c r="A24" s="7" t="inlineStr">
        <is>
          <t>ALL-0023</t>
        </is>
      </c>
      <c r="B24" s="7" t="inlineStr">
        <is>
          <t>Books</t>
        </is>
      </c>
      <c r="C24" s="8" t="inlineStr">
        <is>
          <t>1994</t>
        </is>
      </c>
      <c r="D24" s="7" t="n"/>
      <c r="E24" s="9" t="inlineStr">
        <is>
          <t>Epigraphia Zeylanica Vol. 3 (reprint)</t>
        </is>
      </c>
      <c r="F24" s="9" t="inlineStr">
        <is>
          <t>H. W. Codrington, S. Paranavitana</t>
        </is>
      </c>
      <c r="G24" s="9" t="inlineStr">
        <is>
          <t>Asian Educational Services</t>
        </is>
      </c>
      <c r="H24" s="7" t="inlineStr">
        <is>
          <t>Book</t>
        </is>
      </c>
      <c r="I24" s="7" t="inlineStr">
        <is>
          <t>English</t>
        </is>
      </c>
      <c r="J24" s="9" t="inlineStr">
        <is>
          <t>Inscriptions / கல்வெட்டு</t>
        </is>
      </c>
      <c r="K24" s="9" t="inlineStr">
        <is>
          <t>inscriptions; epigraphy</t>
        </is>
      </c>
      <c r="L24" s="7" t="inlineStr">
        <is>
          <t>No (earlier reference)</t>
        </is>
      </c>
      <c r="M24" s="9" t="inlineStr">
        <is>
          <t>Noolaham No. 4227; reprint (outside 30-year window, kept as reference)</t>
        </is>
      </c>
      <c r="N24" s="10" t="inlineStr">
        <is>
          <t>https://noolaham.org/wiki/index.php/Epigraphia_Zeylanica_3</t>
        </is>
      </c>
    </row>
    <row r="25">
      <c r="A25" s="11" t="inlineStr">
        <is>
          <t>ALL-0024</t>
        </is>
      </c>
      <c r="B25" s="11" t="inlineStr">
        <is>
          <t>Books</t>
        </is>
      </c>
      <c r="C25" s="12" t="inlineStr">
        <is>
          <t>1993</t>
        </is>
      </c>
      <c r="D25" s="11" t="n"/>
      <c r="E25" s="13" t="inlineStr">
        <is>
          <t>கோணேசர் கல்வெட்டு (Koneswara Inscription)</t>
        </is>
      </c>
      <c r="F25" s="13" t="inlineStr">
        <is>
          <t>I. Vadivel</t>
        </is>
      </c>
      <c r="G25" s="13" t="inlineStr">
        <is>
          <t>Department of Hindu Religious and Cultural Affairs</t>
        </is>
      </c>
      <c r="H25" s="11" t="inlineStr">
        <is>
          <t>Book</t>
        </is>
      </c>
      <c r="I25" s="11" t="inlineStr">
        <is>
          <t>Tamil</t>
        </is>
      </c>
      <c r="J25" s="13" t="inlineStr">
        <is>
          <t>Inscriptions / கல்வெட்டு</t>
        </is>
      </c>
      <c r="K25" s="13" t="inlineStr">
        <is>
          <t>கல்வெட்டு; Koneswaram; Trincomalee</t>
        </is>
      </c>
      <c r="L25" s="11" t="inlineStr">
        <is>
          <t>No (earlier reference)</t>
        </is>
      </c>
      <c r="M25" s="13" t="inlineStr">
        <is>
          <t>Noolaham No. 4824; 136 pp.</t>
        </is>
      </c>
      <c r="N25" s="14" t="inlineStr">
        <is>
          <t>https://noolaham.org/wiki/index.php/%E0%AE%95%E0%AF%8B%E0%AE%A3%E0%AF%87%E0%AE%9A%E0%AE%B0%E0%AF%8D_%E0%AE%95%E0%AE%B2%E0%AF%8D%E0%AE%B5%E0%AF%86%E0%AE%9F%E0%AF%8D%E0%AE%9F%E0%AF%81</t>
        </is>
      </c>
    </row>
    <row r="26">
      <c r="A26" s="7" t="inlineStr">
        <is>
          <t>ALL-0025</t>
        </is>
      </c>
      <c r="B26" s="7" t="inlineStr">
        <is>
          <t>Books</t>
        </is>
      </c>
      <c r="C26" s="8" t="inlineStr">
        <is>
          <t>1993</t>
        </is>
      </c>
      <c r="D26" s="7" t="n"/>
      <c r="E26" s="9" t="inlineStr">
        <is>
          <t>பூநகரி தொல்பொருளாய்வு (Poonakary Archaeological Survey)</t>
        </is>
      </c>
      <c r="F26" s="9" t="inlineStr">
        <is>
          <t>P. Pushparatnam</t>
        </is>
      </c>
      <c r="G26" s="9" t="inlineStr">
        <is>
          <t>University of Jaffna</t>
        </is>
      </c>
      <c r="H26" s="7" t="inlineStr">
        <is>
          <t>Book</t>
        </is>
      </c>
      <c r="I26" s="7" t="inlineStr">
        <is>
          <t>Tamil</t>
        </is>
      </c>
      <c r="J26" s="9" t="inlineStr">
        <is>
          <t>Brahmi / பிராமி; Archaeology / தொல்லியல்</t>
        </is>
      </c>
      <c r="K26" s="9" t="inlineStr">
        <is>
          <t>தொல்லியல்; Poonakari; Tamil Brahmi; potsherds</t>
        </is>
      </c>
      <c r="L26" s="7" t="inlineStr">
        <is>
          <t>No (earlier reference)</t>
        </is>
      </c>
      <c r="M26" s="9" t="inlineStr">
        <is>
          <t>Noolaham No. 67260; 238 pp.</t>
        </is>
      </c>
      <c r="N26" s="10" t="inlineStr">
        <is>
          <t>https://noolaham.org/wiki/index.php/%E0%AE%AA%E0%AF%82%E0%AE%A8%E0%AE%95%E0%AE%B0%E0%AE%BF_%E0%AE%A4%E0%AF%8A%E0%AE%B2%E0%AF%8D%E0%AE%AA%E0%AF%8A%E0%AE%B0%E0%AF%81%E0%AE%B3%E0%AE%BE%E0%AE%AF%E0%AF%8D%E0%AE%B5%E0%AF%81</t>
        </is>
      </c>
    </row>
    <row r="27">
      <c r="A27" s="11" t="inlineStr">
        <is>
          <t>ALL-0026</t>
        </is>
      </c>
      <c r="B27" s="11" t="inlineStr">
        <is>
          <t>Books</t>
        </is>
      </c>
      <c r="C27" s="12" t="inlineStr">
        <is>
          <t>1987</t>
        </is>
      </c>
      <c r="D27" s="11" t="n"/>
      <c r="E27" s="13" t="inlineStr">
        <is>
          <t>Early Settlements in Jaffna: An Archaeological Survey</t>
        </is>
      </c>
      <c r="F27" s="13" t="inlineStr">
        <is>
          <t>P. Ragupathy</t>
        </is>
      </c>
      <c r="G27" s="13" t="inlineStr">
        <is>
          <t>Thillimalar Ragupathy, Madras</t>
        </is>
      </c>
      <c r="H27" s="11" t="inlineStr">
        <is>
          <t>Book</t>
        </is>
      </c>
      <c r="I27" s="11" t="inlineStr">
        <is>
          <t>English</t>
        </is>
      </c>
      <c r="J27" s="13" t="inlineStr">
        <is>
          <t>Archaeology / தொல்லியல்</t>
        </is>
      </c>
      <c r="K27" s="13" t="inlineStr">
        <is>
          <t>தொல்லியல்; Jaffna; settlements</t>
        </is>
      </c>
      <c r="L27" s="11" t="inlineStr">
        <is>
          <t>No (earlier reference)</t>
        </is>
      </c>
      <c r="M27" s="13" t="inlineStr">
        <is>
          <t>Pre-1996 reference</t>
        </is>
      </c>
      <c r="N27" s="14" t="inlineStr">
        <is>
          <t>https://noolaham.net/project/18/1733/1733.html</t>
        </is>
      </c>
    </row>
    <row r="28">
      <c r="A28" s="7" t="inlineStr">
        <is>
          <t>ALL-0027</t>
        </is>
      </c>
      <c r="B28" s="7" t="inlineStr">
        <is>
          <t>Books</t>
        </is>
      </c>
      <c r="C28" s="8" t="inlineStr">
        <is>
          <t>1971</t>
        </is>
      </c>
      <c r="D28" s="7" t="n"/>
      <c r="E28" s="9" t="inlineStr">
        <is>
          <t>Ceylon Tamil Inscriptions, Parts I-II (1971-1972)</t>
        </is>
      </c>
      <c r="F28" s="9" t="inlineStr">
        <is>
          <t>A. Veluppillai</t>
        </is>
      </c>
      <c r="G28" s="9" t="inlineStr">
        <is>
          <t>Author, Peradeniya</t>
        </is>
      </c>
      <c r="H28" s="7" t="inlineStr">
        <is>
          <t>Book</t>
        </is>
      </c>
      <c r="I28" s="7" t="inlineStr">
        <is>
          <t>English</t>
        </is>
      </c>
      <c r="J28" s="9" t="inlineStr">
        <is>
          <t>Inscriptions / கல்வெட்டு</t>
        </is>
      </c>
      <c r="K28" s="9" t="inlineStr">
        <is>
          <t>கல்வெட்டு; corpus</t>
        </is>
      </c>
      <c r="L28" s="7" t="inlineStr">
        <is>
          <t>No (earlier reference)</t>
        </is>
      </c>
      <c r="M28" s="9" t="inlineStr">
        <is>
          <t>Pre-1996 reference</t>
        </is>
      </c>
      <c r="N28" s="10" t="inlineStr">
        <is>
          <t>https://find.library.upenn.edu/catalog/997779313503681</t>
        </is>
      </c>
    </row>
    <row r="29">
      <c r="A29" s="11" t="inlineStr">
        <is>
          <t>ALL-0028</t>
        </is>
      </c>
      <c r="B29" s="11" t="inlineStr">
        <is>
          <t>Books</t>
        </is>
      </c>
      <c r="C29" s="12" t="inlineStr">
        <is>
          <t>1971</t>
        </is>
      </c>
      <c r="D29" s="11" t="n"/>
      <c r="E29" s="13" t="inlineStr">
        <is>
          <t>Epigraphia Tamilica, Vol. I, Part I</t>
        </is>
      </c>
      <c r="F29" s="13" t="inlineStr">
        <is>
          <t>K. Indrapala (ed.)</t>
        </is>
      </c>
      <c r="G29" s="13" t="inlineStr">
        <is>
          <t>Jaffna Archaeological Society</t>
        </is>
      </c>
      <c r="H29" s="11" t="inlineStr">
        <is>
          <t>Book</t>
        </is>
      </c>
      <c r="I29" s="11" t="inlineStr">
        <is>
          <t>English</t>
        </is>
      </c>
      <c r="J29" s="13" t="inlineStr">
        <is>
          <t>Inscriptions / கல்வெட்டு</t>
        </is>
      </c>
      <c r="K29" s="13" t="inlineStr">
        <is>
          <t>கல்வெட்டு; corpus</t>
        </is>
      </c>
      <c r="L29" s="11" t="inlineStr">
        <is>
          <t>No (earlier reference)</t>
        </is>
      </c>
      <c r="M29" s="13" t="inlineStr">
        <is>
          <t>Pre-1996 reference</t>
        </is>
      </c>
      <c r="N29" s="14" t="inlineStr">
        <is>
          <t>https://www.lankapradeepa.com/2020/04/tamil-inscriptions-in-sri-lanka_16.html</t>
        </is>
      </c>
    </row>
    <row r="30">
      <c r="A30" s="7" t="inlineStr">
        <is>
          <t>ALL-0029</t>
        </is>
      </c>
      <c r="B30" s="7" t="inlineStr">
        <is>
          <t>Books</t>
        </is>
      </c>
      <c r="C30" s="8" t="n"/>
      <c r="D30" s="7" t="n"/>
      <c r="E30" s="9" t="inlineStr">
        <is>
          <t>Culture and Heritage of the Tamils</t>
        </is>
      </c>
      <c r="F30" s="9" t="n"/>
      <c r="G30" s="9" t="inlineStr">
        <is>
          <t>Noolaham digital library</t>
        </is>
      </c>
      <c r="H30" s="7" t="inlineStr">
        <is>
          <t>Book</t>
        </is>
      </c>
      <c r="I30" s="7" t="inlineStr">
        <is>
          <t>English</t>
        </is>
      </c>
      <c r="J30" s="9" t="inlineStr">
        <is>
          <t>Archaeology / தொல்லியல்</t>
        </is>
      </c>
      <c r="K30" s="9" t="inlineStr">
        <is>
          <t>heritage</t>
        </is>
      </c>
      <c r="L30" s="7" t="inlineStr">
        <is>
          <t>Unknown</t>
        </is>
      </c>
      <c r="M30" s="9" t="inlineStr">
        <is>
          <t>Details to verify</t>
        </is>
      </c>
      <c r="N30" s="10" t="inlineStr">
        <is>
          <t>https://noolaham.net/project/977/97628/97628.pdf</t>
        </is>
      </c>
    </row>
    <row r="31">
      <c r="A31" s="11" t="inlineStr">
        <is>
          <t>ALL-0030</t>
        </is>
      </c>
      <c r="B31" s="11" t="inlineStr">
        <is>
          <t>Books</t>
        </is>
      </c>
      <c r="C31" s="12" t="n"/>
      <c r="D31" s="11" t="n"/>
      <c r="E31" s="13" t="inlineStr">
        <is>
          <t>Nallur Rajadhani: City Layout</t>
        </is>
      </c>
      <c r="F31" s="13" t="inlineStr">
        <is>
          <t>V. N. Giritharan</t>
        </is>
      </c>
      <c r="G31" s="13" t="inlineStr">
        <is>
          <t>Noolaham digital library</t>
        </is>
      </c>
      <c r="H31" s="11" t="inlineStr">
        <is>
          <t>Book</t>
        </is>
      </c>
      <c r="I31" s="11" t="inlineStr">
        <is>
          <t>English</t>
        </is>
      </c>
      <c r="J31" s="13" t="inlineStr">
        <is>
          <t>Archaeology / தொல்லியல்</t>
        </is>
      </c>
      <c r="K31" s="13" t="inlineStr">
        <is>
          <t>Nallur; Jaffna kingdom; archaeology</t>
        </is>
      </c>
      <c r="L31" s="11" t="inlineStr">
        <is>
          <t>Unknown</t>
        </is>
      </c>
      <c r="M31" s="13" t="inlineStr">
        <is>
          <t>Year to verify</t>
        </is>
      </c>
      <c r="N31" s="14" t="inlineStr">
        <is>
          <t>https://noolaham.net/project/1316/131542/131542.pdf</t>
        </is>
      </c>
    </row>
    <row r="32">
      <c r="A32" s="7" t="inlineStr">
        <is>
          <t>ALL-0031</t>
        </is>
      </c>
      <c r="B32" s="7" t="inlineStr">
        <is>
          <t>Books</t>
        </is>
      </c>
      <c r="C32" s="8" t="n"/>
      <c r="D32" s="7" t="n"/>
      <c r="E32" s="9" t="inlineStr">
        <is>
          <t>Sri Lanka at the Crossroads of History</t>
        </is>
      </c>
      <c r="F32" s="9" t="n"/>
      <c r="G32" s="9" t="inlineStr">
        <is>
          <t>Noolaham digital library</t>
        </is>
      </c>
      <c r="H32" s="7" t="inlineStr">
        <is>
          <t>Book</t>
        </is>
      </c>
      <c r="I32" s="7" t="inlineStr">
        <is>
          <t>English</t>
        </is>
      </c>
      <c r="J32" s="9" t="inlineStr">
        <is>
          <t>Archaeology / தொல்லியல்</t>
        </is>
      </c>
      <c r="K32" s="9" t="inlineStr">
        <is>
          <t>history; archaeology</t>
        </is>
      </c>
      <c r="L32" s="7" t="inlineStr">
        <is>
          <t>Unknown</t>
        </is>
      </c>
      <c r="M32" s="9" t="inlineStr">
        <is>
          <t>Details to verify</t>
        </is>
      </c>
      <c r="N32" s="10" t="inlineStr">
        <is>
          <t>https://noolaham.net/project/810/80954/80954.pdf</t>
        </is>
      </c>
    </row>
    <row r="33">
      <c r="A33" s="11" t="inlineStr">
        <is>
          <t>ALL-0032</t>
        </is>
      </c>
      <c r="B33" s="11" t="inlineStr">
        <is>
          <t>Books</t>
        </is>
      </c>
      <c r="C33" s="12" t="n"/>
      <c r="D33" s="11" t="n"/>
      <c r="E33" s="13" t="inlineStr">
        <is>
          <t>The Untold Story of Ancient Tamils in Sri Lanka</t>
        </is>
      </c>
      <c r="F33" s="13" t="n"/>
      <c r="G33" s="13" t="inlineStr">
        <is>
          <t>University of Vavuniya library catalogue</t>
        </is>
      </c>
      <c r="H33" s="11" t="inlineStr">
        <is>
          <t>Book</t>
        </is>
      </c>
      <c r="I33" s="11" t="inlineStr">
        <is>
          <t>English</t>
        </is>
      </c>
      <c r="J33" s="13" t="inlineStr">
        <is>
          <t>Archaeology / தொல்லியல்</t>
        </is>
      </c>
      <c r="K33" s="13" t="inlineStr">
        <is>
          <t>ancient Tamils; archaeology</t>
        </is>
      </c>
      <c r="L33" s="11" t="inlineStr">
        <is>
          <t>Unknown</t>
        </is>
      </c>
      <c r="M33" s="13" t="inlineStr">
        <is>
          <t>Author/year to verify (K. Arunthavarajah?)</t>
        </is>
      </c>
      <c r="N33" s="14" t="inlineStr">
        <is>
          <t>http://lib.vau.jfn.ac.lk/cgi-bin/koha/opac-detail.pl?biblionumber=44042&amp;shelfbrowse_itemnumber=55269</t>
        </is>
      </c>
    </row>
    <row r="34">
      <c r="A34" s="7" t="inlineStr">
        <is>
          <t>ALL-0033</t>
        </is>
      </c>
      <c r="B34" s="7" t="inlineStr">
        <is>
          <t>Research Papers</t>
        </is>
      </c>
      <c r="C34" s="8" t="inlineStr">
        <is>
          <t>2026</t>
        </is>
      </c>
      <c r="D34" s="7" t="n"/>
      <c r="E34" s="9" t="inlineStr">
        <is>
          <t>Hindu Idols Revealing the Cultural Connections between Northern Sri Lanka and South India</t>
        </is>
      </c>
      <c r="F34" s="9" t="inlineStr">
        <is>
          <t>S. Aniththa, Ushanthy Arunpirasanth</t>
        </is>
      </c>
      <c r="G34" s="9" t="inlineStr">
        <is>
          <t>First International Conference in Saiva Siddhanta, University of Jaffna</t>
        </is>
      </c>
      <c r="H34" s="7" t="inlineStr">
        <is>
          <t>Conference paper</t>
        </is>
      </c>
      <c r="I34" s="7" t="inlineStr">
        <is>
          <t>English</t>
        </is>
      </c>
      <c r="J34" s="9" t="inlineStr">
        <is>
          <t>Archaeology / தொல்லியல்</t>
        </is>
      </c>
      <c r="K34" s="9" t="inlineStr">
        <is>
          <t>sculpture; archaeology</t>
        </is>
      </c>
      <c r="L34" s="7" t="inlineStr">
        <is>
          <t>Yes</t>
        </is>
      </c>
      <c r="M34" s="9" t="n"/>
      <c r="N34" s="10" t="inlineStr">
        <is>
          <t>https://www.his.jfn.ac.lk/index.php/__trashed/</t>
        </is>
      </c>
    </row>
    <row r="35">
      <c r="A35" s="11" t="inlineStr">
        <is>
          <t>ALL-0034</t>
        </is>
      </c>
      <c r="B35" s="11" t="inlineStr">
        <is>
          <t>Research Papers</t>
        </is>
      </c>
      <c r="C35" s="12" t="inlineStr">
        <is>
          <t>2026</t>
        </is>
      </c>
      <c r="D35" s="11" t="inlineStr">
        <is>
          <t>2026-04-14</t>
        </is>
      </c>
      <c r="E35" s="13" t="inlineStr">
        <is>
          <t>Myanmar’s Prehistoric Rock Art: a Comparative Study with Assam and Sri Lanka</t>
        </is>
      </c>
      <c r="F35" s="13" t="inlineStr">
        <is>
          <t>Win Pa Pa Lwin, Pyiet Phyo Kyaw</t>
        </is>
      </c>
      <c r="G35" s="13" t="inlineStr">
        <is>
          <t>The South East Asian Review</t>
        </is>
      </c>
      <c r="H35" s="11" t="inlineStr">
        <is>
          <t>Journal article</t>
        </is>
      </c>
      <c r="I35" s="11" t="inlineStr">
        <is>
          <t>English</t>
        </is>
      </c>
      <c r="J35" s="13" t="inlineStr">
        <is>
          <t>Rock art / பாறை ஓவியம்</t>
        </is>
      </c>
      <c r="K35" s="13" t="inlineStr">
        <is>
          <t>rock art</t>
        </is>
      </c>
      <c r="L35" s="11" t="inlineStr">
        <is>
          <t>Yes</t>
        </is>
      </c>
      <c r="M35" s="13" t="inlineStr">
        <is>
          <t>Crossref query: rock art Sri Lanka. Auto-collected 2026-10-14 (crossref); review.</t>
        </is>
      </c>
      <c r="N35" s="14" t="inlineStr">
        <is>
          <t>https://doi.org/10.32381/sear.2025.50.9</t>
        </is>
      </c>
    </row>
    <row r="36">
      <c r="A36" s="7" t="inlineStr">
        <is>
          <t>ALL-0035</t>
        </is>
      </c>
      <c r="B36" s="7" t="inlineStr">
        <is>
          <t>Research Papers</t>
        </is>
      </c>
      <c r="C36" s="8" t="inlineStr">
        <is>
          <t>2026</t>
        </is>
      </c>
      <c r="D36" s="7" t="inlineStr">
        <is>
          <t>2026-07-07</t>
        </is>
      </c>
      <c r="E36" s="9" t="inlineStr">
        <is>
          <t>Localizing Heritage: Archaeologies of the Recent Past in Postwar Jaffna, Sri Lanka</t>
        </is>
      </c>
      <c r="F36" s="9" t="inlineStr">
        <is>
          <t>Gill Juleff, Thamotharampillai Sanathanan, Ruth Young, John P. Cooper, Emma Dwyer, Adrián Oyaneder</t>
        </is>
      </c>
      <c r="G36" s="9" t="inlineStr">
        <is>
          <t>Historical Archaeology</t>
        </is>
      </c>
      <c r="H36" s="7" t="inlineStr">
        <is>
          <t>Journal article</t>
        </is>
      </c>
      <c r="I36" s="7" t="inlineStr">
        <is>
          <t>English</t>
        </is>
      </c>
      <c r="J36" s="9" t="inlineStr">
        <is>
          <t>Archaeology / தொல்லியல்</t>
        </is>
      </c>
      <c r="K36" s="9" t="n"/>
      <c r="L36" s="7" t="inlineStr">
        <is>
          <t>Yes</t>
        </is>
      </c>
      <c r="M36" s="9" t="inlineStr">
        <is>
          <t>Crossref query: Jaffna archaeology. Auto-collected 2026-10-14 (crossref); review.</t>
        </is>
      </c>
      <c r="N36" s="10" t="inlineStr">
        <is>
          <t>https://doi.org/10.1007/s41636-026-00636-0</t>
        </is>
      </c>
    </row>
    <row r="37">
      <c r="A37" s="11" t="inlineStr">
        <is>
          <t>ALL-0036</t>
        </is>
      </c>
      <c r="B37" s="11" t="inlineStr">
        <is>
          <t>Research Papers</t>
        </is>
      </c>
      <c r="C37" s="12" t="inlineStr">
        <is>
          <t>2025</t>
        </is>
      </c>
      <c r="D37" s="11" t="n"/>
      <c r="E37" s="13" t="inlineStr">
        <is>
          <t>Investigation of Ancient Pre-colonial Monuments in Jaffna, Sri Lanka</t>
        </is>
      </c>
      <c r="F37" s="13" t="n"/>
      <c r="G37" s="13" t="inlineStr">
        <is>
          <t>NIIBS Faculty of Humanities &amp; Social Sciences</t>
        </is>
      </c>
      <c r="H37" s="11" t="inlineStr">
        <is>
          <t>Journal article</t>
        </is>
      </c>
      <c r="I37" s="11" t="inlineStr">
        <is>
          <t>English</t>
        </is>
      </c>
      <c r="J37" s="13" t="inlineStr">
        <is>
          <t>Archaeology / தொல்லியல்</t>
        </is>
      </c>
      <c r="K37" s="13" t="inlineStr">
        <is>
          <t>monuments; Jaffna</t>
        </is>
      </c>
      <c r="L37" s="11" t="inlineStr">
        <is>
          <t>Yes</t>
        </is>
      </c>
      <c r="M37" s="13" t="inlineStr">
        <is>
          <t>Upload Feb 2025</t>
        </is>
      </c>
      <c r="N37" s="14" t="inlineStr">
        <is>
          <t>https://fhss.niibs.lk/wp-content/uploads/2025/02/Investigation-of-Ancient-Pre-colonial-Monuments-in-Jaffna-Sri-Lanka.pdf</t>
        </is>
      </c>
    </row>
    <row r="38">
      <c r="A38" s="7" t="inlineStr">
        <is>
          <t>ALL-0037</t>
        </is>
      </c>
      <c r="B38" s="7" t="inlineStr">
        <is>
          <t>Research Papers</t>
        </is>
      </c>
      <c r="C38" s="8" t="inlineStr">
        <is>
          <t>2025</t>
        </is>
      </c>
      <c r="D38" s="7" t="n"/>
      <c r="E38" s="9" t="inlineStr">
        <is>
          <t>The Chola Rule that Shed Light on the History of Sri Lankan Tamils: A Historical Perspective</t>
        </is>
      </c>
      <c r="F38" s="9" t="inlineStr">
        <is>
          <t>S. Aniththa</t>
        </is>
      </c>
      <c r="G38" s="9" t="inlineStr">
        <is>
          <t>International Archaeological Conference 2025, International Tamizhkkalvi Research Institute, Tamil Nadu</t>
        </is>
      </c>
      <c r="H38" s="7" t="inlineStr">
        <is>
          <t>Conference paper</t>
        </is>
      </c>
      <c r="I38" s="7" t="inlineStr">
        <is>
          <t>Tamil</t>
        </is>
      </c>
      <c r="J38" s="9" t="inlineStr">
        <is>
          <t>Inscriptions / கல்வெட்டு</t>
        </is>
      </c>
      <c r="K38" s="9" t="inlineStr">
        <is>
          <t>Chola; inscriptions</t>
        </is>
      </c>
      <c r="L38" s="7" t="inlineStr">
        <is>
          <t>Yes</t>
        </is>
      </c>
      <c r="M38" s="9" t="n"/>
      <c r="N38" s="10" t="inlineStr">
        <is>
          <t>https://www.his.jfn.ac.lk/index.php/__trashed/</t>
        </is>
      </c>
    </row>
    <row r="39">
      <c r="A39" s="11" t="inlineStr">
        <is>
          <t>ALL-0038</t>
        </is>
      </c>
      <c r="B39" s="11" t="inlineStr">
        <is>
          <t>Research Papers</t>
        </is>
      </c>
      <c r="C39" s="12" t="inlineStr">
        <is>
          <t>2025</t>
        </is>
      </c>
      <c r="D39" s="11" t="inlineStr">
        <is>
          <t>2025-03-08</t>
        </is>
      </c>
      <c r="E39" s="13" t="inlineStr">
        <is>
          <t>Palimpsests: Material Religion and Political Archaeology at Kurunthaloor Vihara, Sri Lanka</t>
        </is>
      </c>
      <c r="F39" s="13" t="inlineStr">
        <is>
          <t>A. Suganthan</t>
        </is>
      </c>
      <c r="G39" s="13" t="inlineStr">
        <is>
          <t>AAR Southeast Regional Conference (AARSE 2025), Florida</t>
        </is>
      </c>
      <c r="H39" s="11" t="inlineStr">
        <is>
          <t>Conference paper</t>
        </is>
      </c>
      <c r="I39" s="11" t="inlineStr">
        <is>
          <t>English</t>
        </is>
      </c>
      <c r="J39" s="13" t="inlineStr">
        <is>
          <t>Archaeology / தொல்லியல்</t>
        </is>
      </c>
      <c r="K39" s="13" t="inlineStr">
        <is>
          <t>Kurunthurmalai; political archaeology</t>
        </is>
      </c>
      <c r="L39" s="11" t="inlineStr">
        <is>
          <t>Yes</t>
        </is>
      </c>
      <c r="M39" s="13" t="n"/>
      <c r="N39" s="14" t="inlineStr">
        <is>
          <t>https://www.his.jfn.ac.lk/index.php/mrs-ajiththa-suganthan/</t>
        </is>
      </c>
    </row>
    <row r="40">
      <c r="A40" s="7" t="inlineStr">
        <is>
          <t>ALL-0039</t>
        </is>
      </c>
      <c r="B40" s="7" t="inlineStr">
        <is>
          <t>Research Papers</t>
        </is>
      </c>
      <c r="C40" s="8" t="inlineStr">
        <is>
          <t>2025</t>
        </is>
      </c>
      <c r="D40" s="7" t="inlineStr">
        <is>
          <t>2025-07-15</t>
        </is>
      </c>
      <c r="E40" s="9" t="inlineStr">
        <is>
          <t>(Zenodo record on hero stones)</t>
        </is>
      </c>
      <c r="F40" s="9" t="n"/>
      <c r="G40" s="9" t="inlineStr">
        <is>
          <t>Zenodo</t>
        </is>
      </c>
      <c r="H40" s="7" t="inlineStr">
        <is>
          <t>Dataset/Article</t>
        </is>
      </c>
      <c r="I40" s="7" t="inlineStr">
        <is>
          <t>English</t>
        </is>
      </c>
      <c r="J40" s="9" t="inlineStr">
        <is>
          <t>Hero stones / நடுகல்</t>
        </is>
      </c>
      <c r="K40" s="9" t="inlineStr">
        <is>
          <t>hero stone</t>
        </is>
      </c>
      <c r="L40" s="7" t="inlineStr">
        <is>
          <t>Yes</t>
        </is>
      </c>
      <c r="M40" s="9" t="inlineStr">
        <is>
          <t>Title to verify</t>
        </is>
      </c>
      <c r="N40" s="10" t="inlineStr">
        <is>
          <t>https://zenodo.org/records/16599990</t>
        </is>
      </c>
    </row>
    <row r="41">
      <c r="A41" s="11" t="inlineStr">
        <is>
          <t>ALL-0040</t>
        </is>
      </c>
      <c r="B41" s="11" t="inlineStr">
        <is>
          <t>Research Papers</t>
        </is>
      </c>
      <c r="C41" s="12" t="inlineStr">
        <is>
          <t>2025</t>
        </is>
      </c>
      <c r="D41" s="11" t="inlineStr">
        <is>
          <t>2025-10-31</t>
        </is>
      </c>
      <c r="E41" s="13" t="inlineStr">
        <is>
          <t>A STUDY OF NON-BRAHMI SYMBOLS CREATED FROM THE EARLY BRAHMI SCRIPT</t>
        </is>
      </c>
      <c r="F41" s="13" t="inlineStr">
        <is>
          <t>N. Bandara</t>
        </is>
      </c>
      <c r="G41" s="13" t="inlineStr">
        <is>
          <t>Third Desk Research Conference</t>
        </is>
      </c>
      <c r="H41" s="11" t="inlineStr">
        <is>
          <t>Proceedings article</t>
        </is>
      </c>
      <c r="I41" s="11" t="inlineStr">
        <is>
          <t>English</t>
        </is>
      </c>
      <c r="J41" s="13" t="inlineStr">
        <is>
          <t>Brahmi / பிராமி</t>
        </is>
      </c>
      <c r="K41" s="13" t="inlineStr">
        <is>
          <t>brahmi</t>
        </is>
      </c>
      <c r="L41" s="11" t="inlineStr">
        <is>
          <t>Yes</t>
        </is>
      </c>
      <c r="M41" s="13" t="inlineStr">
        <is>
          <t>Crossref query: Tissamaharama Brahmi. Auto-collected 2026-10-14 (crossref); review.</t>
        </is>
      </c>
      <c r="N41" s="14" t="inlineStr">
        <is>
          <t>https://doi.org/10.64920/drc2025027</t>
        </is>
      </c>
    </row>
    <row r="42">
      <c r="A42" s="7" t="inlineStr">
        <is>
          <t>ALL-0041</t>
        </is>
      </c>
      <c r="B42" s="7" t="inlineStr">
        <is>
          <t>Research Papers</t>
        </is>
      </c>
      <c r="C42" s="8" t="inlineStr">
        <is>
          <t>2025</t>
        </is>
      </c>
      <c r="D42" s="7" t="inlineStr">
        <is>
          <t>2025-12-29</t>
        </is>
      </c>
      <c r="E42" s="9" t="inlineStr">
        <is>
          <t>Stone, Symbol, and Leisure: A Reassessment of Geometric Symbols on the Stone-Paved Terrace of Jetavana Stupa, Sri Lanka</t>
        </is>
      </c>
      <c r="F42" s="9" t="inlineStr">
        <is>
          <t>K.W. Chithramala Tharangani</t>
        </is>
      </c>
      <c r="G42" s="9" t="inlineStr">
        <is>
          <t>Ancient Lanka</t>
        </is>
      </c>
      <c r="H42" s="7" t="inlineStr">
        <is>
          <t>Journal article</t>
        </is>
      </c>
      <c r="I42" s="7" t="inlineStr">
        <is>
          <t>English</t>
        </is>
      </c>
      <c r="J42" s="9" t="n"/>
      <c r="K42" s="9" t="n"/>
      <c r="L42" s="7" t="inlineStr">
        <is>
          <t>Yes</t>
        </is>
      </c>
      <c r="M42" s="9" t="inlineStr">
        <is>
          <t>Crossref query: hero stone Sri Lanka. Auto-collected 2026-10-14 (crossref); review.</t>
        </is>
      </c>
      <c r="N42" s="10" t="inlineStr">
        <is>
          <t>https://doi.org/10.29173/anlk872</t>
        </is>
      </c>
    </row>
    <row r="43">
      <c r="A43" s="11" t="inlineStr">
        <is>
          <t>ALL-0042</t>
        </is>
      </c>
      <c r="B43" s="11" t="inlineStr">
        <is>
          <t>Research Papers</t>
        </is>
      </c>
      <c r="C43" s="12" t="inlineStr">
        <is>
          <t>2024</t>
        </is>
      </c>
      <c r="D43" s="11" t="n"/>
      <c r="E43" s="13" t="inlineStr">
        <is>
          <t>Serpent Deities (Nagas) in Ancient Sri Lanka: Evidence from the Kaddukarai Excavation</t>
        </is>
      </c>
      <c r="F43" s="13" t="inlineStr">
        <is>
          <t>A. Suganthan</t>
        </is>
      </c>
      <c r="G43" s="13" t="inlineStr">
        <is>
          <t>More-than-human Religion conference, Florida State University</t>
        </is>
      </c>
      <c r="H43" s="11" t="inlineStr">
        <is>
          <t>Conference paper</t>
        </is>
      </c>
      <c r="I43" s="11" t="inlineStr">
        <is>
          <t>English</t>
        </is>
      </c>
      <c r="J43" s="13" t="inlineStr">
        <is>
          <t>Archaeology / தொல்லியல்</t>
        </is>
      </c>
      <c r="K43" s="13" t="inlineStr">
        <is>
          <t>Naga; Kattukarai excavation</t>
        </is>
      </c>
      <c r="L43" s="11" t="inlineStr">
        <is>
          <t>Yes</t>
        </is>
      </c>
      <c r="M43" s="13" t="n"/>
      <c r="N43" s="14" t="inlineStr">
        <is>
          <t>https://www.his.jfn.ac.lk/index.php/mrs-ajiththa-suganthan/</t>
        </is>
      </c>
    </row>
    <row r="44">
      <c r="A44" s="7" t="inlineStr">
        <is>
          <t>ALL-0043</t>
        </is>
      </c>
      <c r="B44" s="7" t="inlineStr">
        <is>
          <t>Research Papers</t>
        </is>
      </c>
      <c r="C44" s="8" t="inlineStr">
        <is>
          <t>2024</t>
        </is>
      </c>
      <c r="D44" s="7" t="n"/>
      <c r="E44" s="9" t="inlineStr">
        <is>
          <t>The Role of Tamil Language in Sinhala Kingdoms during the Early and Medieval Period of Sri Lanka</t>
        </is>
      </c>
      <c r="F44" s="9" t="inlineStr">
        <is>
          <t>S. Aniththa</t>
        </is>
      </c>
      <c r="G44" s="9" t="inlineStr">
        <is>
          <t>12th International Symposium, South Eastern University of Sri Lanka</t>
        </is>
      </c>
      <c r="H44" s="7" t="inlineStr">
        <is>
          <t>Conference paper</t>
        </is>
      </c>
      <c r="I44" s="7" t="inlineStr">
        <is>
          <t>English</t>
        </is>
      </c>
      <c r="J44" s="9" t="inlineStr">
        <is>
          <t>Inscriptions / கல்வெட்டு</t>
        </is>
      </c>
      <c r="K44" s="9" t="inlineStr">
        <is>
          <t>Tamil inscriptions; language</t>
        </is>
      </c>
      <c r="L44" s="7" t="inlineStr">
        <is>
          <t>Yes</t>
        </is>
      </c>
      <c r="M44" s="9" t="n"/>
      <c r="N44" s="10" t="inlineStr">
        <is>
          <t>https://www.his.jfn.ac.lk/index.php/__trashed/</t>
        </is>
      </c>
    </row>
    <row r="45">
      <c r="A45" s="11" t="inlineStr">
        <is>
          <t>ALL-0044</t>
        </is>
      </c>
      <c r="B45" s="11" t="inlineStr">
        <is>
          <t>Research Papers</t>
        </is>
      </c>
      <c r="C45" s="12" t="inlineStr">
        <is>
          <t>2024</t>
        </is>
      </c>
      <c r="D45" s="11" t="inlineStr">
        <is>
          <t>2024-12-29</t>
        </is>
      </c>
      <c r="E45" s="13" t="inlineStr">
        <is>
          <t>Historical Demaḷa Mahā Sǣya of Polonnaruwa, Sri Lanka: An Archaeological Analysis of its Construction Technology</t>
        </is>
      </c>
      <c r="F45" s="13" t="inlineStr">
        <is>
          <t>Priyantha Marasinghe, Nimal Perera</t>
        </is>
      </c>
      <c r="G45" s="13" t="inlineStr">
        <is>
          <t>Ancient Lanka</t>
        </is>
      </c>
      <c r="H45" s="11" t="inlineStr">
        <is>
          <t>Journal article</t>
        </is>
      </c>
      <c r="I45" s="11" t="inlineStr">
        <is>
          <t>English</t>
        </is>
      </c>
      <c r="J45" s="13" t="inlineStr">
        <is>
          <t>Archaeology / தொல்லியல்</t>
        </is>
      </c>
      <c r="K45" s="13" t="inlineStr">
        <is>
          <t>archaeological</t>
        </is>
      </c>
      <c r="L45" s="11" t="inlineStr">
        <is>
          <t>Yes</t>
        </is>
      </c>
      <c r="M45" s="13" t="inlineStr">
        <is>
          <t>Crossref query: Polonnaruwa Tamil inscription. Auto-collected 2026-10-14 (crossref); review.</t>
        </is>
      </c>
      <c r="N45" s="14" t="inlineStr">
        <is>
          <t>https://doi.org/10.29173/anlk838</t>
        </is>
      </c>
    </row>
    <row r="46">
      <c r="A46" s="7" t="inlineStr">
        <is>
          <t>ALL-0045</t>
        </is>
      </c>
      <c r="B46" s="7" t="inlineStr">
        <is>
          <t>Research Papers</t>
        </is>
      </c>
      <c r="C46" s="8" t="inlineStr">
        <is>
          <t>2023</t>
        </is>
      </c>
      <c r="D46" s="7" t="n"/>
      <c r="E46" s="9" t="inlineStr">
        <is>
          <t>'Thana' given by Sri Lankan women as reflected through literature and inscription sources</t>
        </is>
      </c>
      <c r="F46" s="9" t="inlineStr">
        <is>
          <t>S. Aniththa</t>
        </is>
      </c>
      <c r="G46" s="9" t="inlineStr">
        <is>
          <t>National Conference on Historical Studies, University of Kelaniya</t>
        </is>
      </c>
      <c r="H46" s="7" t="inlineStr">
        <is>
          <t>Conference paper</t>
        </is>
      </c>
      <c r="I46" s="7" t="inlineStr">
        <is>
          <t>English</t>
        </is>
      </c>
      <c r="J46" s="9" t="inlineStr">
        <is>
          <t>Inscriptions / கல்வெட்டு</t>
        </is>
      </c>
      <c r="K46" s="9" t="inlineStr">
        <is>
          <t>inscriptions; donations</t>
        </is>
      </c>
      <c r="L46" s="7" t="inlineStr">
        <is>
          <t>Yes</t>
        </is>
      </c>
      <c r="M46" s="9" t="n"/>
      <c r="N46" s="10" t="inlineStr">
        <is>
          <t>https://www.his.jfn.ac.lk/index.php/__trashed/</t>
        </is>
      </c>
    </row>
    <row r="47">
      <c r="A47" s="11" t="inlineStr">
        <is>
          <t>ALL-0046</t>
        </is>
      </c>
      <c r="B47" s="11" t="inlineStr">
        <is>
          <t>Research Papers</t>
        </is>
      </c>
      <c r="C47" s="12" t="inlineStr">
        <is>
          <t>2023</t>
        </is>
      </c>
      <c r="D47" s="11" t="n"/>
      <c r="E47" s="13" t="inlineStr">
        <is>
          <t>Influence of Hinduism during the Gampola Kingdom - A Study Based on the Inscriptions</t>
        </is>
      </c>
      <c r="F47" s="13" t="inlineStr">
        <is>
          <t>Ushanthy Arunpirasanth</t>
        </is>
      </c>
      <c r="G47" s="13" t="inlineStr">
        <is>
          <t>2nd National Research Symposium on Social Sciences and Humanities, Rajarata University</t>
        </is>
      </c>
      <c r="H47" s="11" t="inlineStr">
        <is>
          <t>Conference paper</t>
        </is>
      </c>
      <c r="I47" s="11" t="inlineStr">
        <is>
          <t>English</t>
        </is>
      </c>
      <c r="J47" s="13" t="inlineStr">
        <is>
          <t>Inscriptions / கல்வெட்டு</t>
        </is>
      </c>
      <c r="K47" s="13" t="inlineStr">
        <is>
          <t>inscriptions; Gampola</t>
        </is>
      </c>
      <c r="L47" s="11" t="inlineStr">
        <is>
          <t>Yes</t>
        </is>
      </c>
      <c r="M47" s="13" t="n"/>
      <c r="N47" s="14" t="inlineStr">
        <is>
          <t>https://www.his.jfn.ac.lk/index.php/ms-mahalingam-ushanthy/</t>
        </is>
      </c>
    </row>
    <row r="48">
      <c r="A48" s="7" t="inlineStr">
        <is>
          <t>ALL-0047</t>
        </is>
      </c>
      <c r="B48" s="7" t="inlineStr">
        <is>
          <t>Research Papers</t>
        </is>
      </c>
      <c r="C48" s="8" t="inlineStr">
        <is>
          <t>2023</t>
        </is>
      </c>
      <c r="D48" s="7" t="n"/>
      <c r="E48" s="9" t="inlineStr">
        <is>
          <t>Integrative Approaches in Archaeology: The Imperative for Multidisciplinary Research</t>
        </is>
      </c>
      <c r="F48" s="9" t="inlineStr">
        <is>
          <t>A. Suganthan, P. Pushparatnam</t>
        </is>
      </c>
      <c r="G48" s="9" t="inlineStr">
        <is>
          <t>Nāgānanda International Journal of Humanities and Social Science, 1(1), pp. 1-13</t>
        </is>
      </c>
      <c r="H48" s="7" t="inlineStr">
        <is>
          <t>Journal article</t>
        </is>
      </c>
      <c r="I48" s="7" t="inlineStr">
        <is>
          <t>English</t>
        </is>
      </c>
      <c r="J48" s="9" t="inlineStr">
        <is>
          <t>Archaeology / தொல்லியல்</t>
        </is>
      </c>
      <c r="K48" s="9" t="inlineStr">
        <is>
          <t>archaeology; methodology</t>
        </is>
      </c>
      <c r="L48" s="7" t="inlineStr">
        <is>
          <t>Yes</t>
        </is>
      </c>
      <c r="M48" s="9" t="n"/>
      <c r="N48" s="10" t="inlineStr">
        <is>
          <t>https://www.his.jfn.ac.lk/index.php/mrs-ajiththa-suganthan/</t>
        </is>
      </c>
    </row>
    <row r="49">
      <c r="A49" s="11" t="inlineStr">
        <is>
          <t>ALL-0048</t>
        </is>
      </c>
      <c r="B49" s="11" t="inlineStr">
        <is>
          <t>Research Papers</t>
        </is>
      </c>
      <c r="C49" s="12" t="inlineStr">
        <is>
          <t>2023</t>
        </is>
      </c>
      <c r="D49" s="11" t="n"/>
      <c r="E49" s="13" t="inlineStr">
        <is>
          <t>Ipankadduwa Megalithic Centre and Museum</t>
        </is>
      </c>
      <c r="F49" s="13" t="inlineStr">
        <is>
          <t>Thulasika Dineshan</t>
        </is>
      </c>
      <c r="G49" s="13" t="inlineStr">
        <is>
          <t>INTSYM 2023, South Eastern University of Sri Lanka</t>
        </is>
      </c>
      <c r="H49" s="11" t="inlineStr">
        <is>
          <t>Conference paper</t>
        </is>
      </c>
      <c r="I49" s="11" t="inlineStr">
        <is>
          <t>English</t>
        </is>
      </c>
      <c r="J49" s="13" t="inlineStr">
        <is>
          <t>Archaeology / தொல்லியல்</t>
        </is>
      </c>
      <c r="K49" s="13" t="inlineStr">
        <is>
          <t>megalithic; Ibbankatuwa</t>
        </is>
      </c>
      <c r="L49" s="11" t="inlineStr">
        <is>
          <t>Yes</t>
        </is>
      </c>
      <c r="M49" s="13" t="n"/>
      <c r="N49" s="14" t="inlineStr">
        <is>
          <t>https://www.his.jfn.ac.lk/?p=1706</t>
        </is>
      </c>
    </row>
    <row r="50">
      <c r="A50" s="7" t="inlineStr">
        <is>
          <t>ALL-0049</t>
        </is>
      </c>
      <c r="B50" s="7" t="inlineStr">
        <is>
          <t>Research Papers</t>
        </is>
      </c>
      <c r="C50" s="8" t="inlineStr">
        <is>
          <t>2023</t>
        </is>
      </c>
      <c r="D50" s="7" t="n"/>
      <c r="E50" s="9" t="inlineStr">
        <is>
          <t>Some considerations on Dutch colonial architecture: The Kruys church at Jaffna Fort</t>
        </is>
      </c>
      <c r="F50" s="9" t="inlineStr">
        <is>
          <t>A. Suganthan</t>
        </is>
      </c>
      <c r="G50" s="9" t="inlineStr">
        <is>
          <t>Archaeology: South Asian Journal of Archaeology, University of Kelaniya</t>
        </is>
      </c>
      <c r="H50" s="7" t="inlineStr">
        <is>
          <t>Journal article</t>
        </is>
      </c>
      <c r="I50" s="7" t="inlineStr">
        <is>
          <t>English</t>
        </is>
      </c>
      <c r="J50" s="9" t="inlineStr">
        <is>
          <t>Archaeology / தொல்லியல்</t>
        </is>
      </c>
      <c r="K50" s="9" t="inlineStr">
        <is>
          <t>archaeology; Jaffna Fort</t>
        </is>
      </c>
      <c r="L50" s="7" t="inlineStr">
        <is>
          <t>Yes</t>
        </is>
      </c>
      <c r="M50" s="9" t="n"/>
      <c r="N50" s="10" t="inlineStr">
        <is>
          <t>https://www.his.jfn.ac.lk/index.php/mrs-ajiththa-suganthan/</t>
        </is>
      </c>
    </row>
    <row r="51">
      <c r="A51" s="11" t="inlineStr">
        <is>
          <t>ALL-0050</t>
        </is>
      </c>
      <c r="B51" s="11" t="inlineStr">
        <is>
          <t>Research Papers</t>
        </is>
      </c>
      <c r="C51" s="12" t="inlineStr">
        <is>
          <t>2023</t>
        </is>
      </c>
      <c r="D51" s="11" t="n"/>
      <c r="E51" s="13" t="inlineStr">
        <is>
          <t>Tevaratiyars (Women of Temples) in Sri Lanka: A Study Based on Epigraphy</t>
        </is>
      </c>
      <c r="F51" s="13" t="inlineStr">
        <is>
          <t>S. Aniththa</t>
        </is>
      </c>
      <c r="G51" s="13" t="inlineStr">
        <is>
          <t>1st International Conference on Gender Studies, University of Sri Jayewardenepura</t>
        </is>
      </c>
      <c r="H51" s="11" t="inlineStr">
        <is>
          <t>Conference paper</t>
        </is>
      </c>
      <c r="I51" s="11" t="inlineStr">
        <is>
          <t>English</t>
        </is>
      </c>
      <c r="J51" s="13" t="inlineStr">
        <is>
          <t>Inscriptions / கல்வெட்டு</t>
        </is>
      </c>
      <c r="K51" s="13" t="inlineStr">
        <is>
          <t>epigraphy; கல்வெட்டு</t>
        </is>
      </c>
      <c r="L51" s="11" t="inlineStr">
        <is>
          <t>Yes</t>
        </is>
      </c>
      <c r="M51" s="13" t="n"/>
      <c r="N51" s="14" t="inlineStr">
        <is>
          <t>https://www.his.jfn.ac.lk/index.php/__trashed/</t>
        </is>
      </c>
    </row>
    <row r="52">
      <c r="A52" s="7" t="inlineStr">
        <is>
          <t>ALL-0051</t>
        </is>
      </c>
      <c r="B52" s="7" t="inlineStr">
        <is>
          <t>Research Papers</t>
        </is>
      </c>
      <c r="C52" s="8" t="inlineStr">
        <is>
          <t>2023</t>
        </is>
      </c>
      <c r="D52" s="7" t="n"/>
      <c r="E52" s="9" t="inlineStr">
        <is>
          <t>The Role of Brahmins in the Sinhalese Monarchy: A Study Based on the Kingdom of Anuradhapura</t>
        </is>
      </c>
      <c r="F52" s="9" t="inlineStr">
        <is>
          <t>S. Aniththa</t>
        </is>
      </c>
      <c r="G52" s="9" t="inlineStr">
        <is>
          <t>2nd National Research Symposium, Rajarata University of Sri Lanka</t>
        </is>
      </c>
      <c r="H52" s="7" t="inlineStr">
        <is>
          <t>Conference paper</t>
        </is>
      </c>
      <c r="I52" s="7" t="inlineStr">
        <is>
          <t>English</t>
        </is>
      </c>
      <c r="J52" s="9" t="inlineStr">
        <is>
          <t>Inscriptions / கல்வெட்டு; Brahmi / பிராமி</t>
        </is>
      </c>
      <c r="K52" s="9" t="inlineStr">
        <is>
          <t>Brahmins; inscriptions</t>
        </is>
      </c>
      <c r="L52" s="7" t="inlineStr">
        <is>
          <t>Yes</t>
        </is>
      </c>
      <c r="M52" s="9" t="n"/>
      <c r="N52" s="10" t="inlineStr">
        <is>
          <t>https://www.his.jfn.ac.lk/index.php/__trashed/</t>
        </is>
      </c>
    </row>
    <row r="53">
      <c r="A53" s="11" t="inlineStr">
        <is>
          <t>ALL-0052</t>
        </is>
      </c>
      <c r="B53" s="11" t="inlineStr">
        <is>
          <t>Research Papers</t>
        </is>
      </c>
      <c r="C53" s="12" t="inlineStr">
        <is>
          <t>2023</t>
        </is>
      </c>
      <c r="D53" s="11" t="n"/>
      <c r="E53" s="13" t="inlineStr">
        <is>
          <t>The Role of Tamil Officers in Sinhalese Monarchy up to 13th Century A.D.: A Review</t>
        </is>
      </c>
      <c r="F53" s="13" t="inlineStr">
        <is>
          <t>S. Aniththa</t>
        </is>
      </c>
      <c r="G53" s="13" t="inlineStr">
        <is>
          <t>11th International Symposium, South Eastern University of Sri Lanka</t>
        </is>
      </c>
      <c r="H53" s="11" t="inlineStr">
        <is>
          <t>Conference paper</t>
        </is>
      </c>
      <c r="I53" s="11" t="inlineStr">
        <is>
          <t>English</t>
        </is>
      </c>
      <c r="J53" s="13" t="inlineStr">
        <is>
          <t>Inscriptions / கல்வெட்டு</t>
        </is>
      </c>
      <c r="K53" s="13" t="inlineStr">
        <is>
          <t>inscriptions; officials</t>
        </is>
      </c>
      <c r="L53" s="11" t="inlineStr">
        <is>
          <t>Yes</t>
        </is>
      </c>
      <c r="M53" s="13" t="n"/>
      <c r="N53" s="14" t="inlineStr">
        <is>
          <t>https://www.his.jfn.ac.lk/index.php/__trashed/</t>
        </is>
      </c>
    </row>
    <row r="54">
      <c r="A54" s="7" t="inlineStr">
        <is>
          <t>ALL-0053</t>
        </is>
      </c>
      <c r="B54" s="7" t="inlineStr">
        <is>
          <t>Research Papers</t>
        </is>
      </c>
      <c r="C54" s="8" t="inlineStr">
        <is>
          <t>2022</t>
        </is>
      </c>
      <c r="D54" s="7" t="n"/>
      <c r="E54" s="9" t="inlineStr">
        <is>
          <t>Ancient Ceylon No. 27 (Journal of the Department of Archaeology)</t>
        </is>
      </c>
      <c r="F54" s="9" t="inlineStr">
        <is>
          <t>Department of Archaeology</t>
        </is>
      </c>
      <c r="G54" s="9" t="inlineStr">
        <is>
          <t>Department of Archaeology, Sri Lanka</t>
        </is>
      </c>
      <c r="H54" s="7" t="inlineStr">
        <is>
          <t>Journal article</t>
        </is>
      </c>
      <c r="I54" s="7" t="inlineStr">
        <is>
          <t>English</t>
        </is>
      </c>
      <c r="J54" s="9" t="inlineStr">
        <is>
          <t>Inscriptions / கல்வெட்டு; Archaeology / தொல்லியல்</t>
        </is>
      </c>
      <c r="K54" s="9" t="inlineStr">
        <is>
          <t>archaeology journal; inscriptions</t>
        </is>
      </c>
      <c r="L54" s="7" t="inlineStr">
        <is>
          <t>Yes</t>
        </is>
      </c>
      <c r="M54" s="9" t="inlineStr">
        <is>
          <t>Upload date 2022</t>
        </is>
      </c>
      <c r="N54" s="10" t="inlineStr">
        <is>
          <t>https://archaeology.gov.lk/media/attachments/2022/09/07/ac27updated.pdf</t>
        </is>
      </c>
    </row>
    <row r="55">
      <c r="A55" s="11" t="inlineStr">
        <is>
          <t>ALL-0054</t>
        </is>
      </c>
      <c r="B55" s="11" t="inlineStr">
        <is>
          <t>Research Papers</t>
        </is>
      </c>
      <c r="C55" s="12" t="inlineStr">
        <is>
          <t>2022</t>
        </is>
      </c>
      <c r="D55" s="11" t="n"/>
      <c r="E55" s="13" t="inlineStr">
        <is>
          <t>Archaeological Surveys and Their Importance in Respect of Northern Sri Lanka</t>
        </is>
      </c>
      <c r="F55" s="13" t="inlineStr">
        <is>
          <t>S. Sajitharan</t>
        </is>
      </c>
      <c r="G55" s="13" t="inlineStr">
        <is>
          <t>IntSym 2022, South Eastern University of Sri Lanka</t>
        </is>
      </c>
      <c r="H55" s="11" t="inlineStr">
        <is>
          <t>Conference paper</t>
        </is>
      </c>
      <c r="I55" s="11" t="inlineStr">
        <is>
          <t>English</t>
        </is>
      </c>
      <c r="J55" s="13" t="inlineStr">
        <is>
          <t>Archaeology / தொல்லியல்</t>
        </is>
      </c>
      <c r="K55" s="13" t="inlineStr">
        <is>
          <t>archaeological survey</t>
        </is>
      </c>
      <c r="L55" s="11" t="inlineStr">
        <is>
          <t>Yes</t>
        </is>
      </c>
      <c r="M55" s="13" t="n"/>
      <c r="N55" s="14" t="inlineStr">
        <is>
          <t>https://www.his.jfn.ac.lk/?p=791</t>
        </is>
      </c>
    </row>
    <row r="56">
      <c r="A56" s="7" t="inlineStr">
        <is>
          <t>ALL-0055</t>
        </is>
      </c>
      <c r="B56" s="7" t="inlineStr">
        <is>
          <t>Research Papers</t>
        </is>
      </c>
      <c r="C56" s="8" t="inlineStr">
        <is>
          <t>2022</t>
        </is>
      </c>
      <c r="D56" s="7" t="n"/>
      <c r="E56" s="9" t="inlineStr">
        <is>
          <t>Pre-colonial Monuments in Jaffna, Sri Lanka</t>
        </is>
      </c>
      <c r="F56" s="9" t="inlineStr">
        <is>
          <t>A. Suganthan</t>
        </is>
      </c>
      <c r="G56" s="9" t="inlineStr">
        <is>
          <t>Nagananda International Journal of Humanities &amp; Social Sciences</t>
        </is>
      </c>
      <c r="H56" s="7" t="inlineStr">
        <is>
          <t>Journal article</t>
        </is>
      </c>
      <c r="I56" s="7" t="inlineStr">
        <is>
          <t>English</t>
        </is>
      </c>
      <c r="J56" s="9" t="inlineStr">
        <is>
          <t>Archaeology / தொல்லியல்</t>
        </is>
      </c>
      <c r="K56" s="9" t="inlineStr">
        <is>
          <t>monuments; Jaffna</t>
        </is>
      </c>
      <c r="L56" s="7" t="inlineStr">
        <is>
          <t>Yes</t>
        </is>
      </c>
      <c r="M56" s="9" t="n"/>
      <c r="N56" s="10" t="inlineStr">
        <is>
          <t>https://www.his.jfn.ac.lk/index.php/mrs-ajiththa-suganthan/</t>
        </is>
      </c>
    </row>
    <row r="57">
      <c r="A57" s="11" t="inlineStr">
        <is>
          <t>ALL-0056</t>
        </is>
      </c>
      <c r="B57" s="11" t="inlineStr">
        <is>
          <t>Research Papers</t>
        </is>
      </c>
      <c r="C57" s="12" t="inlineStr">
        <is>
          <t>2022</t>
        </is>
      </c>
      <c r="D57" s="11" t="n"/>
      <c r="E57" s="13" t="inlineStr">
        <is>
          <t>Socio-Economic Conditions of Vanni Region through the Brahmi Inscriptions - Based on Vavuniya Region</t>
        </is>
      </c>
      <c r="F57" s="13" t="inlineStr">
        <is>
          <t>Thulasika Dineshan</t>
        </is>
      </c>
      <c r="G57" s="13" t="inlineStr">
        <is>
          <t>INTSYM 2022, South Eastern University of Sri Lanka</t>
        </is>
      </c>
      <c r="H57" s="11" t="inlineStr">
        <is>
          <t>Conference paper</t>
        </is>
      </c>
      <c r="I57" s="11" t="inlineStr">
        <is>
          <t>English</t>
        </is>
      </c>
      <c r="J57" s="13" t="inlineStr">
        <is>
          <t>Inscriptions / கல்வெட்டு; Brahmi / பிராமி</t>
        </is>
      </c>
      <c r="K57" s="13" t="inlineStr">
        <is>
          <t>பிராமி; கல்வெட்டு; Vanni; Vavuniya</t>
        </is>
      </c>
      <c r="L57" s="11" t="inlineStr">
        <is>
          <t>Yes</t>
        </is>
      </c>
      <c r="M57" s="13" t="n"/>
      <c r="N57" s="14" t="inlineStr">
        <is>
          <t>https://www.his.jfn.ac.lk/?p=1706</t>
        </is>
      </c>
    </row>
    <row r="58">
      <c r="A58" s="7" t="inlineStr">
        <is>
          <t>ALL-0057</t>
        </is>
      </c>
      <c r="B58" s="7" t="inlineStr">
        <is>
          <t>Research Papers</t>
        </is>
      </c>
      <c r="C58" s="8" t="inlineStr">
        <is>
          <t>2022</t>
        </is>
      </c>
      <c r="D58" s="7" t="inlineStr">
        <is>
          <t>2022-04-25</t>
        </is>
      </c>
      <c r="E58" s="9" t="inlineStr">
        <is>
          <t>THE “DEVANAPIYA” KINGS AS TRACED FROM LITHIC ‘BRAHMI’ INSCRIPTIONS OF SRI LANKA</t>
        </is>
      </c>
      <c r="F58" s="9" t="inlineStr">
        <is>
          <t>, ID Manthilake</t>
        </is>
      </c>
      <c r="G58" s="9" t="inlineStr">
        <is>
          <t>Proceedings of the 2nd International Conference on Archaeology, History and Heritage</t>
        </is>
      </c>
      <c r="H58" s="7" t="inlineStr">
        <is>
          <t>Proceedings article</t>
        </is>
      </c>
      <c r="I58" s="7" t="inlineStr">
        <is>
          <t>English</t>
        </is>
      </c>
      <c r="J58" s="9" t="inlineStr">
        <is>
          <t>Inscriptions / கல்வெட்டு; Brahmi / பிராமி</t>
        </is>
      </c>
      <c r="K58" s="9" t="inlineStr">
        <is>
          <t>inscription; inscriptions; brahmi</t>
        </is>
      </c>
      <c r="L58" s="7" t="inlineStr">
        <is>
          <t>Yes</t>
        </is>
      </c>
      <c r="M58" s="9" t="inlineStr">
        <is>
          <t>Crossref query: Tamil Brahmi Sri Lanka. Auto-collected 2026-10-14 (crossref); review.</t>
        </is>
      </c>
      <c r="N58" s="10" t="inlineStr">
        <is>
          <t>https://doi.org/10.17501/26510243.2021.2101</t>
        </is>
      </c>
    </row>
    <row r="59">
      <c r="A59" s="11" t="inlineStr">
        <is>
          <t>ALL-0058</t>
        </is>
      </c>
      <c r="B59" s="11" t="inlineStr">
        <is>
          <t>Research Papers</t>
        </is>
      </c>
      <c r="C59" s="12" t="inlineStr">
        <is>
          <t>2022</t>
        </is>
      </c>
      <c r="D59" s="11" t="inlineStr">
        <is>
          <t>2022-08-27</t>
        </is>
      </c>
      <c r="E59" s="13" t="inlineStr">
        <is>
          <t>A study of the Dathan Inscription</t>
        </is>
      </c>
      <c r="F59" s="13" t="inlineStr">
        <is>
          <t>Murugu Thayanithy</t>
        </is>
      </c>
      <c r="G59" s="13" t="inlineStr">
        <is>
          <t>Indian Journal of Tamil</t>
        </is>
      </c>
      <c r="H59" s="11" t="inlineStr">
        <is>
          <t>Journal article</t>
        </is>
      </c>
      <c r="I59" s="11" t="inlineStr">
        <is>
          <t>English</t>
        </is>
      </c>
      <c r="J59" s="13" t="inlineStr">
        <is>
          <t>Inscriptions / கல்வெட்டு</t>
        </is>
      </c>
      <c r="K59" s="13" t="inlineStr">
        <is>
          <t>inscription</t>
        </is>
      </c>
      <c r="L59" s="11" t="inlineStr">
        <is>
          <t>Yes</t>
        </is>
      </c>
      <c r="M59" s="13" t="inlineStr">
        <is>
          <t>Crossref query: Polonnaruwa Tamil inscription. Auto-collected 2026-10-14 (crossref); review.</t>
        </is>
      </c>
      <c r="N59" s="14" t="inlineStr">
        <is>
          <t>https://doi.org/10.54392/ijot2236</t>
        </is>
      </c>
    </row>
    <row r="60">
      <c r="A60" s="7" t="inlineStr">
        <is>
          <t>ALL-0059</t>
        </is>
      </c>
      <c r="B60" s="7" t="inlineStr">
        <is>
          <t>Research Papers</t>
        </is>
      </c>
      <c r="C60" s="8" t="inlineStr">
        <is>
          <t>2022</t>
        </is>
      </c>
      <c r="D60" s="7" t="inlineStr">
        <is>
          <t>2022-12-03</t>
        </is>
      </c>
      <c r="E60" s="9" t="inlineStr">
        <is>
          <t>Venison for the Citadel</t>
        </is>
      </c>
      <c r="F60" s="9" t="inlineStr">
        <is>
          <t>Norbert Benecke, Johannes Moser, Hans-Joachim Weisshaar</t>
        </is>
      </c>
      <c r="G60" s="9" t="inlineStr">
        <is>
          <t>Ancient Lanka</t>
        </is>
      </c>
      <c r="H60" s="7" t="inlineStr">
        <is>
          <t>Journal article</t>
        </is>
      </c>
      <c r="I60" s="7" t="inlineStr">
        <is>
          <t>English</t>
        </is>
      </c>
      <c r="J60" s="9" t="n"/>
      <c r="K60" s="9" t="n"/>
      <c r="L60" s="7" t="inlineStr">
        <is>
          <t>Yes</t>
        </is>
      </c>
      <c r="M60" s="9" t="inlineStr">
        <is>
          <t>Crossref query: Tissamaharama Brahmi. Auto-collected 2026-10-14 (crossref); review.</t>
        </is>
      </c>
      <c r="N60" s="10" t="inlineStr">
        <is>
          <t>https://doi.org/10.29173/anlk659</t>
        </is>
      </c>
    </row>
    <row r="61">
      <c r="A61" s="11" t="inlineStr">
        <is>
          <t>ALL-0060</t>
        </is>
      </c>
      <c r="B61" s="11" t="inlineStr">
        <is>
          <t>Research Papers</t>
        </is>
      </c>
      <c r="C61" s="12" t="inlineStr">
        <is>
          <t>2021</t>
        </is>
      </c>
      <c r="D61" s="11" t="n"/>
      <c r="E61" s="13" t="inlineStr">
        <is>
          <t>Archaeological Glories in Sri Lankan Museums</t>
        </is>
      </c>
      <c r="F61" s="13" t="inlineStr">
        <is>
          <t>S. Arulanantham</t>
        </is>
      </c>
      <c r="G61" s="13" t="inlineStr">
        <is>
          <t>Edited volume (ed. T. Mageswary)</t>
        </is>
      </c>
      <c r="H61" s="11" t="inlineStr">
        <is>
          <t>Book chapter</t>
        </is>
      </c>
      <c r="I61" s="11" t="inlineStr">
        <is>
          <t>Tamil</t>
        </is>
      </c>
      <c r="J61" s="13" t="inlineStr">
        <is>
          <t>Archaeology / தொல்லியல்</t>
        </is>
      </c>
      <c r="K61" s="13" t="inlineStr">
        <is>
          <t>museums; archaeology</t>
        </is>
      </c>
      <c r="L61" s="11" t="inlineStr">
        <is>
          <t>Yes</t>
        </is>
      </c>
      <c r="M61" s="13" t="n"/>
      <c r="N61" s="14" t="inlineStr">
        <is>
          <t>https://www.his.jfn.ac.lk/index.php/mrs-s-arulanantham/</t>
        </is>
      </c>
    </row>
    <row r="62">
      <c r="A62" s="7" t="inlineStr">
        <is>
          <t>ALL-0061</t>
        </is>
      </c>
      <c r="B62" s="7" t="inlineStr">
        <is>
          <t>Research Papers</t>
        </is>
      </c>
      <c r="C62" s="8" t="inlineStr">
        <is>
          <t>2021</t>
        </is>
      </c>
      <c r="D62" s="7" t="n"/>
      <c r="E62" s="9" t="inlineStr">
        <is>
          <t>Influences of Natural Science on Archaeology</t>
        </is>
      </c>
      <c r="F62" s="9" t="inlineStr">
        <is>
          <t>Thulasika Dineshan</t>
        </is>
      </c>
      <c r="G62" s="9" t="inlineStr">
        <is>
          <t>Aran International Journal of Tamil Research, Vol. 3, Issue 2</t>
        </is>
      </c>
      <c r="H62" s="7" t="inlineStr">
        <is>
          <t>Journal article</t>
        </is>
      </c>
      <c r="I62" s="7" t="inlineStr">
        <is>
          <t>Tamil</t>
        </is>
      </c>
      <c r="J62" s="9" t="inlineStr">
        <is>
          <t>Archaeology / தொல்லியல்</t>
        </is>
      </c>
      <c r="K62" s="9" t="inlineStr">
        <is>
          <t>தொல்லியல்; method</t>
        </is>
      </c>
      <c r="L62" s="7" t="inlineStr">
        <is>
          <t>Yes</t>
        </is>
      </c>
      <c r="M62" s="9" t="n"/>
      <c r="N62" s="10" t="inlineStr">
        <is>
          <t>https://www.his.jfn.ac.lk/?p=1706</t>
        </is>
      </c>
    </row>
    <row r="63">
      <c r="A63" s="11" t="inlineStr">
        <is>
          <t>ALL-0062</t>
        </is>
      </c>
      <c r="B63" s="11" t="inlineStr">
        <is>
          <t>Research Papers</t>
        </is>
      </c>
      <c r="C63" s="12" t="inlineStr">
        <is>
          <t>2021</t>
        </is>
      </c>
      <c r="D63" s="11" t="n"/>
      <c r="E63" s="13" t="inlineStr">
        <is>
          <t>Matrimonial Alliances between Tamil and Sinhala Royal Families in Sri Lanka: A Historical View</t>
        </is>
      </c>
      <c r="F63" s="13" t="inlineStr">
        <is>
          <t>S. Aniththa</t>
        </is>
      </c>
      <c r="G63" s="13" t="inlineStr">
        <is>
          <t>Journal of Jaffna Science Association, Vol. 3, Issue I</t>
        </is>
      </c>
      <c r="H63" s="11" t="inlineStr">
        <is>
          <t>Journal article</t>
        </is>
      </c>
      <c r="I63" s="11" t="inlineStr">
        <is>
          <t>English</t>
        </is>
      </c>
      <c r="J63" s="13" t="inlineStr">
        <is>
          <t>Inscriptions / கல்வெட்டு</t>
        </is>
      </c>
      <c r="K63" s="13" t="inlineStr">
        <is>
          <t>inscriptions; royal history</t>
        </is>
      </c>
      <c r="L63" s="11" t="inlineStr">
        <is>
          <t>Yes</t>
        </is>
      </c>
      <c r="M63" s="13" t="n"/>
      <c r="N63" s="14" t="inlineStr">
        <is>
          <t>https://www.his.jfn.ac.lk/index.php/__trashed/</t>
        </is>
      </c>
    </row>
    <row r="64">
      <c r="A64" s="7" t="inlineStr">
        <is>
          <t>ALL-0063</t>
        </is>
      </c>
      <c r="B64" s="7" t="inlineStr">
        <is>
          <t>Research Papers</t>
        </is>
      </c>
      <c r="C64" s="8" t="inlineStr">
        <is>
          <t>2021</t>
        </is>
      </c>
      <c r="D64" s="7" t="n"/>
      <c r="E64" s="9" t="inlineStr">
        <is>
          <t>Tamil Inscription Issued by Sinhala Kings during the Period of Polonnaruwa Kingdom: A Multi Dimensions</t>
        </is>
      </c>
      <c r="F64" s="9" t="inlineStr">
        <is>
          <t>S. Aniththa, P. Pushparatnam</t>
        </is>
      </c>
      <c r="G64" s="9" t="inlineStr">
        <is>
          <t>Palkalai, Vol. 2, Issue IX, Faculty of Arts, University of Peradeniya</t>
        </is>
      </c>
      <c r="H64" s="7" t="inlineStr">
        <is>
          <t>Journal article</t>
        </is>
      </c>
      <c r="I64" s="7" t="inlineStr">
        <is>
          <t>Tamil</t>
        </is>
      </c>
      <c r="J64" s="9" t="inlineStr">
        <is>
          <t>Inscriptions / கல்வெட்டு</t>
        </is>
      </c>
      <c r="K64" s="9" t="inlineStr">
        <is>
          <t>கல்வெட்டு; Polonnaruwa</t>
        </is>
      </c>
      <c r="L64" s="7" t="inlineStr">
        <is>
          <t>Yes</t>
        </is>
      </c>
      <c r="M64" s="9" t="n"/>
      <c r="N64" s="10" t="inlineStr">
        <is>
          <t>https://www.his.jfn.ac.lk/index.php/__trashed/</t>
        </is>
      </c>
    </row>
    <row r="65">
      <c r="A65" s="11" t="inlineStr">
        <is>
          <t>ALL-0064</t>
        </is>
      </c>
      <c r="B65" s="11" t="inlineStr">
        <is>
          <t>Research Papers</t>
        </is>
      </c>
      <c r="C65" s="12" t="inlineStr">
        <is>
          <t>2021</t>
        </is>
      </c>
      <c r="D65" s="11" t="inlineStr">
        <is>
          <t>2021-01-19</t>
        </is>
      </c>
      <c r="E65" s="13" t="inlineStr">
        <is>
          <t>Archaeological Research in Kaddukarai</t>
        </is>
      </c>
      <c r="F65" s="13" t="inlineStr">
        <is>
          <t>Thulasika Dineshan</t>
        </is>
      </c>
      <c r="G65" s="13" t="inlineStr">
        <is>
          <t>9th SEUSL International Arts Research Symposium 2020, p. 28 (ISBN 9789556272536)</t>
        </is>
      </c>
      <c r="H65" s="11" t="inlineStr">
        <is>
          <t>Conference paper</t>
        </is>
      </c>
      <c r="I65" s="11" t="inlineStr">
        <is>
          <t>English</t>
        </is>
      </c>
      <c r="J65" s="13" t="inlineStr">
        <is>
          <t>Archaeology / தொல்லியல்</t>
        </is>
      </c>
      <c r="K65" s="13" t="inlineStr">
        <is>
          <t>தொல்லியல்; Kattukarai; excavation</t>
        </is>
      </c>
      <c r="L65" s="11" t="inlineStr">
        <is>
          <t>Yes</t>
        </is>
      </c>
      <c r="M65" s="13" t="n"/>
      <c r="N65" s="14" t="inlineStr">
        <is>
          <t>https://dspace.lib.seu.ac.lk/items/d37186eb-584d-43c3-8284-8e7e285c22d1/full</t>
        </is>
      </c>
    </row>
    <row r="66">
      <c r="A66" s="7" t="inlineStr">
        <is>
          <t>ALL-0065</t>
        </is>
      </c>
      <c r="B66" s="7" t="inlineStr">
        <is>
          <t>Research Papers</t>
        </is>
      </c>
      <c r="C66" s="8" t="inlineStr">
        <is>
          <t>2020</t>
        </is>
      </c>
      <c r="D66" s="7" t="n"/>
      <c r="E66" s="9" t="inlineStr">
        <is>
          <t>Amazing Discovery of Burials in Northern Sri Lanka</t>
        </is>
      </c>
      <c r="F66" s="9" t="inlineStr">
        <is>
          <t>S. Sajitharan</t>
        </is>
      </c>
      <c r="G66" s="9" t="inlineStr">
        <is>
          <t>Aran International e-Journal of Tamil Research, Vol. 2, Issue 7</t>
        </is>
      </c>
      <c r="H66" s="7" t="inlineStr">
        <is>
          <t>Journal article</t>
        </is>
      </c>
      <c r="I66" s="7" t="inlineStr">
        <is>
          <t>Tamil</t>
        </is>
      </c>
      <c r="J66" s="9" t="inlineStr">
        <is>
          <t>Archaeology / தொல்லியல்</t>
        </is>
      </c>
      <c r="K66" s="9" t="inlineStr">
        <is>
          <t>burials; megalithic</t>
        </is>
      </c>
      <c r="L66" s="7" t="inlineStr">
        <is>
          <t>Yes</t>
        </is>
      </c>
      <c r="M66" s="9" t="n"/>
      <c r="N66" s="10" t="inlineStr">
        <is>
          <t>https://www.his.jfn.ac.lk/?p=791</t>
        </is>
      </c>
    </row>
    <row r="67">
      <c r="A67" s="11" t="inlineStr">
        <is>
          <t>ALL-0066</t>
        </is>
      </c>
      <c r="B67" s="11" t="inlineStr">
        <is>
          <t>Research Papers</t>
        </is>
      </c>
      <c r="C67" s="12" t="inlineStr">
        <is>
          <t>2020</t>
        </is>
      </c>
      <c r="D67" s="11" t="n"/>
      <c r="E67" s="13" t="inlineStr">
        <is>
          <t>Archaeological Heritage of Buddhism: A Study Based on Jaffna Peninsula</t>
        </is>
      </c>
      <c r="F67" s="13" t="inlineStr">
        <is>
          <t>S. Sajitharan</t>
        </is>
      </c>
      <c r="G67" s="13" t="inlineStr">
        <is>
          <t>CINTANAI (University of Jaffna)</t>
        </is>
      </c>
      <c r="H67" s="11" t="inlineStr">
        <is>
          <t>Journal article</t>
        </is>
      </c>
      <c r="I67" s="11" t="inlineStr">
        <is>
          <t>English</t>
        </is>
      </c>
      <c r="J67" s="13" t="inlineStr">
        <is>
          <t>Archaeology / தொல்லியல்</t>
        </is>
      </c>
      <c r="K67" s="13" t="inlineStr">
        <is>
          <t>archaeology; Buddhism</t>
        </is>
      </c>
      <c r="L67" s="11" t="inlineStr">
        <is>
          <t>Yes</t>
        </is>
      </c>
      <c r="M67" s="13" t="n"/>
      <c r="N67" s="14" t="inlineStr">
        <is>
          <t>https://www.his.jfn.ac.lk/?p=791</t>
        </is>
      </c>
    </row>
    <row r="68">
      <c r="A68" s="7" t="inlineStr">
        <is>
          <t>ALL-0067</t>
        </is>
      </c>
      <c r="B68" s="7" t="inlineStr">
        <is>
          <t>Research Papers</t>
        </is>
      </c>
      <c r="C68" s="8" t="inlineStr">
        <is>
          <t>2020</t>
        </is>
      </c>
      <c r="D68" s="7" t="n"/>
      <c r="E68" s="9" t="inlineStr">
        <is>
          <t>Megalithic Culture in Sri Lanka</t>
        </is>
      </c>
      <c r="F68" s="9" t="inlineStr">
        <is>
          <t>Thulasika Dineshan</t>
        </is>
      </c>
      <c r="G68" s="9" t="inlineStr">
        <is>
          <t>International Research Symposium, Pollachi, Tamil Nadu</t>
        </is>
      </c>
      <c r="H68" s="7" t="inlineStr">
        <is>
          <t>Conference paper</t>
        </is>
      </c>
      <c r="I68" s="7" t="inlineStr">
        <is>
          <t>English</t>
        </is>
      </c>
      <c r="J68" s="9" t="inlineStr">
        <is>
          <t>Archaeology / தொல்லியல்</t>
        </is>
      </c>
      <c r="K68" s="9" t="inlineStr">
        <is>
          <t>megalithic</t>
        </is>
      </c>
      <c r="L68" s="7" t="inlineStr">
        <is>
          <t>Yes</t>
        </is>
      </c>
      <c r="M68" s="9" t="n"/>
      <c r="N68" s="10" t="inlineStr">
        <is>
          <t>https://www.his.jfn.ac.lk/?p=1706</t>
        </is>
      </c>
    </row>
    <row r="69">
      <c r="A69" s="11" t="inlineStr">
        <is>
          <t>ALL-0068</t>
        </is>
      </c>
      <c r="B69" s="11" t="inlineStr">
        <is>
          <t>Research Papers</t>
        </is>
      </c>
      <c r="C69" s="12" t="inlineStr">
        <is>
          <t>2020</t>
        </is>
      </c>
      <c r="D69" s="11" t="n"/>
      <c r="E69" s="13" t="inlineStr">
        <is>
          <t>Painting and Its Special Preservation Activities - Based on Sigiriya Painting</t>
        </is>
      </c>
      <c r="F69" s="13" t="inlineStr">
        <is>
          <t>A. Suganthan</t>
        </is>
      </c>
      <c r="G69" s="13" t="inlineStr">
        <is>
          <t>National Research Symposium, Swami Vipulananda Institute of Aesthetic Studies, Eastern University</t>
        </is>
      </c>
      <c r="H69" s="11" t="inlineStr">
        <is>
          <t>Conference paper</t>
        </is>
      </c>
      <c r="I69" s="11" t="inlineStr">
        <is>
          <t>Tamil</t>
        </is>
      </c>
      <c r="J69" s="13" t="inlineStr">
        <is>
          <t>Rock art / பாறை ஓவியம்</t>
        </is>
      </c>
      <c r="K69" s="13" t="inlineStr">
        <is>
          <t>paintings; பாறை ஓவியம்; Sigiriya</t>
        </is>
      </c>
      <c r="L69" s="11" t="inlineStr">
        <is>
          <t>Yes</t>
        </is>
      </c>
      <c r="M69" s="13" t="n"/>
      <c r="N69" s="14" t="inlineStr">
        <is>
          <t>https://www.his.jfn.ac.lk/index.php/mrs-ajiththa-suganthan/</t>
        </is>
      </c>
    </row>
    <row r="70">
      <c r="A70" s="7" t="inlineStr">
        <is>
          <t>ALL-0069</t>
        </is>
      </c>
      <c r="B70" s="7" t="inlineStr">
        <is>
          <t>Research Papers</t>
        </is>
      </c>
      <c r="C70" s="8" t="inlineStr">
        <is>
          <t>2020</t>
        </is>
      </c>
      <c r="D70" s="7" t="n"/>
      <c r="E70" s="9" t="inlineStr">
        <is>
          <t>The Terracotta Figures that Reveal the Ancient Art History of the Tamil People - Based on Nagapaduwan</t>
        </is>
      </c>
      <c r="F70" s="9" t="inlineStr">
        <is>
          <t>Thulasika Dineshan</t>
        </is>
      </c>
      <c r="G70" s="9" t="inlineStr">
        <is>
          <t>National Research Symposium, Eastern University, Sri Lanka</t>
        </is>
      </c>
      <c r="H70" s="7" t="inlineStr">
        <is>
          <t>Conference paper</t>
        </is>
      </c>
      <c r="I70" s="7" t="inlineStr">
        <is>
          <t>English</t>
        </is>
      </c>
      <c r="J70" s="9" t="inlineStr">
        <is>
          <t>Archaeology / தொல்லியல்</t>
        </is>
      </c>
      <c r="K70" s="9" t="inlineStr">
        <is>
          <t>terracotta; Nagapaduvan; archaeology</t>
        </is>
      </c>
      <c r="L70" s="7" t="inlineStr">
        <is>
          <t>Yes</t>
        </is>
      </c>
      <c r="M70" s="9" t="n"/>
      <c r="N70" s="10" t="inlineStr">
        <is>
          <t>https://www.his.jfn.ac.lk/?p=1706</t>
        </is>
      </c>
    </row>
    <row r="71">
      <c r="A71" s="11" t="inlineStr">
        <is>
          <t>ALL-0070</t>
        </is>
      </c>
      <c r="B71" s="11" t="inlineStr">
        <is>
          <t>Research Papers</t>
        </is>
      </c>
      <c r="C71" s="12" t="inlineStr">
        <is>
          <t>2019</t>
        </is>
      </c>
      <c r="D71" s="11" t="n"/>
      <c r="E71" s="13" t="inlineStr">
        <is>
          <t>Identifying the Archaeological Evidence Revealing Hero Stone Worship in Classical Tamil Literature and Thirukkural</t>
        </is>
      </c>
      <c r="F71" s="13" t="inlineStr">
        <is>
          <t>S. Sajitharan</t>
        </is>
      </c>
      <c r="G71" s="13" t="inlineStr">
        <is>
          <t>Thirukkural World Conference, Kuala Lumpur</t>
        </is>
      </c>
      <c r="H71" s="11" t="inlineStr">
        <is>
          <t>Conference paper</t>
        </is>
      </c>
      <c r="I71" s="11" t="inlineStr">
        <is>
          <t>Tamil</t>
        </is>
      </c>
      <c r="J71" s="13" t="inlineStr">
        <is>
          <t>Archaeology / தொல்லியல்; Hero stones / நடுகல்</t>
        </is>
      </c>
      <c r="K71" s="13" t="inlineStr">
        <is>
          <t>நடுகல்; hero stone</t>
        </is>
      </c>
      <c r="L71" s="11" t="inlineStr">
        <is>
          <t>Yes</t>
        </is>
      </c>
      <c r="M71" s="13" t="n"/>
      <c r="N71" s="14" t="inlineStr">
        <is>
          <t>https://www.his.jfn.ac.lk/?p=791</t>
        </is>
      </c>
    </row>
    <row r="72">
      <c r="A72" s="7" t="inlineStr">
        <is>
          <t>ALL-0071</t>
        </is>
      </c>
      <c r="B72" s="7" t="inlineStr">
        <is>
          <t>Research Papers</t>
        </is>
      </c>
      <c r="C72" s="8" t="inlineStr">
        <is>
          <t>2019</t>
        </is>
      </c>
      <c r="D72" s="7" t="n"/>
      <c r="E72" s="9" t="inlineStr">
        <is>
          <t>The Ancestor Worship &amp; the Megalithic Burials - based on Thirukkural</t>
        </is>
      </c>
      <c r="F72" s="9" t="inlineStr">
        <is>
          <t>S. Sajitharan</t>
        </is>
      </c>
      <c r="G72" s="9" t="inlineStr">
        <is>
          <t>Thirukkural World Conference, Kuala Lumpur, pp. 237-245</t>
        </is>
      </c>
      <c r="H72" s="7" t="inlineStr">
        <is>
          <t>Conference paper</t>
        </is>
      </c>
      <c r="I72" s="7" t="inlineStr">
        <is>
          <t>Tamil</t>
        </is>
      </c>
      <c r="J72" s="9" t="inlineStr">
        <is>
          <t>Archaeology / தொல்லியல்</t>
        </is>
      </c>
      <c r="K72" s="9" t="inlineStr">
        <is>
          <t>megalithic; burials</t>
        </is>
      </c>
      <c r="L72" s="7" t="inlineStr">
        <is>
          <t>Yes</t>
        </is>
      </c>
      <c r="M72" s="9" t="n"/>
      <c r="N72" s="10" t="inlineStr">
        <is>
          <t>https://www.his.jfn.ac.lk/?p=791</t>
        </is>
      </c>
    </row>
    <row r="73">
      <c r="A73" s="11" t="inlineStr">
        <is>
          <t>ALL-0072</t>
        </is>
      </c>
      <c r="B73" s="11" t="inlineStr">
        <is>
          <t>Research Papers</t>
        </is>
      </c>
      <c r="C73" s="12" t="inlineStr">
        <is>
          <t>2019</t>
        </is>
      </c>
      <c r="D73" s="11" t="n"/>
      <c r="E73" s="13" t="inlineStr">
        <is>
          <t>The Antiquity of Jaffna Fort: New Evidence from Post-Disaster Archaeological Investigations in Northern Sri Lanka</t>
        </is>
      </c>
      <c r="F73" s="13" t="inlineStr">
        <is>
          <t>R. Coningham, C. Davis, P. Pushparatnam et al.</t>
        </is>
      </c>
      <c r="G73" s="13" t="inlineStr">
        <is>
          <t>Antiquity (Cambridge University Press)</t>
        </is>
      </c>
      <c r="H73" s="11" t="inlineStr">
        <is>
          <t>Journal article</t>
        </is>
      </c>
      <c r="I73" s="11" t="inlineStr">
        <is>
          <t>English</t>
        </is>
      </c>
      <c r="J73" s="13" t="inlineStr">
        <is>
          <t>Archaeology / தொல்லியல்</t>
        </is>
      </c>
      <c r="K73" s="13" t="inlineStr">
        <is>
          <t>தொல்லியல்; Jaffna Fort; excavation</t>
        </is>
      </c>
      <c r="L73" s="11" t="inlineStr">
        <is>
          <t>Yes</t>
        </is>
      </c>
      <c r="M73" s="13" t="inlineStr">
        <is>
          <t>Authors to verify</t>
        </is>
      </c>
      <c r="N73" s="14" t="inlineStr">
        <is>
          <t>https://www.cambridge.org/core/services/aop-cambridge-core/content/view/C55CDA3934CC5C18EE40B903734C7215/S0003598X19000309a.pdf/the-antiquity-of-jaffna-fort-new-evidence-from-post-disaster-archaeological-investigations-in-northern-sri-lanka.pdf</t>
        </is>
      </c>
    </row>
    <row r="74">
      <c r="A74" s="7" t="inlineStr">
        <is>
          <t>ALL-0073</t>
        </is>
      </c>
      <c r="B74" s="7" t="inlineStr">
        <is>
          <t>Research Papers</t>
        </is>
      </c>
      <c r="C74" s="8" t="inlineStr">
        <is>
          <t>2019</t>
        </is>
      </c>
      <c r="D74" s="7" t="n"/>
      <c r="E74" s="9" t="inlineStr">
        <is>
          <t>The Chola-period Hindu Temples and Culture in the Rule of Sinhala Kings: Based on Polonnaruwa Period</t>
        </is>
      </c>
      <c r="F74" s="9" t="inlineStr">
        <is>
          <t>S. Aniththa</t>
        </is>
      </c>
      <c r="G74" s="9" t="inlineStr">
        <is>
          <t>International Arts Research Symposium, South Eastern University</t>
        </is>
      </c>
      <c r="H74" s="7" t="inlineStr">
        <is>
          <t>Conference paper</t>
        </is>
      </c>
      <c r="I74" s="7" t="inlineStr">
        <is>
          <t>English</t>
        </is>
      </c>
      <c r="J74" s="9" t="n"/>
      <c r="K74" s="9" t="inlineStr">
        <is>
          <t>Chola; temples; Polonnaruwa</t>
        </is>
      </c>
      <c r="L74" s="7" t="inlineStr">
        <is>
          <t>Yes</t>
        </is>
      </c>
      <c r="M74" s="9" t="n"/>
      <c r="N74" s="10" t="inlineStr">
        <is>
          <t>https://www.his.jfn.ac.lk/index.php/__trashed/</t>
        </is>
      </c>
    </row>
    <row r="75">
      <c r="A75" s="11" t="inlineStr">
        <is>
          <t>ALL-0074</t>
        </is>
      </c>
      <c r="B75" s="11" t="inlineStr">
        <is>
          <t>Research Papers</t>
        </is>
      </c>
      <c r="C75" s="12" t="inlineStr">
        <is>
          <t>2019</t>
        </is>
      </c>
      <c r="D75" s="11" t="n"/>
      <c r="E75" s="13" t="inlineStr">
        <is>
          <t>The Creation of the King's Clan in Ilankai - An Analysis Based on Recent Archaeological Findings</t>
        </is>
      </c>
      <c r="F75" s="13" t="inlineStr">
        <is>
          <t>S. Sajitharan</t>
        </is>
      </c>
      <c r="G75" s="13" t="inlineStr">
        <is>
          <t>International Journal of Tamil Language and Literary Studies (IITS, Chennai), pp. 170-179</t>
        </is>
      </c>
      <c r="H75" s="11" t="inlineStr">
        <is>
          <t>Journal article</t>
        </is>
      </c>
      <c r="I75" s="11" t="inlineStr">
        <is>
          <t>Tamil</t>
        </is>
      </c>
      <c r="J75" s="13" t="inlineStr">
        <is>
          <t>Inscriptions / கல்வெட்டு; Archaeology / தொல்லியல்; Coins / நாணயம்</t>
        </is>
      </c>
      <c r="K75" s="13" t="inlineStr">
        <is>
          <t>archaeology; coins; seals</t>
        </is>
      </c>
      <c r="L75" s="11" t="inlineStr">
        <is>
          <t>Yes</t>
        </is>
      </c>
      <c r="M75" s="13" t="n"/>
      <c r="N75" s="14" t="inlineStr">
        <is>
          <t>https://www.his.jfn.ac.lk/?p=791</t>
        </is>
      </c>
    </row>
    <row r="76">
      <c r="A76" s="7" t="inlineStr">
        <is>
          <t>ALL-0075</t>
        </is>
      </c>
      <c r="B76" s="7" t="inlineStr">
        <is>
          <t>Research Papers</t>
        </is>
      </c>
      <c r="C76" s="8" t="inlineStr">
        <is>
          <t>2019</t>
        </is>
      </c>
      <c r="D76" s="7" t="inlineStr">
        <is>
          <t>2019-09-19</t>
        </is>
      </c>
      <c r="E76" s="9" t="inlineStr">
        <is>
          <t>Contested Histories, Multi-Religious Space and Conflict: A Case Study of Kantarodai in Northern Sri Lanka</t>
        </is>
      </c>
      <c r="F76" s="9" t="inlineStr">
        <is>
          <t>Elizabeth J. Harris</t>
        </is>
      </c>
      <c r="G76" s="9" t="inlineStr">
        <is>
          <t>Religions</t>
        </is>
      </c>
      <c r="H76" s="7" t="inlineStr">
        <is>
          <t>Journal article</t>
        </is>
      </c>
      <c r="I76" s="7" t="inlineStr">
        <is>
          <t>English</t>
        </is>
      </c>
      <c r="J76" s="9" t="n"/>
      <c r="K76" s="9" t="n"/>
      <c r="L76" s="7" t="inlineStr">
        <is>
          <t>Yes</t>
        </is>
      </c>
      <c r="M76" s="9" t="inlineStr">
        <is>
          <t>Crossref query: Kantarodai. Auto-collected 2026-10-14 (crossref); review.</t>
        </is>
      </c>
      <c r="N76" s="10" t="inlineStr">
        <is>
          <t>https://doi.org/10.3390/rel10090537</t>
        </is>
      </c>
    </row>
    <row r="77">
      <c r="A77" s="11" t="inlineStr">
        <is>
          <t>ALL-0076</t>
        </is>
      </c>
      <c r="B77" s="11" t="inlineStr">
        <is>
          <t>Research Papers</t>
        </is>
      </c>
      <c r="C77" s="12" t="inlineStr">
        <is>
          <t>2018</t>
        </is>
      </c>
      <c r="D77" s="11" t="n"/>
      <c r="E77" s="13" t="inlineStr">
        <is>
          <t>Hinduism in the Sinhala Monarchy of the Polonnaruwa Period</t>
        </is>
      </c>
      <c r="F77" s="13" t="inlineStr">
        <is>
          <t>S. Aniththa</t>
        </is>
      </c>
      <c r="G77" s="13" t="inlineStr">
        <is>
          <t>International Seminar, World Tamil Research Institute</t>
        </is>
      </c>
      <c r="H77" s="11" t="inlineStr">
        <is>
          <t>Conference paper</t>
        </is>
      </c>
      <c r="I77" s="11" t="inlineStr">
        <is>
          <t>Tamil</t>
        </is>
      </c>
      <c r="J77" s="13" t="inlineStr">
        <is>
          <t>Inscriptions / கல்வெட்டு</t>
        </is>
      </c>
      <c r="K77" s="13" t="inlineStr">
        <is>
          <t>Polonnaruwa; inscriptions</t>
        </is>
      </c>
      <c r="L77" s="11" t="inlineStr">
        <is>
          <t>Yes</t>
        </is>
      </c>
      <c r="M77" s="13" t="n"/>
      <c r="N77" s="14" t="inlineStr">
        <is>
          <t>https://www.his.jfn.ac.lk/index.php/__trashed/</t>
        </is>
      </c>
    </row>
    <row r="78">
      <c r="A78" s="7" t="inlineStr">
        <is>
          <t>ALL-0077</t>
        </is>
      </c>
      <c r="B78" s="7" t="inlineStr">
        <is>
          <t>Research Papers</t>
        </is>
      </c>
      <c r="C78" s="8" t="inlineStr">
        <is>
          <t>2018</t>
        </is>
      </c>
      <c r="D78" s="7" t="n"/>
      <c r="E78" s="9" t="inlineStr">
        <is>
          <t>Naguleshwaram Temple - Myths and Historical Facts</t>
        </is>
      </c>
      <c r="F78" s="9" t="inlineStr">
        <is>
          <t>S. Sajitharan</t>
        </is>
      </c>
      <c r="G78" s="9" t="inlineStr">
        <is>
          <t>Palkalai, Faculty of Arts, University of Peradeniya</t>
        </is>
      </c>
      <c r="H78" s="7" t="inlineStr">
        <is>
          <t>Journal article</t>
        </is>
      </c>
      <c r="I78" s="7" t="inlineStr">
        <is>
          <t>Tamil</t>
        </is>
      </c>
      <c r="J78" s="9" t="n"/>
      <c r="K78" s="9" t="inlineStr">
        <is>
          <t>temple; history</t>
        </is>
      </c>
      <c r="L78" s="7" t="inlineStr">
        <is>
          <t>Yes</t>
        </is>
      </c>
      <c r="M78" s="9" t="n"/>
      <c r="N78" s="10" t="inlineStr">
        <is>
          <t>https://www.his.jfn.ac.lk/?p=791</t>
        </is>
      </c>
    </row>
    <row r="79">
      <c r="A79" s="11" t="inlineStr">
        <is>
          <t>ALL-0078</t>
        </is>
      </c>
      <c r="B79" s="11" t="inlineStr">
        <is>
          <t>Research Papers</t>
        </is>
      </c>
      <c r="C79" s="12" t="inlineStr">
        <is>
          <t>2018</t>
        </is>
      </c>
      <c r="D79" s="11" t="n"/>
      <c r="E79" s="13" t="inlineStr">
        <is>
          <t>South Indian Influence in Jaffna Kingdom</t>
        </is>
      </c>
      <c r="F79" s="13" t="inlineStr">
        <is>
          <t>S. Sajitharan</t>
        </is>
      </c>
      <c r="G79" s="13" t="inlineStr">
        <is>
          <t>International Institute of Tamil Studies, Chennai</t>
        </is>
      </c>
      <c r="H79" s="11" t="inlineStr">
        <is>
          <t>Conference paper</t>
        </is>
      </c>
      <c r="I79" s="11" t="inlineStr">
        <is>
          <t>Tamil</t>
        </is>
      </c>
      <c r="J79" s="13" t="n"/>
      <c r="K79" s="13" t="inlineStr">
        <is>
          <t>Jaffna kingdom</t>
        </is>
      </c>
      <c r="L79" s="11" t="inlineStr">
        <is>
          <t>Yes</t>
        </is>
      </c>
      <c r="M79" s="13" t="n"/>
      <c r="N79" s="14" t="inlineStr">
        <is>
          <t>https://www.his.jfn.ac.lk/?p=791</t>
        </is>
      </c>
    </row>
    <row r="80">
      <c r="A80" s="7" t="inlineStr">
        <is>
          <t>ALL-0079</t>
        </is>
      </c>
      <c r="B80" s="7" t="inlineStr">
        <is>
          <t>Research Papers</t>
        </is>
      </c>
      <c r="C80" s="8" t="inlineStr">
        <is>
          <t>2018</t>
        </is>
      </c>
      <c r="D80" s="7" t="n"/>
      <c r="E80" s="9" t="inlineStr">
        <is>
          <t>The Challenges Faced in Protecting and Preserving Heritage Monuments: A Study Based on Jaffna</t>
        </is>
      </c>
      <c r="F80" s="9" t="inlineStr">
        <is>
          <t>S. Sajitharan</t>
        </is>
      </c>
      <c r="G80" s="9" t="inlineStr">
        <is>
          <t>CINTANAI, Vol. 2, pp. 63-77</t>
        </is>
      </c>
      <c r="H80" s="7" t="inlineStr">
        <is>
          <t>Journal article</t>
        </is>
      </c>
      <c r="I80" s="7" t="inlineStr">
        <is>
          <t>Tamil</t>
        </is>
      </c>
      <c r="J80" s="9" t="inlineStr">
        <is>
          <t>Archaeology / தொல்லியல்</t>
        </is>
      </c>
      <c r="K80" s="9" t="inlineStr">
        <is>
          <t>heritage; monuments</t>
        </is>
      </c>
      <c r="L80" s="7" t="inlineStr">
        <is>
          <t>Yes</t>
        </is>
      </c>
      <c r="M80" s="9" t="n"/>
      <c r="N80" s="10" t="inlineStr">
        <is>
          <t>https://www.his.jfn.ac.lk/?p=791</t>
        </is>
      </c>
    </row>
    <row r="81">
      <c r="A81" s="11" t="inlineStr">
        <is>
          <t>ALL-0080</t>
        </is>
      </c>
      <c r="B81" s="11" t="inlineStr">
        <is>
          <t>Research Papers</t>
        </is>
      </c>
      <c r="C81" s="12" t="inlineStr">
        <is>
          <t>2018</t>
        </is>
      </c>
      <c r="D81" s="11" t="n"/>
      <c r="E81" s="13" t="inlineStr">
        <is>
          <t>The Formation Period of Northern Sri Lanka - An Archaeological Survey Based on Rivers &amp; Ponds</t>
        </is>
      </c>
      <c r="F81" s="13" t="inlineStr">
        <is>
          <t>S. Sajitharan</t>
        </is>
      </c>
      <c r="G81" s="13" t="inlineStr">
        <is>
          <t>Sankara Publications, Kancheepuram</t>
        </is>
      </c>
      <c r="H81" s="11" t="inlineStr">
        <is>
          <t>Book chapter</t>
        </is>
      </c>
      <c r="I81" s="11" t="inlineStr">
        <is>
          <t>Tamil</t>
        </is>
      </c>
      <c r="J81" s="13" t="inlineStr">
        <is>
          <t>Archaeology / தொல்லியல்</t>
        </is>
      </c>
      <c r="K81" s="13" t="inlineStr">
        <is>
          <t>archaeological survey</t>
        </is>
      </c>
      <c r="L81" s="11" t="inlineStr">
        <is>
          <t>Yes</t>
        </is>
      </c>
      <c r="M81" s="13" t="n"/>
      <c r="N81" s="14" t="inlineStr">
        <is>
          <t>https://www.his.jfn.ac.lk/?p=791</t>
        </is>
      </c>
    </row>
    <row r="82">
      <c r="A82" s="7" t="inlineStr">
        <is>
          <t>ALL-0081</t>
        </is>
      </c>
      <c r="B82" s="7" t="inlineStr">
        <is>
          <t>Research Papers</t>
        </is>
      </c>
      <c r="C82" s="8" t="inlineStr">
        <is>
          <t>2018</t>
        </is>
      </c>
      <c r="D82" s="7" t="inlineStr">
        <is>
          <t>2018-12-17</t>
        </is>
      </c>
      <c r="E82" s="9" t="inlineStr">
        <is>
          <t>வட இலங்கையின் தொல்லியல் மரபுரிமை சின்னங்களும், அவற்றின் முகாமைத்துவமும் (யாழ் குடாநாட்டினை அடிப்படையாகக் கொண்ட ஆய்வு)</t>
        </is>
      </c>
      <c r="F82" s="9" t="inlineStr">
        <is>
          <t>S. Sivachchelvy</t>
        </is>
      </c>
      <c r="G82" s="9" t="inlineStr">
        <is>
          <t>8th International Symposium 2018, South Eastern University of Sri Lanka, pp. 527-536 (ISBN 978-955-627-141-6)</t>
        </is>
      </c>
      <c r="H82" s="7" t="inlineStr">
        <is>
          <t>Conference paper</t>
        </is>
      </c>
      <c r="I82" s="7" t="inlineStr">
        <is>
          <t>Tamil</t>
        </is>
      </c>
      <c r="J82" s="9" t="inlineStr">
        <is>
          <t>Archaeology / தொல்லியல்</t>
        </is>
      </c>
      <c r="K82" s="9" t="inlineStr">
        <is>
          <t>தொல்லியல்; heritage management</t>
        </is>
      </c>
      <c r="L82" s="7" t="inlineStr">
        <is>
          <t>Yes</t>
        </is>
      </c>
      <c r="M82" s="9" t="inlineStr">
        <is>
          <t>Year/author to verify</t>
        </is>
      </c>
      <c r="N82" s="10" t="inlineStr">
        <is>
          <t>https://dspace.lib.seu.ac.lk/items/d9c75f55-5065-4c9d-9c54-98ec1717f8d1</t>
        </is>
      </c>
    </row>
    <row r="83">
      <c r="A83" s="11" t="inlineStr">
        <is>
          <t>ALL-0082</t>
        </is>
      </c>
      <c r="B83" s="11" t="inlineStr">
        <is>
          <t>Research Papers</t>
        </is>
      </c>
      <c r="C83" s="12" t="inlineStr">
        <is>
          <t>2017</t>
        </is>
      </c>
      <c r="D83" s="11" t="n"/>
      <c r="E83" s="13" t="inlineStr">
        <is>
          <t>God Shiva in the Inscriptions of Cholas Found in Sri Lanka</t>
        </is>
      </c>
      <c r="F83" s="13" t="inlineStr">
        <is>
          <t>S. Sajitharan</t>
        </is>
      </c>
      <c r="G83" s="13" t="inlineStr">
        <is>
          <t>Second International Saiva Conference, University of Jaffna</t>
        </is>
      </c>
      <c r="H83" s="11" t="inlineStr">
        <is>
          <t>Conference paper</t>
        </is>
      </c>
      <c r="I83" s="11" t="inlineStr">
        <is>
          <t>Tamil</t>
        </is>
      </c>
      <c r="J83" s="13" t="inlineStr">
        <is>
          <t>Inscriptions / கல்வெட்டு</t>
        </is>
      </c>
      <c r="K83" s="13" t="inlineStr">
        <is>
          <t>Chola inscriptions; கல்வெட்டு</t>
        </is>
      </c>
      <c r="L83" s="11" t="inlineStr">
        <is>
          <t>Yes</t>
        </is>
      </c>
      <c r="M83" s="13" t="n"/>
      <c r="N83" s="14" t="inlineStr">
        <is>
          <t>https://www.his.jfn.ac.lk/?p=791</t>
        </is>
      </c>
    </row>
    <row r="84">
      <c r="A84" s="7" t="inlineStr">
        <is>
          <t>ALL-0083</t>
        </is>
      </c>
      <c r="B84" s="7" t="inlineStr">
        <is>
          <t>Research Papers</t>
        </is>
      </c>
      <c r="C84" s="8" t="inlineStr">
        <is>
          <t>2017</t>
        </is>
      </c>
      <c r="D84" s="7" t="n"/>
      <c r="E84" s="9" t="inlineStr">
        <is>
          <t>Role and Significance in Preserving Manuscripts of Siddha Medicine Found during the Jaffna Kingdom Period</t>
        </is>
      </c>
      <c r="F84" s="9" t="inlineStr">
        <is>
          <t>A. Suganthan</t>
        </is>
      </c>
      <c r="G84" s="9" t="inlineStr">
        <is>
          <t>National Archaeological Symposium</t>
        </is>
      </c>
      <c r="H84" s="7" t="inlineStr">
        <is>
          <t>Conference paper</t>
        </is>
      </c>
      <c r="I84" s="7" t="inlineStr">
        <is>
          <t>English</t>
        </is>
      </c>
      <c r="J84" s="9" t="n"/>
      <c r="K84" s="9" t="inlineStr">
        <is>
          <t>manuscripts; Jaffna kingdom</t>
        </is>
      </c>
      <c r="L84" s="7" t="inlineStr">
        <is>
          <t>Yes</t>
        </is>
      </c>
      <c r="M84" s="9" t="n"/>
      <c r="N84" s="10" t="inlineStr">
        <is>
          <t>https://www.his.jfn.ac.lk/index.php/mrs-ajiththa-suganthan/</t>
        </is>
      </c>
    </row>
    <row r="85">
      <c r="A85" s="11" t="inlineStr">
        <is>
          <t>ALL-0084</t>
        </is>
      </c>
      <c r="B85" s="11" t="inlineStr">
        <is>
          <t>Research Papers</t>
        </is>
      </c>
      <c r="C85" s="12" t="inlineStr">
        <is>
          <t>2017</t>
        </is>
      </c>
      <c r="D85" s="11" t="n"/>
      <c r="E85" s="13" t="inlineStr">
        <is>
          <t>The Megalithic Culture and the Classical Tamil Literatures: Comparative Research</t>
        </is>
      </c>
      <c r="F85" s="13" t="inlineStr">
        <is>
          <t>S. Sajitharan</t>
        </is>
      </c>
      <c r="G85" s="13" t="inlineStr">
        <is>
          <t>CINTANAI, Vol. 3, pp. 37-51</t>
        </is>
      </c>
      <c r="H85" s="11" t="inlineStr">
        <is>
          <t>Journal article</t>
        </is>
      </c>
      <c r="I85" s="11" t="inlineStr">
        <is>
          <t>Tamil</t>
        </is>
      </c>
      <c r="J85" s="13" t="inlineStr">
        <is>
          <t>Archaeology / தொல்லியல்</t>
        </is>
      </c>
      <c r="K85" s="13" t="inlineStr">
        <is>
          <t>megalithic</t>
        </is>
      </c>
      <c r="L85" s="11" t="inlineStr">
        <is>
          <t>Yes</t>
        </is>
      </c>
      <c r="M85" s="13" t="n"/>
      <c r="N85" s="14" t="inlineStr">
        <is>
          <t>https://www.his.jfn.ac.lk/?p=791</t>
        </is>
      </c>
    </row>
    <row r="86">
      <c r="A86" s="7" t="inlineStr">
        <is>
          <t>ALL-0085</t>
        </is>
      </c>
      <c r="B86" s="7" t="inlineStr">
        <is>
          <t>Research Papers</t>
        </is>
      </c>
      <c r="C86" s="8" t="inlineStr">
        <is>
          <t>2015</t>
        </is>
      </c>
      <c r="D86" s="7" t="n"/>
      <c r="E86" s="9" t="inlineStr">
        <is>
          <t>Relationship between Hindu-Islamic Culture via Copper Plates (Tamil Nadu)</t>
        </is>
      </c>
      <c r="F86" s="9" t="inlineStr">
        <is>
          <t>K. Arunthavarajah</t>
        </is>
      </c>
      <c r="G86" s="9" t="inlineStr">
        <is>
          <t>Second International Symposium, Faculty of Islamic Studies, South Eastern University</t>
        </is>
      </c>
      <c r="H86" s="7" t="inlineStr">
        <is>
          <t>Conference paper</t>
        </is>
      </c>
      <c r="I86" s="7" t="inlineStr">
        <is>
          <t>English</t>
        </is>
      </c>
      <c r="J86" s="9" t="inlineStr">
        <is>
          <t>Inscriptions / கல்வெட்டு</t>
        </is>
      </c>
      <c r="K86" s="9" t="inlineStr">
        <is>
          <t>copper plates; epigraphy</t>
        </is>
      </c>
      <c r="L86" s="7" t="inlineStr">
        <is>
          <t>Yes</t>
        </is>
      </c>
      <c r="M86" s="9" t="inlineStr">
        <is>
          <t>Tamil Nadu focus</t>
        </is>
      </c>
      <c r="N86" s="10" t="inlineStr">
        <is>
          <t>https://www.his.jfn.ac.lk/index.php/profkarunthavarajah/</t>
        </is>
      </c>
    </row>
    <row r="87">
      <c r="A87" s="11" t="inlineStr">
        <is>
          <t>ALL-0086</t>
        </is>
      </c>
      <c r="B87" s="11" t="inlineStr">
        <is>
          <t>Research Papers</t>
        </is>
      </c>
      <c r="C87" s="12" t="inlineStr">
        <is>
          <t>2015</t>
        </is>
      </c>
      <c r="D87" s="11" t="n"/>
      <c r="E87" s="13" t="inlineStr">
        <is>
          <t>Religion in Sangam Literature and Archaeological Evidence</t>
        </is>
      </c>
      <c r="F87" s="13" t="inlineStr">
        <is>
          <t>S. Arulanantham</t>
        </is>
      </c>
      <c r="G87" s="13" t="inlineStr">
        <is>
          <t>Annual Research Conference, Dept. of Tamil, University of Peradeniya</t>
        </is>
      </c>
      <c r="H87" s="11" t="inlineStr">
        <is>
          <t>Conference paper</t>
        </is>
      </c>
      <c r="I87" s="11" t="inlineStr">
        <is>
          <t>Tamil</t>
        </is>
      </c>
      <c r="J87" s="13" t="inlineStr">
        <is>
          <t>Archaeology / தொல்லியல்</t>
        </is>
      </c>
      <c r="K87" s="13" t="inlineStr">
        <is>
          <t>archaeology; Sangam</t>
        </is>
      </c>
      <c r="L87" s="11" t="inlineStr">
        <is>
          <t>Yes</t>
        </is>
      </c>
      <c r="M87" s="13" t="n"/>
      <c r="N87" s="14" t="inlineStr">
        <is>
          <t>https://www.his.jfn.ac.lk/index.php/mrs-s-arulanantham/</t>
        </is>
      </c>
    </row>
    <row r="88">
      <c r="A88" s="7" t="inlineStr">
        <is>
          <t>ALL-0087</t>
        </is>
      </c>
      <c r="B88" s="7" t="inlineStr">
        <is>
          <t>Research Papers</t>
        </is>
      </c>
      <c r="C88" s="8" t="inlineStr">
        <is>
          <t>2014</t>
        </is>
      </c>
      <c r="D88" s="7" t="n"/>
      <c r="E88" s="9" t="inlineStr">
        <is>
          <t>Tamil Brahmi Inscription Belonging to 2200 Years Ago, Discovered by German Archaeological Team in Southern Sri Lanka</t>
        </is>
      </c>
      <c r="F88" s="9" t="inlineStr">
        <is>
          <t>P. Pushparatnam</t>
        </is>
      </c>
      <c r="G88" s="9" t="inlineStr">
        <is>
          <t>Jaffna University International Research Conference (JUICE 2014)</t>
        </is>
      </c>
      <c r="H88" s="7" t="inlineStr">
        <is>
          <t>Conference paper</t>
        </is>
      </c>
      <c r="I88" s="7" t="inlineStr">
        <is>
          <t>English</t>
        </is>
      </c>
      <c r="J88" s="9" t="inlineStr">
        <is>
          <t>Inscriptions / கல்வெட்டு; Brahmi / பிராமி; Archaeology / தொல்லியல்</t>
        </is>
      </c>
      <c r="K88" s="9" t="inlineStr">
        <is>
          <t>Tamil Brahmi; Tissamaharama; potsherd</t>
        </is>
      </c>
      <c r="L88" s="7" t="inlineStr">
        <is>
          <t>Yes</t>
        </is>
      </c>
      <c r="M88" s="9" t="n"/>
      <c r="N88" s="10" t="inlineStr">
        <is>
          <t>https://rer.jfn.ac.lk/items/cf7a95e0-fe51-4ae1-88aa-4842327beb59/full</t>
        </is>
      </c>
    </row>
    <row r="89">
      <c r="A89" s="11" t="inlineStr">
        <is>
          <t>ALL-0088</t>
        </is>
      </c>
      <c r="B89" s="11" t="inlineStr">
        <is>
          <t>Research Papers</t>
        </is>
      </c>
      <c r="C89" s="12" t="inlineStr">
        <is>
          <t>2014</t>
        </is>
      </c>
      <c r="D89" s="11" t="n"/>
      <c r="E89" s="13" t="inlineStr">
        <is>
          <t>The Heritage Monuments of Jaffna Peninsula and their Preservation</t>
        </is>
      </c>
      <c r="F89" s="13" t="inlineStr">
        <is>
          <t>S. Sajitharan</t>
        </is>
      </c>
      <c r="G89" s="13" t="inlineStr">
        <is>
          <t>Proceedings of the National Archaeological Symposium 2014, Department of Archaeology</t>
        </is>
      </c>
      <c r="H89" s="11" t="inlineStr">
        <is>
          <t>Conference paper</t>
        </is>
      </c>
      <c r="I89" s="11" t="inlineStr">
        <is>
          <t>English</t>
        </is>
      </c>
      <c r="J89" s="13" t="inlineStr">
        <is>
          <t>Archaeology / தொல்லியல்</t>
        </is>
      </c>
      <c r="K89" s="13" t="inlineStr">
        <is>
          <t>heritage; monuments</t>
        </is>
      </c>
      <c r="L89" s="11" t="inlineStr">
        <is>
          <t>Yes</t>
        </is>
      </c>
      <c r="M89" s="13" t="n"/>
      <c r="N89" s="14" t="inlineStr">
        <is>
          <t>https://www.his.jfn.ac.lk/?p=791</t>
        </is>
      </c>
    </row>
    <row r="90">
      <c r="A90" s="7" t="inlineStr">
        <is>
          <t>ALL-0089</t>
        </is>
      </c>
      <c r="B90" s="7" t="inlineStr">
        <is>
          <t>Research Papers</t>
        </is>
      </c>
      <c r="C90" s="8" t="inlineStr">
        <is>
          <t>2013</t>
        </is>
      </c>
      <c r="D90" s="7" t="n"/>
      <c r="E90" s="9" t="inlineStr">
        <is>
          <t>Ancient Ports and their Cultural Influences in Northern Sri Lanka</t>
        </is>
      </c>
      <c r="F90" s="9" t="inlineStr">
        <is>
          <t>S. Arulanantham</t>
        </is>
      </c>
      <c r="G90" s="9" t="inlineStr">
        <is>
          <t>2nd Annual Research Conference, South Eastern University</t>
        </is>
      </c>
      <c r="H90" s="7" t="inlineStr">
        <is>
          <t>Conference paper</t>
        </is>
      </c>
      <c r="I90" s="7" t="inlineStr">
        <is>
          <t>English</t>
        </is>
      </c>
      <c r="J90" s="9" t="inlineStr">
        <is>
          <t>Archaeology / தொல்லியல்</t>
        </is>
      </c>
      <c r="K90" s="9" t="inlineStr">
        <is>
          <t>ports; archaeology</t>
        </is>
      </c>
      <c r="L90" s="7" t="inlineStr">
        <is>
          <t>Yes</t>
        </is>
      </c>
      <c r="M90" s="9" t="n"/>
      <c r="N90" s="10" t="inlineStr">
        <is>
          <t>https://www.his.jfn.ac.lk/index.php/mrs-s-arulanantham/</t>
        </is>
      </c>
    </row>
    <row r="91">
      <c r="A91" s="11" t="inlineStr">
        <is>
          <t>ALL-0090</t>
        </is>
      </c>
      <c r="B91" s="11" t="inlineStr">
        <is>
          <t>Research Papers</t>
        </is>
      </c>
      <c r="C91" s="12" t="inlineStr">
        <is>
          <t>2011</t>
        </is>
      </c>
      <c r="D91" s="11" t="n"/>
      <c r="E91" s="13" t="inlineStr">
        <is>
          <t>South India-Sri Lanka Political Relations up to the Chola Period</t>
        </is>
      </c>
      <c r="F91" s="13" t="inlineStr">
        <is>
          <t>K. Arunthavarajah</t>
        </is>
      </c>
      <c r="G91" s="13" t="inlineStr">
        <is>
          <t>International Conference, Manonmaniam Sundaranar University</t>
        </is>
      </c>
      <c r="H91" s="11" t="inlineStr">
        <is>
          <t>Conference paper</t>
        </is>
      </c>
      <c r="I91" s="11" t="inlineStr">
        <is>
          <t>Tamil</t>
        </is>
      </c>
      <c r="J91" s="13" t="n"/>
      <c r="K91" s="13" t="inlineStr">
        <is>
          <t>Chola; relations</t>
        </is>
      </c>
      <c r="L91" s="11" t="inlineStr">
        <is>
          <t>Yes</t>
        </is>
      </c>
      <c r="M91" s="13" t="n"/>
      <c r="N91" s="14" t="inlineStr">
        <is>
          <t>https://www.his.jfn.ac.lk/index.php/profkarunthavarajah/</t>
        </is>
      </c>
    </row>
    <row r="92">
      <c r="A92" s="7" t="inlineStr">
        <is>
          <t>ALL-0091</t>
        </is>
      </c>
      <c r="B92" s="7" t="inlineStr">
        <is>
          <t>Research Papers</t>
        </is>
      </c>
      <c r="C92" s="8" t="inlineStr">
        <is>
          <t>2011</t>
        </is>
      </c>
      <c r="D92" s="7" t="n"/>
      <c r="E92" s="9" t="inlineStr">
        <is>
          <t>The Antiquity of Sri Lankan Tamils</t>
        </is>
      </c>
      <c r="F92" s="9" t="inlineStr">
        <is>
          <t>K. Arunthavarajah</t>
        </is>
      </c>
      <c r="G92" s="9" t="inlineStr">
        <is>
          <t>9th World Conference, Thiruvaiyaru</t>
        </is>
      </c>
      <c r="H92" s="7" t="inlineStr">
        <is>
          <t>Conference paper</t>
        </is>
      </c>
      <c r="I92" s="7" t="inlineStr">
        <is>
          <t>Tamil</t>
        </is>
      </c>
      <c r="J92" s="9" t="n"/>
      <c r="K92" s="9" t="inlineStr">
        <is>
          <t>antiquity; Tamils</t>
        </is>
      </c>
      <c r="L92" s="7" t="inlineStr">
        <is>
          <t>Yes</t>
        </is>
      </c>
      <c r="M92" s="9" t="n"/>
      <c r="N92" s="10" t="inlineStr">
        <is>
          <t>https://www.his.jfn.ac.lk/index.php/profkarunthavarajah/</t>
        </is>
      </c>
    </row>
    <row r="93">
      <c r="A93" s="11" t="inlineStr">
        <is>
          <t>ALL-0092</t>
        </is>
      </c>
      <c r="B93" s="11" t="inlineStr">
        <is>
          <t>Research Papers</t>
        </is>
      </c>
      <c r="C93" s="12" t="inlineStr">
        <is>
          <t>2010</t>
        </is>
      </c>
      <c r="D93" s="11" t="n"/>
      <c r="E93" s="13" t="inlineStr">
        <is>
          <t>Chola Military Expeditions on Sri Lanka</t>
        </is>
      </c>
      <c r="F93" s="13" t="inlineStr">
        <is>
          <t>K. Arunthavarajah</t>
        </is>
      </c>
      <c r="G93" s="13" t="inlineStr">
        <is>
          <t>ICHR National Seminar, Madurai</t>
        </is>
      </c>
      <c r="H93" s="11" t="inlineStr">
        <is>
          <t>Conference paper</t>
        </is>
      </c>
      <c r="I93" s="11" t="inlineStr">
        <is>
          <t>English</t>
        </is>
      </c>
      <c r="J93" s="13" t="n"/>
      <c r="K93" s="13" t="inlineStr">
        <is>
          <t>Chola</t>
        </is>
      </c>
      <c r="L93" s="11" t="inlineStr">
        <is>
          <t>Yes</t>
        </is>
      </c>
      <c r="M93" s="13" t="n"/>
      <c r="N93" s="14" t="inlineStr">
        <is>
          <t>https://www.his.jfn.ac.lk/index.php/profkarunthavarajah/</t>
        </is>
      </c>
    </row>
    <row r="94">
      <c r="A94" s="7" t="inlineStr">
        <is>
          <t>ALL-0093</t>
        </is>
      </c>
      <c r="B94" s="7" t="inlineStr">
        <is>
          <t>Research Papers</t>
        </is>
      </c>
      <c r="C94" s="8" t="inlineStr">
        <is>
          <t>2010</t>
        </is>
      </c>
      <c r="D94" s="7" t="n"/>
      <c r="E94" s="9" t="inlineStr">
        <is>
          <t>Nallur Kandasamy Temple as the Symbol of Traditional Tamil Culture - Historical and Archaeological Perspective</t>
        </is>
      </c>
      <c r="F94" s="9" t="inlineStr">
        <is>
          <t>S. Arulanantham</t>
        </is>
      </c>
      <c r="G94" s="9" t="inlineStr">
        <is>
          <t>Varalarulla, Jaffna</t>
        </is>
      </c>
      <c r="H94" s="7" t="inlineStr">
        <is>
          <t>Book chapter</t>
        </is>
      </c>
      <c r="I94" s="7" t="inlineStr">
        <is>
          <t>Tamil</t>
        </is>
      </c>
      <c r="J94" s="9" t="inlineStr">
        <is>
          <t>Archaeology / தொல்லியல்</t>
        </is>
      </c>
      <c r="K94" s="9" t="inlineStr">
        <is>
          <t>archaeology; Nallur</t>
        </is>
      </c>
      <c r="L94" s="7" t="inlineStr">
        <is>
          <t>Yes</t>
        </is>
      </c>
      <c r="M94" s="9" t="n"/>
      <c r="N94" s="10" t="inlineStr">
        <is>
          <t>https://www.his.jfn.ac.lk/index.php/mrs-s-arulanantham/</t>
        </is>
      </c>
    </row>
    <row r="95">
      <c r="A95" s="11" t="inlineStr">
        <is>
          <t>ALL-0094</t>
        </is>
      </c>
      <c r="B95" s="11" t="inlineStr">
        <is>
          <t>Research Papers</t>
        </is>
      </c>
      <c r="C95" s="12" t="inlineStr">
        <is>
          <t>2010</t>
        </is>
      </c>
      <c r="D95" s="11" t="n"/>
      <c r="E95" s="13" t="inlineStr">
        <is>
          <t>Was the German reading of the Tissamaharama Brahmi inscription a scholarly misdirection? (in Sinhala)</t>
        </is>
      </c>
      <c r="F95" s="13" t="inlineStr">
        <is>
          <t>R. Somadeva</t>
        </is>
      </c>
      <c r="G95" s="13" t="inlineStr">
        <is>
          <t>Dinithi, Vol. 1, Part IV, pp. 2-5</t>
        </is>
      </c>
      <c r="H95" s="11" t="inlineStr">
        <is>
          <t>Journal article</t>
        </is>
      </c>
      <c r="I95" s="11" t="inlineStr">
        <is>
          <t>Sinhala</t>
        </is>
      </c>
      <c r="J95" s="13" t="inlineStr">
        <is>
          <t>Inscriptions / கல்வெட்டு; Brahmi / பிராமி</t>
        </is>
      </c>
      <c r="K95" s="13" t="inlineStr">
        <is>
          <t>Tissamaharama; Tamil Brahmi debate</t>
        </is>
      </c>
      <c r="L95" s="11" t="inlineStr">
        <is>
          <t>Yes</t>
        </is>
      </c>
      <c r="M95" s="13" t="inlineStr">
        <is>
          <t>ISSN 2012-7189</t>
        </is>
      </c>
      <c r="N95" s="14" t="inlineStr">
        <is>
          <t>https://www.lankapradeepa.com/2020/04/tamil-inscriptions-in-sri-lanka_16.html</t>
        </is>
      </c>
    </row>
    <row r="96">
      <c r="A96" s="7" t="inlineStr">
        <is>
          <t>ALL-0095</t>
        </is>
      </c>
      <c r="B96" s="7" t="inlineStr">
        <is>
          <t>Research Papers</t>
        </is>
      </c>
      <c r="C96" s="8" t="inlineStr">
        <is>
          <t>2009</t>
        </is>
      </c>
      <c r="D96" s="7" t="n"/>
      <c r="E96" s="9" t="inlineStr">
        <is>
          <t>Nationalism, Historiography and Archaeology in Sri Lanka</t>
        </is>
      </c>
      <c r="F96" s="9" t="inlineStr">
        <is>
          <t>S. Sitrampalam</t>
        </is>
      </c>
      <c r="G96" s="9" t="inlineStr">
        <is>
          <t>Pathways of Dissent: Tamil Nationalism in Sri Lanka</t>
        </is>
      </c>
      <c r="H96" s="7" t="inlineStr">
        <is>
          <t>Book chapter</t>
        </is>
      </c>
      <c r="I96" s="7" t="inlineStr">
        <is>
          <t>English</t>
        </is>
      </c>
      <c r="J96" s="9" t="inlineStr">
        <is>
          <t>Archaeology / தொல்லியல்</t>
        </is>
      </c>
      <c r="K96" s="9" t="inlineStr">
        <is>
          <t>archaeology</t>
        </is>
      </c>
      <c r="L96" s="7" t="inlineStr">
        <is>
          <t>Yes</t>
        </is>
      </c>
      <c r="M96" s="9" t="inlineStr">
        <is>
          <t>Crossref query: Tamil inscription Sri Lanka. Auto-collected 2026-10-14 (crossref); review.</t>
        </is>
      </c>
      <c r="N96" s="10" t="inlineStr">
        <is>
          <t>https://doi.org/10.4135/9788132104322.n1</t>
        </is>
      </c>
    </row>
    <row r="97">
      <c r="A97" s="11" t="inlineStr">
        <is>
          <t>ALL-0096</t>
        </is>
      </c>
      <c r="B97" s="11" t="inlineStr">
        <is>
          <t>Research Papers</t>
        </is>
      </c>
      <c r="C97" s="12" t="inlineStr">
        <is>
          <t>2006</t>
        </is>
      </c>
      <c r="D97" s="11" t="n"/>
      <c r="E97" s="13" t="inlineStr">
        <is>
          <t>Hindu and Buddhist Architecture in Sri Lanka</t>
        </is>
      </c>
      <c r="F97" s="13" t="inlineStr">
        <is>
          <t>S. Pathmanathan</t>
        </is>
      </c>
      <c r="G97" s="13" t="inlineStr">
        <is>
          <t>Sangam: Essays in Honour of Dr R. Krishnamurthy, Chennai</t>
        </is>
      </c>
      <c r="H97" s="11" t="inlineStr">
        <is>
          <t>Book chapter</t>
        </is>
      </c>
      <c r="I97" s="11" t="inlineStr">
        <is>
          <t>English</t>
        </is>
      </c>
      <c r="J97" s="13" t="n"/>
      <c r="K97" s="13" t="inlineStr">
        <is>
          <t>architecture</t>
        </is>
      </c>
      <c r="L97" s="11" t="inlineStr">
        <is>
          <t>Yes</t>
        </is>
      </c>
      <c r="M97" s="13" t="n"/>
      <c r="N97" s="14" t="inlineStr">
        <is>
          <t>https://jfn.ac.lk/prof-s-pathmanathan/</t>
        </is>
      </c>
    </row>
    <row r="98">
      <c r="A98" s="7" t="inlineStr">
        <is>
          <t>ALL-0097</t>
        </is>
      </c>
      <c r="B98" s="7" t="inlineStr">
        <is>
          <t>Research Papers</t>
        </is>
      </c>
      <c r="C98" s="8" t="inlineStr">
        <is>
          <t>2005</t>
        </is>
      </c>
      <c r="D98" s="7" t="n"/>
      <c r="E98" s="9" t="inlineStr">
        <is>
          <t>The Kingdom of Jaffna before the Portuguese Conquest</t>
        </is>
      </c>
      <c r="F98" s="9" t="inlineStr">
        <is>
          <t>S. Pathmanathan</t>
        </is>
      </c>
      <c r="G98" s="9" t="inlineStr">
        <is>
          <t>For Such a Time As This, American Ceylon Mission Press</t>
        </is>
      </c>
      <c r="H98" s="7" t="inlineStr">
        <is>
          <t>Book chapter</t>
        </is>
      </c>
      <c r="I98" s="7" t="inlineStr">
        <is>
          <t>English</t>
        </is>
      </c>
      <c r="J98" s="9" t="n"/>
      <c r="K98" s="9" t="inlineStr">
        <is>
          <t>Jaffna kingdom</t>
        </is>
      </c>
      <c r="L98" s="7" t="inlineStr">
        <is>
          <t>Yes</t>
        </is>
      </c>
      <c r="M98" s="9" t="n"/>
      <c r="N98" s="10" t="inlineStr">
        <is>
          <t>https://jfn.ac.lk/prof-s-pathmanathan/</t>
        </is>
      </c>
    </row>
    <row r="99">
      <c r="A99" s="11" t="inlineStr">
        <is>
          <t>ALL-0098</t>
        </is>
      </c>
      <c r="B99" s="11" t="inlineStr">
        <is>
          <t>Research Papers</t>
        </is>
      </c>
      <c r="C99" s="12" t="inlineStr">
        <is>
          <t>2004</t>
        </is>
      </c>
      <c r="D99" s="11" t="n"/>
      <c r="E99" s="13" t="inlineStr">
        <is>
          <t>New Light on the Decline of Polonnaruwa (1196-1215): The Tamil Pillar Inscription from Rankot Vihara</t>
        </is>
      </c>
      <c r="F99" s="13" t="inlineStr">
        <is>
          <t>S. Pathmanathan</t>
        </is>
      </c>
      <c r="G99" s="13" t="inlineStr">
        <is>
          <t>Proceedings of the Peradeniya University Research Sessions, Vol. 9, p. 31</t>
        </is>
      </c>
      <c r="H99" s="11" t="inlineStr">
        <is>
          <t>Journal article</t>
        </is>
      </c>
      <c r="I99" s="11" t="inlineStr">
        <is>
          <t>English</t>
        </is>
      </c>
      <c r="J99" s="13" t="inlineStr">
        <is>
          <t>Inscriptions / கல்வெட்டு</t>
        </is>
      </c>
      <c r="K99" s="13" t="inlineStr">
        <is>
          <t>கல்வெட்டு; Rankot Vihara; Polonnaruwa</t>
        </is>
      </c>
      <c r="L99" s="11" t="inlineStr">
        <is>
          <t>Yes</t>
        </is>
      </c>
      <c r="M99" s="13" t="inlineStr">
        <is>
          <t>Cited in Lanka Pradeepa list</t>
        </is>
      </c>
      <c r="N99" s="14" t="inlineStr">
        <is>
          <t>https://www.lankapradeepa.com/2020/04/tamil-inscriptions-in-sri-lanka_16.html</t>
        </is>
      </c>
    </row>
    <row r="100">
      <c r="A100" s="7" t="inlineStr">
        <is>
          <t>ALL-0099</t>
        </is>
      </c>
      <c r="B100" s="7" t="inlineStr">
        <is>
          <t>Research Papers</t>
        </is>
      </c>
      <c r="C100" s="8" t="inlineStr">
        <is>
          <t>2003</t>
        </is>
      </c>
      <c r="D100" s="7" t="n"/>
      <c r="E100" s="9" t="inlineStr">
        <is>
          <t>Hindu Bronzes of the Polonnaruva Period</t>
        </is>
      </c>
      <c r="F100" s="9" t="inlineStr">
        <is>
          <t>S. Pathmanathan</t>
        </is>
      </c>
      <c r="G100" s="9" t="inlineStr">
        <is>
          <t>2nd World Hindu Conference Souvenir</t>
        </is>
      </c>
      <c r="H100" s="7" t="inlineStr">
        <is>
          <t>Book chapter</t>
        </is>
      </c>
      <c r="I100" s="7" t="inlineStr">
        <is>
          <t>English</t>
        </is>
      </c>
      <c r="J100" s="9" t="n"/>
      <c r="K100" s="9" t="inlineStr">
        <is>
          <t>bronzes; Polonnaruwa</t>
        </is>
      </c>
      <c r="L100" s="7" t="inlineStr">
        <is>
          <t>Yes</t>
        </is>
      </c>
      <c r="M100" s="9" t="n"/>
      <c r="N100" s="10" t="inlineStr">
        <is>
          <t>https://jfn.ac.lk/prof-s-pathmanathan/</t>
        </is>
      </c>
    </row>
    <row r="101">
      <c r="A101" s="11" t="inlineStr">
        <is>
          <t>ALL-0100</t>
        </is>
      </c>
      <c r="B101" s="11" t="inlineStr">
        <is>
          <t>Research Papers</t>
        </is>
      </c>
      <c r="C101" s="12" t="inlineStr">
        <is>
          <t>2003</t>
        </is>
      </c>
      <c r="D101" s="11" t="n"/>
      <c r="E101" s="13" t="inlineStr">
        <is>
          <t>Some Bronzes from the Jetavanarama Site</t>
        </is>
      </c>
      <c r="F101" s="13" t="inlineStr">
        <is>
          <t>S. Pathmanathan</t>
        </is>
      </c>
      <c r="G101" s="13" t="inlineStr">
        <is>
          <t>Glimpses of Hindu Heritage</t>
        </is>
      </c>
      <c r="H101" s="11" t="inlineStr">
        <is>
          <t>Book chapter</t>
        </is>
      </c>
      <c r="I101" s="11" t="inlineStr">
        <is>
          <t>English</t>
        </is>
      </c>
      <c r="J101" s="13" t="inlineStr">
        <is>
          <t>Archaeology / தொல்லியல்</t>
        </is>
      </c>
      <c r="K101" s="13" t="inlineStr">
        <is>
          <t>bronzes; archaeology</t>
        </is>
      </c>
      <c r="L101" s="11" t="inlineStr">
        <is>
          <t>Yes</t>
        </is>
      </c>
      <c r="M101" s="13" t="n"/>
      <c r="N101" s="14" t="inlineStr">
        <is>
          <t>https://jfn.ac.lk/prof-s-pathmanathan/</t>
        </is>
      </c>
    </row>
    <row r="102">
      <c r="A102" s="7" t="inlineStr">
        <is>
          <t>ALL-0101</t>
        </is>
      </c>
      <c r="B102" s="7" t="inlineStr">
        <is>
          <t>Research Papers</t>
        </is>
      </c>
      <c r="C102" s="8" t="inlineStr">
        <is>
          <t>2002</t>
        </is>
      </c>
      <c r="D102" s="7" t="n"/>
      <c r="E102" s="9" t="inlineStr">
        <is>
          <t>Buddhism in Nakapattinam (and related inscription studies)</t>
        </is>
      </c>
      <c r="F102" s="9" t="inlineStr">
        <is>
          <t>S. Pathmanathan</t>
        </is>
      </c>
      <c r="G102" s="9" t="inlineStr">
        <is>
          <t>Buddhism among Tamils in Pre-Colonial Tamilakam and Ilam, Uppsala</t>
        </is>
      </c>
      <c r="H102" s="7" t="inlineStr">
        <is>
          <t>Book chapter</t>
        </is>
      </c>
      <c r="I102" s="7" t="inlineStr">
        <is>
          <t>English</t>
        </is>
      </c>
      <c r="J102" s="9" t="inlineStr">
        <is>
          <t>Inscriptions / கல்வெட்டு</t>
        </is>
      </c>
      <c r="K102" s="9" t="inlineStr">
        <is>
          <t>Buddhism; inscriptions</t>
        </is>
      </c>
      <c r="L102" s="7" t="inlineStr">
        <is>
          <t>Yes</t>
        </is>
      </c>
      <c r="M102" s="9" t="n"/>
      <c r="N102" s="10" t="inlineStr">
        <is>
          <t>https://jfn.ac.lk/prof-s-pathmanathan/</t>
        </is>
      </c>
    </row>
    <row r="103">
      <c r="A103" s="11" t="inlineStr">
        <is>
          <t>ALL-0102</t>
        </is>
      </c>
      <c r="B103" s="11" t="inlineStr">
        <is>
          <t>Research Papers</t>
        </is>
      </c>
      <c r="C103" s="12" t="inlineStr">
        <is>
          <t>2002</t>
        </is>
      </c>
      <c r="D103" s="11" t="n"/>
      <c r="E103" s="13" t="inlineStr">
        <is>
          <t>The Lankatilaka Temple: Inscriptions of a Merchant Community</t>
        </is>
      </c>
      <c r="F103" s="13" t="inlineStr">
        <is>
          <t>S. Pathmanathan</t>
        </is>
      </c>
      <c r="G103" s="13" t="inlineStr">
        <is>
          <t>Taisho University Project Report (ed. N. Karashima)</t>
        </is>
      </c>
      <c r="H103" s="11" t="inlineStr">
        <is>
          <t>Book chapter</t>
        </is>
      </c>
      <c r="I103" s="11" t="inlineStr">
        <is>
          <t>English</t>
        </is>
      </c>
      <c r="J103" s="13" t="inlineStr">
        <is>
          <t>Inscriptions / கல்வெட்டு</t>
        </is>
      </c>
      <c r="K103" s="13" t="inlineStr">
        <is>
          <t>inscriptions; merchant community</t>
        </is>
      </c>
      <c r="L103" s="11" t="inlineStr">
        <is>
          <t>Yes</t>
        </is>
      </c>
      <c r="M103" s="13" t="n"/>
      <c r="N103" s="14" t="inlineStr">
        <is>
          <t>https://jfn.ac.lk/prof-s-pathmanathan/</t>
        </is>
      </c>
    </row>
    <row r="104">
      <c r="A104" s="7" t="inlineStr">
        <is>
          <t>ALL-0103</t>
        </is>
      </c>
      <c r="B104" s="7" t="inlineStr">
        <is>
          <t>Research Papers</t>
        </is>
      </c>
      <c r="C104" s="8" t="inlineStr">
        <is>
          <t>2000</t>
        </is>
      </c>
      <c r="D104" s="7" t="n"/>
      <c r="E104" s="9" t="inlineStr">
        <is>
          <t>The Nakaram of the Nanadesis: The Tanmacakarappattinam at Viharehinna</t>
        </is>
      </c>
      <c r="F104" s="9" t="inlineStr">
        <is>
          <t>S. Pathmanathan</t>
        </is>
      </c>
      <c r="G104" s="9" t="inlineStr">
        <is>
          <t>Sri Lanka Journal of the Humanities, Vols. XXIV-XXV (1998-99)</t>
        </is>
      </c>
      <c r="H104" s="7" t="inlineStr">
        <is>
          <t>Journal article</t>
        </is>
      </c>
      <c r="I104" s="7" t="inlineStr">
        <is>
          <t>English</t>
        </is>
      </c>
      <c r="J104" s="9" t="inlineStr">
        <is>
          <t>Inscriptions / கல்வெட்டு</t>
        </is>
      </c>
      <c r="K104" s="9" t="inlineStr">
        <is>
          <t>merchant guild; inscription; Nanadesi</t>
        </is>
      </c>
      <c r="L104" s="7" t="inlineStr">
        <is>
          <t>Yes</t>
        </is>
      </c>
      <c r="M104" s="9" t="n"/>
      <c r="N104" s="10" t="inlineStr">
        <is>
          <t>https://jfn.ac.lk/prof-s-pathmanathan/</t>
        </is>
      </c>
    </row>
    <row r="105">
      <c r="A105" s="11" t="inlineStr">
        <is>
          <t>ALL-0104</t>
        </is>
      </c>
      <c r="B105" s="11" t="inlineStr">
        <is>
          <t>Research Papers</t>
        </is>
      </c>
      <c r="C105" s="12" t="inlineStr">
        <is>
          <t>2000</t>
        </is>
      </c>
      <c r="D105" s="11" t="n"/>
      <c r="E105" s="13" t="inlineStr">
        <is>
          <t>Trade and Urbanization in Medieval Sri Lanka</t>
        </is>
      </c>
      <c r="F105" s="13" t="inlineStr">
        <is>
          <t>S. Pathmanathan</t>
        </is>
      </c>
      <c r="G105" s="13" t="inlineStr">
        <is>
          <t>Reflections on a Heritage, Central Cultural Fund</t>
        </is>
      </c>
      <c r="H105" s="11" t="inlineStr">
        <is>
          <t>Book chapter</t>
        </is>
      </c>
      <c r="I105" s="11" t="inlineStr">
        <is>
          <t>English</t>
        </is>
      </c>
      <c r="J105" s="13" t="inlineStr">
        <is>
          <t>Inscriptions / கல்வெட்டு</t>
        </is>
      </c>
      <c r="K105" s="13" t="inlineStr">
        <is>
          <t>trade; inscriptions</t>
        </is>
      </c>
      <c r="L105" s="11" t="inlineStr">
        <is>
          <t>Yes</t>
        </is>
      </c>
      <c r="M105" s="13" t="n"/>
      <c r="N105" s="14" t="inlineStr">
        <is>
          <t>https://jfn.ac.lk/prof-s-pathmanathan/</t>
        </is>
      </c>
    </row>
    <row r="106">
      <c r="A106" s="7" t="inlineStr">
        <is>
          <t>ALL-0105</t>
        </is>
      </c>
      <c r="B106" s="7" t="inlineStr">
        <is>
          <t>Research Papers</t>
        </is>
      </c>
      <c r="C106" s="8" t="inlineStr">
        <is>
          <t>1998</t>
        </is>
      </c>
      <c r="D106" s="7" t="n"/>
      <c r="E106" s="9" t="inlineStr">
        <is>
          <t>The Annaikoddai Seal: Beyond the Homelands Approach (in Sinhala)</t>
        </is>
      </c>
      <c r="F106" s="9" t="inlineStr">
        <is>
          <t>R. Somadeva</t>
        </is>
      </c>
      <c r="G106" s="9" t="inlineStr">
        <is>
          <t>In P. Gunawardhana et al. (eds.), Sarasavi, pp. 39-49</t>
        </is>
      </c>
      <c r="H106" s="7" t="inlineStr">
        <is>
          <t>Book chapter</t>
        </is>
      </c>
      <c r="I106" s="7" t="inlineStr">
        <is>
          <t>Sinhala</t>
        </is>
      </c>
      <c r="J106" s="9" t="inlineStr">
        <is>
          <t>Inscriptions / கல்வெட்டு; Brahmi / பிராமி</t>
        </is>
      </c>
      <c r="K106" s="9" t="inlineStr">
        <is>
          <t>Anaikoddai seal; Tamil Brahmi</t>
        </is>
      </c>
      <c r="L106" s="7" t="inlineStr">
        <is>
          <t>Yes</t>
        </is>
      </c>
      <c r="M106" s="9" t="inlineStr">
        <is>
          <t>ISBN 955-96402-0-3</t>
        </is>
      </c>
      <c r="N106" s="10" t="inlineStr">
        <is>
          <t>https://www.lankapradeepa.com/2020/04/tamil-inscriptions-in-sri-lanka_16.html</t>
        </is>
      </c>
    </row>
    <row r="107">
      <c r="A107" s="11" t="inlineStr">
        <is>
          <t>ALL-0106</t>
        </is>
      </c>
      <c r="B107" s="11" t="inlineStr">
        <is>
          <t>Research Papers</t>
        </is>
      </c>
      <c r="C107" s="12" t="inlineStr">
        <is>
          <t>1997</t>
        </is>
      </c>
      <c r="D107" s="11" t="n"/>
      <c r="E107" s="13" t="inlineStr">
        <is>
          <t>The Akkacalaip-perumpalli at Nakapattinam</t>
        </is>
      </c>
      <c r="F107" s="13" t="inlineStr">
        <is>
          <t>S. Pathmanathan</t>
        </is>
      </c>
      <c r="G107" s="13" t="inlineStr">
        <is>
          <t>Sri Lanka Journal of the Humanities, Vol. XXIII</t>
        </is>
      </c>
      <c r="H107" s="11" t="inlineStr">
        <is>
          <t>Journal article</t>
        </is>
      </c>
      <c r="I107" s="11" t="inlineStr">
        <is>
          <t>English</t>
        </is>
      </c>
      <c r="J107" s="13" t="inlineStr">
        <is>
          <t>Inscriptions / கல்வெட்டு</t>
        </is>
      </c>
      <c r="K107" s="13" t="inlineStr">
        <is>
          <t>inscriptions; Buddhism; Tamil</t>
        </is>
      </c>
      <c r="L107" s="11" t="inlineStr">
        <is>
          <t>Yes</t>
        </is>
      </c>
      <c r="M107" s="13" t="n"/>
      <c r="N107" s="14" t="inlineStr">
        <is>
          <t>https://jfn.ac.lk/prof-s-pathmanathan/</t>
        </is>
      </c>
    </row>
    <row r="108">
      <c r="A108" s="7" t="inlineStr">
        <is>
          <t>ALL-0107</t>
        </is>
      </c>
      <c r="B108" s="7" t="inlineStr">
        <is>
          <t>Research Papers</t>
        </is>
      </c>
      <c r="C108" s="8" t="inlineStr">
        <is>
          <t>1995</t>
        </is>
      </c>
      <c r="D108" s="7" t="n"/>
      <c r="E108" s="9" t="inlineStr">
        <is>
          <t>The Tamil Pillar Inscription from Mankanay</t>
        </is>
      </c>
      <c r="F108" s="9" t="inlineStr">
        <is>
          <t>S. Pathmanathan</t>
        </is>
      </c>
      <c r="G108" s="9" t="inlineStr">
        <is>
          <t>The Sri Lanka Journal of the Humanities, Vol. 21, No. 1-2, pp. 31-41 (University of Peradeniya)</t>
        </is>
      </c>
      <c r="H108" s="7" t="inlineStr">
        <is>
          <t>Journal article</t>
        </is>
      </c>
      <c r="I108" s="7" t="inlineStr">
        <is>
          <t>English</t>
        </is>
      </c>
      <c r="J108" s="9" t="inlineStr">
        <is>
          <t>Inscriptions / கல்வெட்டு</t>
        </is>
      </c>
      <c r="K108" s="9" t="inlineStr">
        <is>
          <t>pillar inscription; Mankanay</t>
        </is>
      </c>
      <c r="L108" s="7" t="inlineStr">
        <is>
          <t>No (earlier reference)</t>
        </is>
      </c>
      <c r="M108" s="9" t="inlineStr">
        <is>
          <t>Just before 30-yr window; kept</t>
        </is>
      </c>
      <c r="N108" s="10" t="inlineStr">
        <is>
          <t>https://ir.lib.pdn.ac.lk/handle/20.500.14444/3809</t>
        </is>
      </c>
    </row>
    <row r="109">
      <c r="A109" s="11" t="inlineStr">
        <is>
          <t>ALL-0108</t>
        </is>
      </c>
      <c r="B109" s="11" t="inlineStr">
        <is>
          <t>Research Papers</t>
        </is>
      </c>
      <c r="C109" s="12" t="inlineStr">
        <is>
          <t>1994</t>
        </is>
      </c>
      <c r="D109" s="11" t="n"/>
      <c r="E109" s="13" t="inlineStr">
        <is>
          <t>The Tamil Slab Inscription of the Virakkoti at Budumuttawa, Nikaweratiya</t>
        </is>
      </c>
      <c r="F109" s="13" t="inlineStr">
        <is>
          <t>S. Pathmanathan</t>
        </is>
      </c>
      <c r="G109" s="13" t="inlineStr">
        <is>
          <t>Urbanization at Magala, pp. 15-30</t>
        </is>
      </c>
      <c r="H109" s="11" t="inlineStr">
        <is>
          <t>Book chapter</t>
        </is>
      </c>
      <c r="I109" s="11" t="inlineStr">
        <is>
          <t>English</t>
        </is>
      </c>
      <c r="J109" s="13" t="inlineStr">
        <is>
          <t>Inscriptions / கல்வெட்டு</t>
        </is>
      </c>
      <c r="K109" s="13" t="inlineStr">
        <is>
          <t>கல்வெட்டு; merchant guild</t>
        </is>
      </c>
      <c r="L109" s="11" t="inlineStr">
        <is>
          <t>No (earlier reference)</t>
        </is>
      </c>
      <c r="M109" s="13" t="inlineStr">
        <is>
          <t>Year from Lanka Pradeepa list</t>
        </is>
      </c>
      <c r="N109" s="14" t="inlineStr">
        <is>
          <t>https://ir.lib.pdn.ac.lk/items/583155fd-b49e-4398-8b04-51776c4dbf8f/full</t>
        </is>
      </c>
    </row>
    <row r="110">
      <c r="A110" s="7" t="inlineStr">
        <is>
          <t>ALL-0109</t>
        </is>
      </c>
      <c r="B110" s="7" t="inlineStr">
        <is>
          <t>Research Papers</t>
        </is>
      </c>
      <c r="C110" s="8" t="inlineStr">
        <is>
          <t>1991</t>
        </is>
      </c>
      <c r="D110" s="7" t="n"/>
      <c r="E110" s="9" t="inlineStr">
        <is>
          <t>Inscription No. 2 from Fort Hammenhiel, Kayts</t>
        </is>
      </c>
      <c r="F110" s="9" t="inlineStr">
        <is>
          <t>K. Indrapala</t>
        </is>
      </c>
      <c r="G110" s="9" t="inlineStr">
        <is>
          <t>Epigraphia Zeylanica, Vol. VI, Part II, pp. 154-160</t>
        </is>
      </c>
      <c r="H110" s="7" t="inlineStr">
        <is>
          <t>Journal article</t>
        </is>
      </c>
      <c r="I110" s="7" t="inlineStr">
        <is>
          <t>English</t>
        </is>
      </c>
      <c r="J110" s="9" t="inlineStr">
        <is>
          <t>Inscriptions / கல்வெட்டு</t>
        </is>
      </c>
      <c r="K110" s="9" t="inlineStr">
        <is>
          <t>கல்வெட்டு; Kayts</t>
        </is>
      </c>
      <c r="L110" s="7" t="inlineStr">
        <is>
          <t>No (earlier reference)</t>
        </is>
      </c>
      <c r="M110" s="9" t="inlineStr">
        <is>
          <t>Pre-1996 reference</t>
        </is>
      </c>
      <c r="N110" s="10" t="inlineStr">
        <is>
          <t>https://www.lankapradeepa.com/2020/04/tamil-inscriptions-in-sri-lanka_16.html</t>
        </is>
      </c>
    </row>
    <row r="111">
      <c r="A111" s="11" t="inlineStr">
        <is>
          <t>ALL-0110</t>
        </is>
      </c>
      <c r="B111" s="11" t="inlineStr">
        <is>
          <t>Research Papers</t>
        </is>
      </c>
      <c r="C111" s="12" t="inlineStr">
        <is>
          <t>1990</t>
        </is>
      </c>
      <c r="D111" s="11" t="n"/>
      <c r="E111" s="13" t="inlineStr">
        <is>
          <t>The Bronze Seal of the Nanadesis from Hambantota</t>
        </is>
      </c>
      <c r="F111" s="13" t="inlineStr">
        <is>
          <t>S. Pathmanathan</t>
        </is>
      </c>
      <c r="G111" s="13" t="inlineStr">
        <is>
          <t>Asian Panorama, Satguru Publications</t>
        </is>
      </c>
      <c r="H111" s="11" t="inlineStr">
        <is>
          <t>Book chapter</t>
        </is>
      </c>
      <c r="I111" s="11" t="inlineStr">
        <is>
          <t>English</t>
        </is>
      </c>
      <c r="J111" s="13" t="inlineStr">
        <is>
          <t>Inscriptions / கல்வெட்டு</t>
        </is>
      </c>
      <c r="K111" s="13" t="inlineStr">
        <is>
          <t>seal; merchant guild</t>
        </is>
      </c>
      <c r="L111" s="11" t="inlineStr">
        <is>
          <t>No (earlier reference)</t>
        </is>
      </c>
      <c r="M111" s="13" t="inlineStr">
        <is>
          <t>Pre-1996 reference</t>
        </is>
      </c>
      <c r="N111" s="14" t="inlineStr">
        <is>
          <t>https://jfn.ac.lk/prof-s-pathmanathan/</t>
        </is>
      </c>
    </row>
    <row r="112">
      <c r="A112" s="7" t="inlineStr">
        <is>
          <t>ALL-0111</t>
        </is>
      </c>
      <c r="B112" s="7" t="inlineStr">
        <is>
          <t>Research Papers</t>
        </is>
      </c>
      <c r="C112" s="8" t="inlineStr">
        <is>
          <t>1975</t>
        </is>
      </c>
      <c r="D112" s="7" t="n"/>
      <c r="E112" s="9" t="inlineStr">
        <is>
          <t>A Tamil Slab Inscription at Nilaveli</t>
        </is>
      </c>
      <c r="F112" s="9" t="inlineStr">
        <is>
          <t>S. Gunasingam</t>
        </is>
      </c>
      <c r="G112" s="9" t="inlineStr">
        <is>
          <t>The Ceylon Journal of the Humanities, pp. 61-71</t>
        </is>
      </c>
      <c r="H112" s="7" t="inlineStr">
        <is>
          <t>Journal article</t>
        </is>
      </c>
      <c r="I112" s="7" t="inlineStr">
        <is>
          <t>English</t>
        </is>
      </c>
      <c r="J112" s="9" t="inlineStr">
        <is>
          <t>Inscriptions / கல்வெட்டு</t>
        </is>
      </c>
      <c r="K112" s="9" t="inlineStr">
        <is>
          <t>கல்வெட்டு; Nilaveli</t>
        </is>
      </c>
      <c r="L112" s="7" t="inlineStr">
        <is>
          <t>No (earlier reference)</t>
        </is>
      </c>
      <c r="M112" s="9" t="inlineStr">
        <is>
          <t>Pre-1996 reference</t>
        </is>
      </c>
      <c r="N112" s="10" t="inlineStr">
        <is>
          <t>https://www.lankapradeepa.com/2020/04/tamil-inscriptions-in-sri-lanka_16.html</t>
        </is>
      </c>
    </row>
    <row r="113">
      <c r="A113" s="11" t="inlineStr">
        <is>
          <t>ALL-0112</t>
        </is>
      </c>
      <c r="B113" s="11" t="inlineStr">
        <is>
          <t>Research Papers</t>
        </is>
      </c>
      <c r="C113" s="12" t="inlineStr">
        <is>
          <t>1975</t>
        </is>
      </c>
      <c r="D113" s="11" t="n"/>
      <c r="E113" s="13" t="inlineStr">
        <is>
          <t>The Munnesvaram Inscription of Parakramabahu VI</t>
        </is>
      </c>
      <c r="F113" s="13" t="inlineStr">
        <is>
          <t>S. Pathmanathan</t>
        </is>
      </c>
      <c r="G113" s="13" t="inlineStr">
        <is>
          <t>JRAS Ceylon Branch, Vol. XVIII</t>
        </is>
      </c>
      <c r="H113" s="11" t="inlineStr">
        <is>
          <t>Journal article</t>
        </is>
      </c>
      <c r="I113" s="11" t="inlineStr">
        <is>
          <t>English</t>
        </is>
      </c>
      <c r="J113" s="13" t="inlineStr">
        <is>
          <t>Inscriptions / கல்வெட்டு</t>
        </is>
      </c>
      <c r="K113" s="13" t="inlineStr">
        <is>
          <t>கல்வெட்டு; Munneswaram</t>
        </is>
      </c>
      <c r="L113" s="11" t="inlineStr">
        <is>
          <t>No (earlier reference)</t>
        </is>
      </c>
      <c r="M113" s="13" t="inlineStr">
        <is>
          <t>Pre-1996 reference</t>
        </is>
      </c>
      <c r="N113" s="14" t="inlineStr">
        <is>
          <t>https://jfn.ac.lk/prof-s-pathmanathan/</t>
        </is>
      </c>
    </row>
    <row r="114">
      <c r="A114" s="7" t="inlineStr">
        <is>
          <t>ALL-0113</t>
        </is>
      </c>
      <c r="B114" s="7" t="inlineStr">
        <is>
          <t>Research Papers</t>
        </is>
      </c>
      <c r="C114" s="8" t="inlineStr">
        <is>
          <t>1963</t>
        </is>
      </c>
      <c r="D114" s="7" t="n"/>
      <c r="E114" s="9" t="inlineStr">
        <is>
          <t>The Nainativu Tamil Inscription of Parakramabahu I</t>
        </is>
      </c>
      <c r="F114" s="9" t="inlineStr">
        <is>
          <t>K. Indrapala</t>
        </is>
      </c>
      <c r="G114" s="9" t="inlineStr">
        <is>
          <t>University of Ceylon Review, Vol. XXI, No. 1, pp. 63-70</t>
        </is>
      </c>
      <c r="H114" s="7" t="inlineStr">
        <is>
          <t>Journal article</t>
        </is>
      </c>
      <c r="I114" s="7" t="inlineStr">
        <is>
          <t>English</t>
        </is>
      </c>
      <c r="J114" s="9" t="inlineStr">
        <is>
          <t>Inscriptions / கல்வெட்டு</t>
        </is>
      </c>
      <c r="K114" s="9" t="inlineStr">
        <is>
          <t>கல்வெட்டு; Nainativu</t>
        </is>
      </c>
      <c r="L114" s="7" t="inlineStr">
        <is>
          <t>No (earlier reference)</t>
        </is>
      </c>
      <c r="M114" s="9" t="inlineStr">
        <is>
          <t>Pre-1996 reference</t>
        </is>
      </c>
      <c r="N114" s="10" t="inlineStr">
        <is>
          <t>https://siddham.network/tag/kayts/</t>
        </is>
      </c>
    </row>
    <row r="115">
      <c r="A115" s="11" t="inlineStr">
        <is>
          <t>ALL-0114</t>
        </is>
      </c>
      <c r="B115" s="11" t="inlineStr">
        <is>
          <t>Research Papers</t>
        </is>
      </c>
      <c r="C115" s="12" t="n"/>
      <c r="D115" s="11" t="n"/>
      <c r="E115" s="13" t="inlineStr">
        <is>
          <t>An Archaeological Study of Prehistoric Paintings Found in Veherayaya</t>
        </is>
      </c>
      <c r="F115" s="13" t="n"/>
      <c r="G115" s="13" t="inlineStr">
        <is>
          <t>University of Peradeniya repository</t>
        </is>
      </c>
      <c r="H115" s="11" t="inlineStr">
        <is>
          <t>Journal article</t>
        </is>
      </c>
      <c r="I115" s="11" t="inlineStr">
        <is>
          <t>English</t>
        </is>
      </c>
      <c r="J115" s="13" t="inlineStr">
        <is>
          <t>Archaeology / தொல்லியல்; Rock art / பாறை ஓவியம்</t>
        </is>
      </c>
      <c r="K115" s="13" t="inlineStr">
        <is>
          <t>rock paintings; பாறை ஓவியம்; prehistoric</t>
        </is>
      </c>
      <c r="L115" s="11" t="inlineStr">
        <is>
          <t>Unknown</t>
        </is>
      </c>
      <c r="M115" s="13" t="inlineStr">
        <is>
          <t>Year/author to verify</t>
        </is>
      </c>
      <c r="N115" s="14" t="inlineStr">
        <is>
          <t>https://ir.lib.pdn.ac.lk/handle/20.500.14444/5038</t>
        </is>
      </c>
    </row>
    <row r="116">
      <c r="A116" s="7" t="inlineStr">
        <is>
          <t>ALL-0115</t>
        </is>
      </c>
      <c r="B116" s="7" t="inlineStr">
        <is>
          <t>Research Papers</t>
        </is>
      </c>
      <c r="C116" s="8" t="n"/>
      <c r="D116" s="7" t="n"/>
      <c r="E116" s="9" t="inlineStr">
        <is>
          <t>Annaikottai Seal: Is it Tamil Brahmi?</t>
        </is>
      </c>
      <c r="F116" s="9" t="n"/>
      <c r="G116" s="9" t="inlineStr">
        <is>
          <t>Academia.edu</t>
        </is>
      </c>
      <c r="H116" s="7" t="inlineStr">
        <is>
          <t>Article</t>
        </is>
      </c>
      <c r="I116" s="7" t="inlineStr">
        <is>
          <t>English</t>
        </is>
      </c>
      <c r="J116" s="9" t="inlineStr">
        <is>
          <t>Inscriptions / கல்வெட்டு; Brahmi / பிராமி</t>
        </is>
      </c>
      <c r="K116" s="9" t="inlineStr">
        <is>
          <t>Anaikoddai seal; Tamil Brahmi</t>
        </is>
      </c>
      <c r="L116" s="7" t="inlineStr">
        <is>
          <t>Unknown</t>
        </is>
      </c>
      <c r="M116" s="9" t="n"/>
      <c r="N116" s="10" t="inlineStr">
        <is>
          <t>https://www.academia.edu/44307643/Annaikottai_Seal_Is_it_Tamil_Brahmi</t>
        </is>
      </c>
    </row>
    <row r="117">
      <c r="A117" s="11" t="inlineStr">
        <is>
          <t>ALL-0116</t>
        </is>
      </c>
      <c r="B117" s="11" t="inlineStr">
        <is>
          <t>Research Papers</t>
        </is>
      </c>
      <c r="C117" s="12" t="n"/>
      <c r="D117" s="11" t="n"/>
      <c r="E117" s="13" t="inlineStr">
        <is>
          <t>Dr. Siran Deraniyagala: The Archaeologist who Connected North and South Sri Lanka</t>
        </is>
      </c>
      <c r="F117" s="13" t="n"/>
      <c r="G117" s="13" t="inlineStr">
        <is>
          <t>Mount Royal University journal (ANLK)</t>
        </is>
      </c>
      <c r="H117" s="11" t="inlineStr">
        <is>
          <t>Article</t>
        </is>
      </c>
      <c r="I117" s="11" t="inlineStr">
        <is>
          <t>English</t>
        </is>
      </c>
      <c r="J117" s="13" t="inlineStr">
        <is>
          <t>Archaeology / தொல்லியல்</t>
        </is>
      </c>
      <c r="K117" s="13" t="inlineStr">
        <is>
          <t>archaeology; Jaffna</t>
        </is>
      </c>
      <c r="L117" s="11" t="inlineStr">
        <is>
          <t>Unknown</t>
        </is>
      </c>
      <c r="M117" s="13" t="n"/>
      <c r="N117" s="14" t="inlineStr">
        <is>
          <t>https://mrujs.mtroyal.ca/index.php/anlk/article/view/634</t>
        </is>
      </c>
    </row>
    <row r="118">
      <c r="A118" s="7" t="inlineStr">
        <is>
          <t>ALL-0117</t>
        </is>
      </c>
      <c r="B118" s="7" t="inlineStr">
        <is>
          <t>Research Papers</t>
        </is>
      </c>
      <c r="C118" s="8" t="n"/>
      <c r="D118" s="7" t="n"/>
      <c r="E118" s="9" t="inlineStr">
        <is>
          <t>Hero stones (nadukal) study</t>
        </is>
      </c>
      <c r="F118" s="9" t="n"/>
      <c r="G118" s="9" t="inlineStr">
        <is>
          <t>International Research Journal of Tamil (IRJT)</t>
        </is>
      </c>
      <c r="H118" s="7" t="inlineStr">
        <is>
          <t>Journal article</t>
        </is>
      </c>
      <c r="I118" s="7" t="inlineStr">
        <is>
          <t>Tamil</t>
        </is>
      </c>
      <c r="J118" s="9" t="inlineStr">
        <is>
          <t>Hero stones / நடுகல்</t>
        </is>
      </c>
      <c r="K118" s="9" t="inlineStr">
        <is>
          <t>நடுகல்; hero stone</t>
        </is>
      </c>
      <c r="L118" s="7" t="inlineStr">
        <is>
          <t>Unknown</t>
        </is>
      </c>
      <c r="M118" s="9" t="inlineStr">
        <is>
          <t>Title/year to verify</t>
        </is>
      </c>
      <c r="N118" s="10" t="inlineStr">
        <is>
          <t>https://irjt.iorpress.org/index.php/irjt/article/download/2607/2111/4821</t>
        </is>
      </c>
    </row>
    <row r="119">
      <c r="A119" s="11" t="inlineStr">
        <is>
          <t>ALL-0118</t>
        </is>
      </c>
      <c r="B119" s="11" t="inlineStr">
        <is>
          <t>Research Papers</t>
        </is>
      </c>
      <c r="C119" s="12" t="n"/>
      <c r="D119" s="11" t="n"/>
      <c r="E119" s="13" t="inlineStr">
        <is>
          <t>Highlights of Archaeological Studies in Jaffna Peninsula since 2010</t>
        </is>
      </c>
      <c r="F119" s="13" t="inlineStr">
        <is>
          <t>P. Pushparatnam</t>
        </is>
      </c>
      <c r="G119" s="13" t="inlineStr">
        <is>
          <t>University of Jaffna repository</t>
        </is>
      </c>
      <c r="H119" s="11" t="inlineStr">
        <is>
          <t>Article</t>
        </is>
      </c>
      <c r="I119" s="11" t="inlineStr">
        <is>
          <t>English</t>
        </is>
      </c>
      <c r="J119" s="13" t="inlineStr">
        <is>
          <t>Archaeology / தொல்லியல்</t>
        </is>
      </c>
      <c r="K119" s="13" t="inlineStr">
        <is>
          <t>archaeology; Jaffna</t>
        </is>
      </c>
      <c r="L119" s="11" t="inlineStr">
        <is>
          <t>Unknown</t>
        </is>
      </c>
      <c r="M119" s="13" t="inlineStr">
        <is>
          <t>Year to verify</t>
        </is>
      </c>
      <c r="N119" s="14" t="inlineStr">
        <is>
          <t>https://rer.jfn.ac.lk/items/69679e68-fe61-4cd9-a9de-ccff08422aac/full</t>
        </is>
      </c>
    </row>
    <row r="120">
      <c r="A120" s="7" t="inlineStr">
        <is>
          <t>ALL-0119</t>
        </is>
      </c>
      <c r="B120" s="7" t="inlineStr">
        <is>
          <t>Research Papers</t>
        </is>
      </c>
      <c r="C120" s="8" t="n"/>
      <c r="D120" s="7" t="n"/>
      <c r="E120" s="9" t="inlineStr">
        <is>
          <t>IN03227 Panduwasnuwara Tamil Slab Inscription of Nissanka Malla</t>
        </is>
      </c>
      <c r="F120" s="9" t="n"/>
      <c r="G120" s="9" t="inlineStr">
        <is>
          <t>Siddham: The Asian Inscription Database (Sri Lanka epigraphy)</t>
        </is>
      </c>
      <c r="H120" s="7" t="inlineStr">
        <is>
          <t>Catalogue entry</t>
        </is>
      </c>
      <c r="I120" s="7" t="inlineStr">
        <is>
          <t>English</t>
        </is>
      </c>
      <c r="J120" s="9" t="inlineStr">
        <is>
          <t>Inscriptions / கல்வெட்டு</t>
        </is>
      </c>
      <c r="K120" s="9" t="inlineStr">
        <is>
          <t>கல்வெட்டு; Panduwasnuwara</t>
        </is>
      </c>
      <c r="L120" s="7" t="inlineStr">
        <is>
          <t>Unknown</t>
        </is>
      </c>
      <c r="M120" s="9" t="n"/>
      <c r="N120" s="10" t="inlineStr">
        <is>
          <t>https://siddham.network/tag/609823/</t>
        </is>
      </c>
    </row>
    <row r="121">
      <c r="A121" s="11" t="inlineStr">
        <is>
          <t>ALL-0120</t>
        </is>
      </c>
      <c r="B121" s="11" t="inlineStr">
        <is>
          <t>Research Papers</t>
        </is>
      </c>
      <c r="C121" s="12" t="n"/>
      <c r="D121" s="11" t="n"/>
      <c r="E121" s="13" t="inlineStr">
        <is>
          <t>Kalinga Maacon - Review</t>
        </is>
      </c>
      <c r="F121" s="13" t="n"/>
      <c r="G121" s="13" t="inlineStr">
        <is>
          <t>Shanlax International Journal of Tamil Research</t>
        </is>
      </c>
      <c r="H121" s="11" t="inlineStr">
        <is>
          <t>Journal article</t>
        </is>
      </c>
      <c r="I121" s="11" t="inlineStr">
        <is>
          <t>Tamil</t>
        </is>
      </c>
      <c r="J121" s="13" t="n"/>
      <c r="K121" s="13" t="inlineStr">
        <is>
          <t>Kalinga Magha</t>
        </is>
      </c>
      <c r="L121" s="11" t="inlineStr">
        <is>
          <t>Unknown</t>
        </is>
      </c>
      <c r="M121" s="13" t="inlineStr">
        <is>
          <t>Year to verify</t>
        </is>
      </c>
      <c r="N121" s="14" t="inlineStr">
        <is>
          <t>https://shanlaxjournals.in/journals/index.php/tamil/article/view/7777</t>
        </is>
      </c>
    </row>
    <row r="122">
      <c r="A122" s="7" t="inlineStr">
        <is>
          <t>ALL-0121</t>
        </is>
      </c>
      <c r="B122" s="7" t="inlineStr">
        <is>
          <t>Research Papers</t>
        </is>
      </c>
      <c r="C122" s="8" t="n"/>
      <c r="D122" s="7" t="n"/>
      <c r="E122" s="9" t="inlineStr">
        <is>
          <t>Kalinga in Sri Lankan Historiography</t>
        </is>
      </c>
      <c r="F122" s="9" t="n"/>
      <c r="G122" s="9" t="inlineStr">
        <is>
          <t>Shanlax International Journal of Tamil Research</t>
        </is>
      </c>
      <c r="H122" s="7" t="inlineStr">
        <is>
          <t>Journal article</t>
        </is>
      </c>
      <c r="I122" s="7" t="inlineStr">
        <is>
          <t>Tamil</t>
        </is>
      </c>
      <c r="J122" s="9" t="inlineStr">
        <is>
          <t>Inscriptions / கல்வெட்டு</t>
        </is>
      </c>
      <c r="K122" s="9" t="inlineStr">
        <is>
          <t>Kalinga Magha; inscriptions</t>
        </is>
      </c>
      <c r="L122" s="7" t="inlineStr">
        <is>
          <t>Unknown</t>
        </is>
      </c>
      <c r="M122" s="9" t="inlineStr">
        <is>
          <t>Year to verify</t>
        </is>
      </c>
      <c r="N122" s="10" t="inlineStr">
        <is>
          <t>https://shanlaxjournals.in/journals/index.php/tamil/article/view/6193</t>
        </is>
      </c>
    </row>
    <row r="123">
      <c r="A123" s="11" t="inlineStr">
        <is>
          <t>ALL-0122</t>
        </is>
      </c>
      <c r="B123" s="11" t="inlineStr">
        <is>
          <t>Research Papers</t>
        </is>
      </c>
      <c r="C123" s="12" t="n"/>
      <c r="D123" s="11" t="n"/>
      <c r="E123" s="13" t="inlineStr">
        <is>
          <t>Making Lanka the Tamil way: a temple history at the crossroads of landscapes &amp; watersheds</t>
        </is>
      </c>
      <c r="F123" s="13" t="n"/>
      <c r="G123" s="13" t="inlineStr">
        <is>
          <t>Academia.edu</t>
        </is>
      </c>
      <c r="H123" s="11" t="inlineStr">
        <is>
          <t>Article</t>
        </is>
      </c>
      <c r="I123" s="11" t="inlineStr">
        <is>
          <t>English</t>
        </is>
      </c>
      <c r="J123" s="13" t="n"/>
      <c r="K123" s="13" t="inlineStr">
        <is>
          <t>temple history; landscape</t>
        </is>
      </c>
      <c r="L123" s="11" t="inlineStr">
        <is>
          <t>Unknown</t>
        </is>
      </c>
      <c r="M123" s="13" t="n"/>
      <c r="N123" s="14" t="inlineStr">
        <is>
          <t>https://www.academia.edu/47759409/Making_Lanka_the_Tamil_way_a_temple_history_at_the_crossroads_of_landscapes_and_watersheds</t>
        </is>
      </c>
    </row>
    <row r="124">
      <c r="A124" s="7" t="inlineStr">
        <is>
          <t>ALL-0123</t>
        </is>
      </c>
      <c r="B124" s="7" t="inlineStr">
        <is>
          <t>Research Papers</t>
        </is>
      </c>
      <c r="C124" s="8" t="n"/>
      <c r="D124" s="7" t="n"/>
      <c r="E124" s="9" t="inlineStr">
        <is>
          <t>OB03160 Vallipuram Gold Plate</t>
        </is>
      </c>
      <c r="F124" s="9" t="n"/>
      <c r="G124" s="9" t="inlineStr">
        <is>
          <t>Siddham: The Asian Inscription Database (Sri Lanka epigraphy)</t>
        </is>
      </c>
      <c r="H124" s="7" t="inlineStr">
        <is>
          <t>Catalogue entry</t>
        </is>
      </c>
      <c r="I124" s="7" t="inlineStr">
        <is>
          <t>English</t>
        </is>
      </c>
      <c r="J124" s="9" t="inlineStr">
        <is>
          <t>Inscriptions / கல்வெட்டு</t>
        </is>
      </c>
      <c r="K124" s="9" t="inlineStr">
        <is>
          <t>Vallipuram gold plate; inscription</t>
        </is>
      </c>
      <c r="L124" s="7" t="inlineStr">
        <is>
          <t>Unknown</t>
        </is>
      </c>
      <c r="M124" s="9" t="n"/>
      <c r="N124" s="10" t="inlineStr">
        <is>
          <t>https://siddham.network/tag/vasabha/</t>
        </is>
      </c>
    </row>
    <row r="125">
      <c r="A125" s="11" t="inlineStr">
        <is>
          <t>ALL-0124</t>
        </is>
      </c>
      <c r="B125" s="11" t="inlineStr">
        <is>
          <t>Research Papers</t>
        </is>
      </c>
      <c r="C125" s="12" t="n"/>
      <c r="D125" s="11" t="n"/>
      <c r="E125" s="13" t="inlineStr">
        <is>
          <t>Recent Excavations and Survey at Jaffna Fort in 2017 and Reflections on the Antiquity of Indian Ocean Trade</t>
        </is>
      </c>
      <c r="F125" s="13" t="inlineStr">
        <is>
          <t>C. Davis et al.</t>
        </is>
      </c>
      <c r="G125" s="13" t="inlineStr">
        <is>
          <t>Durham Research Online</t>
        </is>
      </c>
      <c r="H125" s="11" t="inlineStr">
        <is>
          <t>Journal article</t>
        </is>
      </c>
      <c r="I125" s="11" t="inlineStr">
        <is>
          <t>English</t>
        </is>
      </c>
      <c r="J125" s="13" t="inlineStr">
        <is>
          <t>Archaeology / தொல்லியல்</t>
        </is>
      </c>
      <c r="K125" s="13" t="inlineStr">
        <is>
          <t>excavation; Jaffna Fort; trade</t>
        </is>
      </c>
      <c r="L125" s="11" t="inlineStr">
        <is>
          <t>Unknown</t>
        </is>
      </c>
      <c r="M125" s="13" t="inlineStr">
        <is>
          <t>Year to verify</t>
        </is>
      </c>
      <c r="N125" s="14" t="inlineStr">
        <is>
          <t>https://durham-repository.worktribe.com/output/1656993/recent-excavations-and-survey-at-jaffna-fort-in-2017-and-reflections-on-the-antiquity-of-indian-ocean-trade</t>
        </is>
      </c>
    </row>
    <row r="126">
      <c r="A126" s="7" t="inlineStr">
        <is>
          <t>ALL-0125</t>
        </is>
      </c>
      <c r="B126" s="7" t="inlineStr">
        <is>
          <t>Research Papers</t>
        </is>
      </c>
      <c r="C126" s="8" t="n"/>
      <c r="D126" s="7" t="n"/>
      <c r="E126" s="9" t="inlineStr">
        <is>
          <t>The Impact of Tamil Language on Sinhala Inscriptions in Ancient Sri Lanka</t>
        </is>
      </c>
      <c r="F126" s="9" t="n"/>
      <c r="G126" s="9" t="inlineStr">
        <is>
          <t>University of Jaffna repository</t>
        </is>
      </c>
      <c r="H126" s="7" t="inlineStr">
        <is>
          <t>Article</t>
        </is>
      </c>
      <c r="I126" s="7" t="inlineStr">
        <is>
          <t>English</t>
        </is>
      </c>
      <c r="J126" s="9" t="inlineStr">
        <is>
          <t>Inscriptions / கல்வெட்டு</t>
        </is>
      </c>
      <c r="K126" s="9" t="inlineStr">
        <is>
          <t>inscriptions; language contact</t>
        </is>
      </c>
      <c r="L126" s="7" t="inlineStr">
        <is>
          <t>Unknown</t>
        </is>
      </c>
      <c r="M126" s="9" t="inlineStr">
        <is>
          <t>Year/author to verify</t>
        </is>
      </c>
      <c r="N126" s="10" t="inlineStr">
        <is>
          <t>https://rer.jfn.ac.lk/items/fc0f248b-470f-449c-a7c6-8b8ec38517f0</t>
        </is>
      </c>
    </row>
    <row r="127">
      <c r="A127" s="11" t="inlineStr">
        <is>
          <t>ALL-0126</t>
        </is>
      </c>
      <c r="B127" s="11" t="inlineStr">
        <is>
          <t>Research Papers</t>
        </is>
      </c>
      <c r="C127" s="12" t="n"/>
      <c r="D127" s="11" t="n"/>
      <c r="E127" s="13" t="inlineStr">
        <is>
          <t>The Peopling of Sri Lanka from Prehistoric to Historic Times: Biological and Archaeological Evidence</t>
        </is>
      </c>
      <c r="F127" s="13" t="n"/>
      <c r="G127" s="13" t="inlineStr">
        <is>
          <t>ResearchGate</t>
        </is>
      </c>
      <c r="H127" s="11" t="inlineStr">
        <is>
          <t>Article</t>
        </is>
      </c>
      <c r="I127" s="11" t="inlineStr">
        <is>
          <t>English</t>
        </is>
      </c>
      <c r="J127" s="13" t="inlineStr">
        <is>
          <t>Archaeology / தொல்லியல்</t>
        </is>
      </c>
      <c r="K127" s="13" t="inlineStr">
        <is>
          <t>prehistory; archaeology</t>
        </is>
      </c>
      <c r="L127" s="11" t="inlineStr">
        <is>
          <t>Unknown</t>
        </is>
      </c>
      <c r="M127" s="13" t="n"/>
      <c r="N127" s="14" t="inlineStr">
        <is>
          <t>https://www.researchgate.net/publication/301336596_The_Peopling_of_Sri_Lanka_from_Prehistoric_to_Historic_Times_Biological_and_Archaeological_Evidence</t>
        </is>
      </c>
    </row>
    <row r="128">
      <c r="A128" s="7" t="inlineStr">
        <is>
          <t>ALL-0127</t>
        </is>
      </c>
      <c r="B128" s="7" t="inlineStr">
        <is>
          <t>Research Papers</t>
        </is>
      </c>
      <c r="C128" s="8" t="n"/>
      <c r="D128" s="7" t="n"/>
      <c r="E128" s="9" t="inlineStr">
        <is>
          <t>சிங்கள மன்னராட்சியில் சோழர்கால இந்துக்கோயில்களும், பண்பாடும் : பொலன்னறுவை இராசதானியை அடிப்படையாகக் கொண்ட ஆய்வு</t>
        </is>
      </c>
      <c r="F128" s="9" t="n"/>
      <c r="G128" s="9" t="inlineStr">
        <is>
          <t>South Eastern University of Sri Lanka repository</t>
        </is>
      </c>
      <c r="H128" s="7" t="inlineStr">
        <is>
          <t>Thesis</t>
        </is>
      </c>
      <c r="I128" s="7" t="inlineStr">
        <is>
          <t>Tamil</t>
        </is>
      </c>
      <c r="J128" s="9" t="n"/>
      <c r="K128" s="9" t="inlineStr">
        <is>
          <t>Chola; Polonnaruwa; temples</t>
        </is>
      </c>
      <c r="L128" s="7" t="inlineStr">
        <is>
          <t>Unknown</t>
        </is>
      </c>
      <c r="M128" s="9" t="inlineStr">
        <is>
          <t>Year/author to verify</t>
        </is>
      </c>
      <c r="N128" s="10" t="inlineStr">
        <is>
          <t>https://dspace.lib.seu.ac.lk/items/2bce5ebf-dc84-4b9c-a7ed-ca9bf13f1e7a/full</t>
        </is>
      </c>
    </row>
    <row r="129">
      <c r="A129" s="11" t="inlineStr">
        <is>
          <t>ALL-0128</t>
        </is>
      </c>
      <c r="B129" s="11" t="inlineStr">
        <is>
          <t>Newspaper Articles</t>
        </is>
      </c>
      <c r="C129" s="12" t="inlineStr">
        <is>
          <t>2026</t>
        </is>
      </c>
      <c r="D129" s="11" t="inlineStr">
        <is>
          <t>2026-01-13</t>
        </is>
      </c>
      <c r="E129" s="13" t="inlineStr">
        <is>
          <t>A Historian In Focus: The Dark Side Of S Pathmanathan</t>
        </is>
      </c>
      <c r="F129" s="13" t="inlineStr">
        <is>
          <t>Darshanie Ratnawalli</t>
        </is>
      </c>
      <c r="G129" s="13" t="inlineStr">
        <is>
          <t>Colombo Telegraph</t>
        </is>
      </c>
      <c r="H129" s="11" t="inlineStr">
        <is>
          <t>Opinion</t>
        </is>
      </c>
      <c r="I129" s="11" t="inlineStr">
        <is>
          <t>English</t>
        </is>
      </c>
      <c r="J129" s="13" t="inlineStr">
        <is>
          <t>Brahmi / பிராமி</t>
        </is>
      </c>
      <c r="K129" s="13" t="inlineStr">
        <is>
          <t>Brahmi; Pathmanathan; debate</t>
        </is>
      </c>
      <c r="L129" s="11" t="inlineStr">
        <is>
          <t>Yes</t>
        </is>
      </c>
      <c r="M129" s="13" t="n"/>
      <c r="N129" s="14" t="inlineStr">
        <is>
          <t>https://www.colombotelegraph.com/index.php/a-historian-in-focus-the-dark-side-of-s-pathmanathan/</t>
        </is>
      </c>
    </row>
    <row r="130">
      <c r="A130" s="7" t="inlineStr">
        <is>
          <t>ALL-0129</t>
        </is>
      </c>
      <c r="B130" s="7" t="inlineStr">
        <is>
          <t>Newspaper Articles</t>
        </is>
      </c>
      <c r="C130" s="8" t="inlineStr">
        <is>
          <t>2026</t>
        </is>
      </c>
      <c r="D130" s="7" t="inlineStr">
        <is>
          <t>2026-04-18</t>
        </is>
      </c>
      <c r="E130" s="9" t="inlineStr">
        <is>
          <t>New book by Tamil historian re-examines early Jaffna civilisation through inscriptions and archaeology</t>
        </is>
      </c>
      <c r="F130" s="9" t="n"/>
      <c r="G130" s="9" t="inlineStr">
        <is>
          <t>Tamil Guardian</t>
        </is>
      </c>
      <c r="H130" s="7" t="inlineStr">
        <is>
          <t>News</t>
        </is>
      </c>
      <c r="I130" s="7" t="inlineStr">
        <is>
          <t>English</t>
        </is>
      </c>
      <c r="J130" s="9" t="inlineStr">
        <is>
          <t>Inscriptions / கல்வெட்டு; Archaeology / தொல்லியல்</t>
        </is>
      </c>
      <c r="K130" s="9" t="inlineStr">
        <is>
          <t>inscription; inscriptions; archaeology</t>
        </is>
      </c>
      <c r="L130" s="7" t="inlineStr">
        <is>
          <t>Yes</t>
        </is>
      </c>
      <c r="M130" s="9" t="inlineStr">
        <is>
          <t>Google News query: Tamil Brahmi Sri Lanka. Auto-collected 2026-10-14 (news); review.</t>
        </is>
      </c>
      <c r="N130" s="10"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131">
      <c r="A131" s="11" t="inlineStr">
        <is>
          <t>ALL-0130</t>
        </is>
      </c>
      <c r="B131" s="11" t="inlineStr">
        <is>
          <t>Newspaper Articles</t>
        </is>
      </c>
      <c r="C131" s="12" t="inlineStr">
        <is>
          <t>2026</t>
        </is>
      </c>
      <c r="D131" s="11" t="inlineStr">
        <is>
          <t>2026-10-07</t>
        </is>
      </c>
      <c r="E131" s="13" t="inlineStr">
        <is>
          <t>Archaeology Department seeks 260 acres as monk targets second Hindu temple in Vavuniya</t>
        </is>
      </c>
      <c r="F131" s="13" t="n"/>
      <c r="G131" s="13" t="inlineStr">
        <is>
          <t>Tamil Guardian</t>
        </is>
      </c>
      <c r="H131" s="11" t="inlineStr">
        <is>
          <t>News</t>
        </is>
      </c>
      <c r="I131" s="11" t="inlineStr">
        <is>
          <t>English</t>
        </is>
      </c>
      <c r="J131" s="13" t="inlineStr">
        <is>
          <t>Archaeology / தொல்லியல்</t>
        </is>
      </c>
      <c r="K131" s="13" t="inlineStr">
        <is>
          <t>archaeology</t>
        </is>
      </c>
      <c r="L131" s="11" t="inlineStr">
        <is>
          <t>Yes</t>
        </is>
      </c>
      <c r="M131" s="13" t="inlineStr">
        <is>
          <t>Google News query: archaeology Vanni Tamil. Auto-collected 2026-10-14 (news); review.</t>
        </is>
      </c>
      <c r="N131"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132">
      <c r="A132" s="7" t="inlineStr">
        <is>
          <t>ALL-0131</t>
        </is>
      </c>
      <c r="B132" s="7" t="inlineStr">
        <is>
          <t>Newspaper Articles</t>
        </is>
      </c>
      <c r="C132" s="8" t="inlineStr">
        <is>
          <t>2025</t>
        </is>
      </c>
      <c r="D132" s="7" t="inlineStr">
        <is>
          <t>2025-04-19</t>
        </is>
      </c>
      <c r="E132" s="9" t="inlineStr">
        <is>
          <t>UNESCO Recognizes Sri Lanka’s Trilingual Inscription and 'Panadurawaadaya' Documents as World Heritage</t>
        </is>
      </c>
      <c r="F132" s="9" t="n"/>
      <c r="G132" s="9" t="inlineStr">
        <is>
          <t>dailynews.lk</t>
        </is>
      </c>
      <c r="H132" s="7" t="inlineStr">
        <is>
          <t>News</t>
        </is>
      </c>
      <c r="I132" s="7" t="inlineStr">
        <is>
          <t>English</t>
        </is>
      </c>
      <c r="J132" s="9" t="inlineStr">
        <is>
          <t>Inscriptions / கல்வெட்டு; Archaeology / தொல்லியல்</t>
        </is>
      </c>
      <c r="K132" s="9" t="inlineStr">
        <is>
          <t>inscription</t>
        </is>
      </c>
      <c r="L132" s="7" t="inlineStr">
        <is>
          <t>Yes</t>
        </is>
      </c>
      <c r="M132" s="9" t="inlineStr">
        <is>
          <t>Google News query: Tamil inscription Sri Lanka. Auto-collected 2026-10-14 (news); review.</t>
        </is>
      </c>
      <c r="N132" s="10"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133">
      <c r="A133" s="11" t="inlineStr">
        <is>
          <t>ALL-0132</t>
        </is>
      </c>
      <c r="B133" s="11" t="inlineStr">
        <is>
          <t>Newspaper Articles</t>
        </is>
      </c>
      <c r="C133" s="12" t="inlineStr">
        <is>
          <t>2025</t>
        </is>
      </c>
      <c r="D133" s="11" t="inlineStr">
        <is>
          <t>2025-04-22</t>
        </is>
      </c>
      <c r="E133" s="13" t="inlineStr">
        <is>
          <t>Significance of Galle Trilingual Inscription’s inclusion in the World Heritage List</t>
        </is>
      </c>
      <c r="F133" s="13" t="n"/>
      <c r="G133" s="13" t="inlineStr">
        <is>
          <t>Ceylon Daily News</t>
        </is>
      </c>
      <c r="H133" s="11" t="inlineStr">
        <is>
          <t>News</t>
        </is>
      </c>
      <c r="I133" s="11" t="inlineStr">
        <is>
          <t>English</t>
        </is>
      </c>
      <c r="J133" s="13" t="inlineStr">
        <is>
          <t>Inscriptions / கல்வெட்டு; Archaeology / தொல்லியல்</t>
        </is>
      </c>
      <c r="K133" s="13" t="inlineStr">
        <is>
          <t>inscription</t>
        </is>
      </c>
      <c r="L133" s="11" t="inlineStr">
        <is>
          <t>Yes</t>
        </is>
      </c>
      <c r="M133" s="13" t="inlineStr">
        <is>
          <t>Google News query: Tamil inscription Sri Lanka. Auto-collected 2026-10-14 (news); review.</t>
        </is>
      </c>
      <c r="N133" s="14"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134">
      <c r="A134" s="7" t="inlineStr">
        <is>
          <t>ALL-0133</t>
        </is>
      </c>
      <c r="B134" s="7" t="inlineStr">
        <is>
          <t>Newspaper Articles</t>
        </is>
      </c>
      <c r="C134" s="8" t="inlineStr">
        <is>
          <t>2025</t>
        </is>
      </c>
      <c r="D134" s="7" t="inlineStr">
        <is>
          <t>2025-11-01</t>
        </is>
      </c>
      <c r="E134" s="9" t="inlineStr">
        <is>
          <t>Sinhala Buddhist monk alleges archaeology department official planted 'artefacts' in Kurunthurmalai</t>
        </is>
      </c>
      <c r="F134" s="9" t="n"/>
      <c r="G134" s="9" t="inlineStr">
        <is>
          <t>Tamil Guardian</t>
        </is>
      </c>
      <c r="H134" s="7" t="inlineStr">
        <is>
          <t>News</t>
        </is>
      </c>
      <c r="I134" s="7" t="inlineStr">
        <is>
          <t>English</t>
        </is>
      </c>
      <c r="J134" s="9" t="inlineStr">
        <is>
          <t>Archaeology / தொல்லியல்</t>
        </is>
      </c>
      <c r="K134" s="9" t="inlineStr">
        <is>
          <t>archaeology</t>
        </is>
      </c>
      <c r="L134" s="7" t="inlineStr">
        <is>
          <t>Yes</t>
        </is>
      </c>
      <c r="M134" s="9" t="inlineStr">
        <is>
          <t>Google News query: archaeology Vanni Tamil. Auto-collected 2026-10-14 (news); review.</t>
        </is>
      </c>
      <c r="N13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35">
      <c r="A135" s="11" t="inlineStr">
        <is>
          <t>ALL-0134</t>
        </is>
      </c>
      <c r="B135" s="11" t="inlineStr">
        <is>
          <t>Newspaper Articles</t>
        </is>
      </c>
      <c r="C135" s="12" t="inlineStr">
        <is>
          <t>2024</t>
        </is>
      </c>
      <c r="D135" s="11" t="n"/>
      <c r="E135" s="13" t="inlineStr">
        <is>
          <t>இலங்கையில் கண்டுபிடிக்கப்பட்ட நிலக்கீழ் நகரம்</t>
        </is>
      </c>
      <c r="F135" s="13" t="n"/>
      <c r="G135" s="13" t="inlineStr">
        <is>
          <t>IBC Tamil</t>
        </is>
      </c>
      <c r="H135" s="11" t="inlineStr">
        <is>
          <t>News</t>
        </is>
      </c>
      <c r="I135" s="11" t="inlineStr">
        <is>
          <t>Tamil</t>
        </is>
      </c>
      <c r="J135" s="13" t="inlineStr">
        <is>
          <t>Archaeology / தொல்லியல்</t>
        </is>
      </c>
      <c r="K135" s="13" t="inlineStr">
        <is>
          <t>தொல்லியல்; Polonnaruwa</t>
        </is>
      </c>
      <c r="L135" s="11" t="inlineStr">
        <is>
          <t>Yes</t>
        </is>
      </c>
      <c r="M135" s="13" t="inlineStr">
        <is>
          <t>URL timestamp Feb 2024</t>
        </is>
      </c>
      <c r="N135" s="14" t="inlineStr">
        <is>
          <t>https://ibctamil.com/article/an-underground-city-discovered-in-polonnaruwa-sl-1708747886</t>
        </is>
      </c>
    </row>
    <row r="136">
      <c r="A136" s="7" t="inlineStr">
        <is>
          <t>ALL-0135</t>
        </is>
      </c>
      <c r="B136" s="7" t="inlineStr">
        <is>
          <t>Newspaper Articles</t>
        </is>
      </c>
      <c r="C136" s="8" t="inlineStr">
        <is>
          <t>2024</t>
        </is>
      </c>
      <c r="D136" s="7" t="inlineStr">
        <is>
          <t>2024-07-06</t>
        </is>
      </c>
      <c r="E136" s="9" t="inlineStr">
        <is>
          <t>Exploring Sri Lanka's archaeological and cultural treasures</t>
        </is>
      </c>
      <c r="F136" s="9" t="n"/>
      <c r="G136" s="9" t="inlineStr">
        <is>
          <t>Wanderlust Travel Magazine</t>
        </is>
      </c>
      <c r="H136" s="7" t="inlineStr">
        <is>
          <t>News</t>
        </is>
      </c>
      <c r="I136" s="7" t="inlineStr">
        <is>
          <t>English</t>
        </is>
      </c>
      <c r="J136" s="9" t="inlineStr">
        <is>
          <t>Archaeology / தொல்லியல்</t>
        </is>
      </c>
      <c r="K136" s="9" t="inlineStr">
        <is>
          <t>archaeological</t>
        </is>
      </c>
      <c r="L136" s="7" t="inlineStr">
        <is>
          <t>Yes</t>
        </is>
      </c>
      <c r="M136" s="9" t="inlineStr">
        <is>
          <t>Google News query: rock art Sri Lanka. Auto-collected 2026-10-14 (news); review.</t>
        </is>
      </c>
      <c r="N136" s="10" t="inlineStr">
        <is>
          <t>https://news.google.com/rss/articles/CBMiggFBVV95cUxQczl0U3RlM2Y4UjFBSU1ULWtUTEpFaXZIb3pBLTRkTmpoOEh5Nzc4MzlMNVM4MGpEd0FhWFVJTE84ZnZ3ZnVDUWVjUnBOVThrTndsX3gxT0g0ZkxlWDQyLWVRNDdFZ25HXzdlZWZmQ2ZZZFlMUHVHYm1DLWdVZjVuNmdR?oc=5</t>
        </is>
      </c>
    </row>
    <row r="137">
      <c r="A137" s="11" t="inlineStr">
        <is>
          <t>ALL-0136</t>
        </is>
      </c>
      <c r="B137" s="11" t="inlineStr">
        <is>
          <t>Newspaper Articles</t>
        </is>
      </c>
      <c r="C137" s="12" t="inlineStr">
        <is>
          <t>2024</t>
        </is>
      </c>
      <c r="D137" s="11" t="inlineStr">
        <is>
          <t>2024-08-22</t>
        </is>
      </c>
      <c r="E137" s="13" t="inlineStr">
        <is>
          <t>Fact Check: அனுமனின் கதாயுதம் ஒன்று இலங்கையில் தொல்லியல் அகழாய்வின் போது கண்டெடுக்கப்பட்டதா?</t>
        </is>
      </c>
      <c r="F137" s="13" t="n"/>
      <c r="G137" s="13" t="inlineStr">
        <is>
          <t>NewsMeter</t>
        </is>
      </c>
      <c r="H137" s="11" t="inlineStr">
        <is>
          <t>News</t>
        </is>
      </c>
      <c r="I137" s="11" t="inlineStr">
        <is>
          <t>Tamil</t>
        </is>
      </c>
      <c r="J137" s="13" t="inlineStr">
        <is>
          <t>Archaeology / தொல்லியல்</t>
        </is>
      </c>
      <c r="K137" s="13" t="inlineStr">
        <is>
          <t>தொல்லியல்</t>
        </is>
      </c>
      <c r="L137" s="11" t="inlineStr">
        <is>
          <t>Yes</t>
        </is>
      </c>
      <c r="M137" s="13" t="inlineStr">
        <is>
          <t>Google News query: தொல்லியல் இலங்கை தமிழ். Auto-collected 2026-10-14 (news); review.</t>
        </is>
      </c>
      <c r="N13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38">
      <c r="A138" s="7" t="inlineStr">
        <is>
          <t>ALL-0137</t>
        </is>
      </c>
      <c r="B138" s="7" t="inlineStr">
        <is>
          <t>Newspaper Articles</t>
        </is>
      </c>
      <c r="C138" s="8" t="inlineStr">
        <is>
          <t>2023</t>
        </is>
      </c>
      <c r="D138" s="7" t="inlineStr">
        <is>
          <t>2023-03-29</t>
        </is>
      </c>
      <c r="E138" s="9" t="inlineStr">
        <is>
          <t>இலங்கையின் தொல்லியல் சிறப்புமிக்க ஆதிலிங்கேஸ்வரர் ஆலயம் உடைப்பு - அரசாங்கம் என்ன சொல்கிறது?</t>
        </is>
      </c>
      <c r="F138" s="9" t="n"/>
      <c r="G138" s="9" t="inlineStr">
        <is>
          <t>BBC</t>
        </is>
      </c>
      <c r="H138" s="7" t="inlineStr">
        <is>
          <t>News</t>
        </is>
      </c>
      <c r="I138" s="7" t="inlineStr">
        <is>
          <t>Tamil</t>
        </is>
      </c>
      <c r="J138" s="9" t="inlineStr">
        <is>
          <t>Archaeology / தொல்லியல்</t>
        </is>
      </c>
      <c r="K138" s="9" t="inlineStr">
        <is>
          <t>தொல்லியல்</t>
        </is>
      </c>
      <c r="L138" s="7" t="inlineStr">
        <is>
          <t>Yes</t>
        </is>
      </c>
      <c r="M138" s="9" t="inlineStr">
        <is>
          <t>Google News query: தொல்லியல் இலங்கை தமிழ். Auto-collected 2026-10-14 (news); review.</t>
        </is>
      </c>
      <c r="N13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39">
      <c r="A139" s="11" t="inlineStr">
        <is>
          <t>ALL-0138</t>
        </is>
      </c>
      <c r="B139" s="11" t="inlineStr">
        <is>
          <t>Newspaper Articles</t>
        </is>
      </c>
      <c r="C139" s="12" t="inlineStr">
        <is>
          <t>2023</t>
        </is>
      </c>
      <c r="D139" s="11" t="inlineStr">
        <is>
          <t>2023-08-11</t>
        </is>
      </c>
      <c r="E139" s="13" t="inlineStr">
        <is>
          <t>கீரிமலை கேணியையும் தொல்லியல் திணைக்களம் கட்டுப்பாட்டுக்குள் கொண்டுவர முயற்சி - அகில இலங்கை இந்து மாமன்றம்</t>
        </is>
      </c>
      <c r="F139" s="13" t="n"/>
      <c r="G139" s="13" t="inlineStr">
        <is>
          <t>Lanka Truth</t>
        </is>
      </c>
      <c r="H139" s="11" t="inlineStr">
        <is>
          <t>News</t>
        </is>
      </c>
      <c r="I139" s="11" t="inlineStr">
        <is>
          <t>Tamil</t>
        </is>
      </c>
      <c r="J139" s="13" t="inlineStr">
        <is>
          <t>Archaeology / தொல்லியல்</t>
        </is>
      </c>
      <c r="K139" s="13" t="inlineStr">
        <is>
          <t>தொல்லியல்</t>
        </is>
      </c>
      <c r="L139" s="11" t="inlineStr">
        <is>
          <t>Yes</t>
        </is>
      </c>
      <c r="M139" s="13" t="inlineStr">
        <is>
          <t>Google News query: தொல்லியல் இலங்கை தமிழ். Auto-collected 2026-10-14 (news); review.</t>
        </is>
      </c>
      <c r="N139" s="14" t="inlineStr">
        <is>
          <t>https://news.google.com/rss/articles/CBMiSkFVX3lxTE9RWHRpZjlDZE92MEg4bC1VRXFNMjNpSlotREpZclVwU2tncGcyRWFNUnpxQ1ZJTmlRZS1VanBPWl9XNVdjcWhtd29R?oc=5</t>
        </is>
      </c>
    </row>
    <row r="140">
      <c r="A140" s="7" t="inlineStr">
        <is>
          <t>ALL-0139</t>
        </is>
      </c>
      <c r="B140" s="7" t="inlineStr">
        <is>
          <t>Newspaper Articles</t>
        </is>
      </c>
      <c r="C140" s="8" t="inlineStr">
        <is>
          <t>2023</t>
        </is>
      </c>
      <c r="D140" s="7" t="inlineStr">
        <is>
          <t>2023-09-13</t>
        </is>
      </c>
      <c r="E140" s="9" t="inlineStr">
        <is>
          <t>இலங்கை இனவாத குழுக்கள் சர்ச்சைக்குரிய தொல்பொருள் பிரதேசம் தொடர்பாக இனவாத பதட்டங்களை கிளப்பி வருகின்றன</t>
        </is>
      </c>
      <c r="F140" s="9" t="n"/>
      <c r="G140" s="9" t="inlineStr">
        <is>
          <t>World Socialist Web Site</t>
        </is>
      </c>
      <c r="H140" s="7" t="inlineStr">
        <is>
          <t>News</t>
        </is>
      </c>
      <c r="I140" s="7" t="inlineStr">
        <is>
          <t>Tamil</t>
        </is>
      </c>
      <c r="J140" s="9" t="inlineStr">
        <is>
          <t>Archaeology / தொல்லியல்</t>
        </is>
      </c>
      <c r="K140" s="9" t="inlineStr">
        <is>
          <t>தொல்பொருள்</t>
        </is>
      </c>
      <c r="L140" s="7" t="inlineStr">
        <is>
          <t>Yes</t>
        </is>
      </c>
      <c r="M140" s="9" t="inlineStr">
        <is>
          <t>Google News query: தொல்லியல் இலங்கை தமிழ். Auto-collected 2026-10-14 (news); review.</t>
        </is>
      </c>
      <c r="N140" s="10" t="inlineStr">
        <is>
          <t>https://news.google.com/rss/articles/CBMiaEFVX3lxTE9mazdldjk2bWROTF9UYjJKOWhvMk9hQUwwcGdfbjgwYVN4a2phYktJU3RfWHpUSzFxZlpLQmhURWxacjJWYTNFZEFMNlFuWG13S1Rra1ZVZGdPcU40bmZxS2p5M09wT09h?oc=5</t>
        </is>
      </c>
    </row>
    <row r="141">
      <c r="A141" s="11" t="inlineStr">
        <is>
          <t>ALL-0140</t>
        </is>
      </c>
      <c r="B141" s="11" t="inlineStr">
        <is>
          <t>Newspaper Articles</t>
        </is>
      </c>
      <c r="C141" s="12" t="inlineStr">
        <is>
          <t>2023</t>
        </is>
      </c>
      <c r="D141" s="11" t="inlineStr">
        <is>
          <t>2023-09-27</t>
        </is>
      </c>
      <c r="E141" s="13" t="inlineStr">
        <is>
          <t>Shared heritage of archaeological sites in the North and East</t>
        </is>
      </c>
      <c r="F141" s="13" t="n"/>
      <c r="G141" s="13" t="inlineStr">
        <is>
          <t>Daily Mirror - Sri Lanka</t>
        </is>
      </c>
      <c r="H141" s="11" t="inlineStr">
        <is>
          <t>News</t>
        </is>
      </c>
      <c r="I141" s="11" t="inlineStr">
        <is>
          <t>English</t>
        </is>
      </c>
      <c r="J141" s="13" t="inlineStr">
        <is>
          <t>Archaeology / தொல்லியல்</t>
        </is>
      </c>
      <c r="K141" s="13" t="inlineStr">
        <is>
          <t>archaeological</t>
        </is>
      </c>
      <c r="L141" s="11" t="inlineStr">
        <is>
          <t>Yes</t>
        </is>
      </c>
      <c r="M141" s="13" t="inlineStr">
        <is>
          <t>Google News query: Tamil inscription Sri Lanka. Auto-collected 2026-10-14 (news); review.</t>
        </is>
      </c>
      <c r="N141"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142">
      <c r="A142" s="7" t="inlineStr">
        <is>
          <t>ALL-0141</t>
        </is>
      </c>
      <c r="B142" s="7" t="inlineStr">
        <is>
          <t>Newspaper Articles</t>
        </is>
      </c>
      <c r="C142" s="8" t="inlineStr">
        <is>
          <t>2023</t>
        </is>
      </c>
      <c r="D142" s="7" t="inlineStr">
        <is>
          <t>2023-11-09</t>
        </is>
      </c>
      <c r="E142" s="9" t="inlineStr">
        <is>
          <t>இலங்கையில் மிகப் பெரிய கல்வெட்டு கண்டுபிடிப்பு</t>
        </is>
      </c>
      <c r="F142" s="9" t="n"/>
      <c r="G142" s="9" t="inlineStr">
        <is>
          <t>මුල් පිටුව</t>
        </is>
      </c>
      <c r="H142" s="7" t="inlineStr">
        <is>
          <t>News</t>
        </is>
      </c>
      <c r="I142" s="7" t="inlineStr">
        <is>
          <t>Tamil</t>
        </is>
      </c>
      <c r="J142" s="9" t="inlineStr">
        <is>
          <t>Inscriptions / கல்வெட்டு</t>
        </is>
      </c>
      <c r="K142" s="9" t="inlineStr">
        <is>
          <t>கல்வெட்டு</t>
        </is>
      </c>
      <c r="L142" s="7" t="inlineStr">
        <is>
          <t>Yes</t>
        </is>
      </c>
      <c r="M142" s="9" t="inlineStr">
        <is>
          <t>Google News query: கல்வெட்டு இலங்கை. Auto-collected 2026-10-14 (news); review.</t>
        </is>
      </c>
      <c r="N142" s="10" t="inlineStr">
        <is>
          <t>https://news.google.com/rss/articles/CBMiV0FVX3lxTE0xSVZDa2M2cjhyOFJNVzZ4UEt2TnRyanBkaXBhSmxhTElobUFMNWhic0dWMlloejhDY3NaOGVEMnNnN0liY1B6cjR1OTFMOVowUUp1YzQ1WQ?oc=5</t>
        </is>
      </c>
    </row>
    <row r="143">
      <c r="A143" s="11" t="inlineStr">
        <is>
          <t>ALL-0142</t>
        </is>
      </c>
      <c r="B143" s="11" t="inlineStr">
        <is>
          <t>Newspaper Articles</t>
        </is>
      </c>
      <c r="C143" s="12" t="inlineStr">
        <is>
          <t>2021</t>
        </is>
      </c>
      <c r="D143" s="11" t="inlineStr">
        <is>
          <t>2021-11-22</t>
        </is>
      </c>
      <c r="E143" s="13" t="inlineStr">
        <is>
          <t>இலங்கை தமிழர் வரலாறு பற்றி இதுவரை அறியப்படாத புதிய கல்வெட்டு திருகோணமலையில் கண்டுபிடிப்பு</t>
        </is>
      </c>
      <c r="F143" s="13" t="n"/>
      <c r="G143" s="13" t="inlineStr">
        <is>
          <t>Virakesari</t>
        </is>
      </c>
      <c r="H143" s="11" t="inlineStr">
        <is>
          <t>News</t>
        </is>
      </c>
      <c r="I143" s="11" t="inlineStr">
        <is>
          <t>Tamil</t>
        </is>
      </c>
      <c r="J143" s="13" t="inlineStr">
        <is>
          <t>Inscriptions / கல்வெட்டு</t>
        </is>
      </c>
      <c r="K143" s="13" t="inlineStr">
        <is>
          <t>கல்வெட்டு</t>
        </is>
      </c>
      <c r="L143" s="11" t="inlineStr">
        <is>
          <t>Yes</t>
        </is>
      </c>
      <c r="M143" s="13" t="inlineStr">
        <is>
          <t>Google News query: கல்வெட்டு இலங்கை. Auto-collected 2026-10-14 (news); review.</t>
        </is>
      </c>
      <c r="N143" s="14" t="inlineStr">
        <is>
          <t>https://news.google.com/rss/articles/CBMiUkFVX3lxTE1fNTgzSTJzeXFaeXJrVU44Z3ZlcE13OFR5YU00WTBQRTVhUnJxSm1IeFFVdEVMaVI4M0dsREhFd1ZsMG9WT0pEZVU0Nms2TFRfLVE?oc=5</t>
        </is>
      </c>
    </row>
    <row r="144">
      <c r="A144" s="7" t="inlineStr">
        <is>
          <t>ALL-0143</t>
        </is>
      </c>
      <c r="B144" s="7" t="inlineStr">
        <is>
          <t>Newspaper Articles</t>
        </is>
      </c>
      <c r="C144" s="8" t="inlineStr">
        <is>
          <t>2021</t>
        </is>
      </c>
      <c r="D144" s="7" t="inlineStr">
        <is>
          <t>2021-11-22</t>
        </is>
      </c>
      <c r="E144" s="9" t="inlineStr">
        <is>
          <t>இலங்கை தமிழர் வரலாறு: புதிய தகவல்களைக் கூறும் 13ஆம் நூற்றாண்டு கல்வெட்டு</t>
        </is>
      </c>
      <c r="F144" s="9" t="n"/>
      <c r="G144" s="9" t="inlineStr">
        <is>
          <t>BBC</t>
        </is>
      </c>
      <c r="H144" s="7" t="inlineStr">
        <is>
          <t>News</t>
        </is>
      </c>
      <c r="I144" s="7" t="inlineStr">
        <is>
          <t>Tamil</t>
        </is>
      </c>
      <c r="J144" s="9" t="inlineStr">
        <is>
          <t>Inscriptions / கல்வெட்டு</t>
        </is>
      </c>
      <c r="K144" s="9" t="inlineStr">
        <is>
          <t>கல்வெட்டு</t>
        </is>
      </c>
      <c r="L144" s="7" t="inlineStr">
        <is>
          <t>Yes</t>
        </is>
      </c>
      <c r="M144" s="9" t="inlineStr">
        <is>
          <t>Google News query: கல்வெட்டு இலங்கை. Auto-collected 2026-10-14 (news); review.</t>
        </is>
      </c>
      <c r="N144"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145">
      <c r="A145" s="11" t="inlineStr">
        <is>
          <t>ALL-0144</t>
        </is>
      </c>
      <c r="B145" s="11" t="inlineStr">
        <is>
          <t>Newspaper Articles</t>
        </is>
      </c>
      <c r="C145" s="12" t="inlineStr">
        <is>
          <t>2020</t>
        </is>
      </c>
      <c r="D145" s="11" t="inlineStr">
        <is>
          <t>2020-12-01</t>
        </is>
      </c>
      <c r="E145" s="13" t="inlineStr">
        <is>
          <t>Sri Lanka’s archaeology department acquires ‘ancient monastery site’ in Jaffna</t>
        </is>
      </c>
      <c r="F145" s="13" t="n"/>
      <c r="G145" s="13" t="inlineStr">
        <is>
          <t>Tamil Guardian</t>
        </is>
      </c>
      <c r="H145" s="11" t="inlineStr">
        <is>
          <t>News</t>
        </is>
      </c>
      <c r="I145" s="11" t="inlineStr">
        <is>
          <t>English</t>
        </is>
      </c>
      <c r="J145" s="13" t="inlineStr">
        <is>
          <t>Archaeology / தொல்லியல்</t>
        </is>
      </c>
      <c r="K145" s="13" t="inlineStr">
        <is>
          <t>archaeology</t>
        </is>
      </c>
      <c r="L145" s="11" t="inlineStr">
        <is>
          <t>Yes</t>
        </is>
      </c>
      <c r="M145" s="13" t="inlineStr">
        <is>
          <t>Google News query: archaeology Jaffna. Auto-collected 2026-10-14 (news); review.</t>
        </is>
      </c>
      <c r="N1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146">
      <c r="A146" s="7" t="inlineStr">
        <is>
          <t>ALL-0145</t>
        </is>
      </c>
      <c r="B146" s="7" t="inlineStr">
        <is>
          <t>Newspaper Articles</t>
        </is>
      </c>
      <c r="C146" s="8" t="inlineStr">
        <is>
          <t>2019</t>
        </is>
      </c>
      <c r="D146" s="7" t="inlineStr">
        <is>
          <t>2019-03-17</t>
        </is>
      </c>
      <c r="E146" s="9" t="inlineStr">
        <is>
          <t>இலங்கையில் பெருங்கற்காலத்தில் தமிழர்கள் வாழ்ந்த இடம்; அழிந்து வருவதாக மக்கள் கவலை</t>
        </is>
      </c>
      <c r="F146" s="9" t="n"/>
      <c r="G146" s="9" t="inlineStr">
        <is>
          <t>BBC</t>
        </is>
      </c>
      <c r="H146" s="7" t="inlineStr">
        <is>
          <t>News</t>
        </is>
      </c>
      <c r="I146" s="7" t="inlineStr">
        <is>
          <t>Tamil</t>
        </is>
      </c>
      <c r="J146" s="9" t="inlineStr">
        <is>
          <t>Archaeology / தொல்லியல்</t>
        </is>
      </c>
      <c r="K146" s="9" t="inlineStr">
        <is>
          <t>பெருங்கற்</t>
        </is>
      </c>
      <c r="L146" s="7" t="inlineStr">
        <is>
          <t>Yes</t>
        </is>
      </c>
      <c r="M146" s="9" t="inlineStr">
        <is>
          <t>Google News query: தொல்லியல் இலங்கை தமிழ். Auto-collected 2026-10-14 (news); review.</t>
        </is>
      </c>
      <c r="N1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147">
      <c r="A147" s="11" t="inlineStr">
        <is>
          <t>ALL-0146</t>
        </is>
      </c>
      <c r="B147" s="11" t="inlineStr">
        <is>
          <t>Newspaper Articles</t>
        </is>
      </c>
      <c r="C147" s="12" t="inlineStr">
        <is>
          <t>2019</t>
        </is>
      </c>
      <c r="D147" s="11" t="inlineStr">
        <is>
          <t>2019-04-10</t>
        </is>
      </c>
      <c r="E147" s="13" t="inlineStr">
        <is>
          <t>The antiquity of Jaffna Fort: new evidence from post-disaster archaeological investigations in northern Sri Lanka</t>
        </is>
      </c>
      <c r="F147" s="13" t="n"/>
      <c r="G147" s="13" t="inlineStr">
        <is>
          <t>Cambridge University Press &amp; Assessment</t>
        </is>
      </c>
      <c r="H147" s="11" t="inlineStr">
        <is>
          <t>News</t>
        </is>
      </c>
      <c r="I147" s="11" t="inlineStr">
        <is>
          <t>English</t>
        </is>
      </c>
      <c r="J147" s="13" t="inlineStr">
        <is>
          <t>Archaeology / தொல்லியல்</t>
        </is>
      </c>
      <c r="K147" s="13" t="inlineStr">
        <is>
          <t>archaeological</t>
        </is>
      </c>
      <c r="L147" s="11" t="inlineStr">
        <is>
          <t>Yes</t>
        </is>
      </c>
      <c r="M147" s="13" t="inlineStr">
        <is>
          <t>Google News query: archaeology Jaffna. Auto-collected 2026-10-14 (news); review.</t>
        </is>
      </c>
      <c r="N147" s="14"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148">
      <c r="A148" s="7" t="inlineStr">
        <is>
          <t>ALL-0147</t>
        </is>
      </c>
      <c r="B148" s="7" t="inlineStr">
        <is>
          <t>Newspaper Articles</t>
        </is>
      </c>
      <c r="C148" s="8" t="inlineStr">
        <is>
          <t>2019</t>
        </is>
      </c>
      <c r="D148" s="7" t="inlineStr">
        <is>
          <t>2019-05-30</t>
        </is>
      </c>
      <c r="E148" s="9" t="inlineStr">
        <is>
          <t>30.05.19 SL Archaeology Dept steps up controversial construction work in Trincomalee</t>
        </is>
      </c>
      <c r="F148" s="9" t="n"/>
      <c r="G148" s="9" t="inlineStr">
        <is>
          <t>TamilNet</t>
        </is>
      </c>
      <c r="H148" s="7" t="inlineStr">
        <is>
          <t>News</t>
        </is>
      </c>
      <c r="I148" s="7" t="inlineStr">
        <is>
          <t>English</t>
        </is>
      </c>
      <c r="J148" s="9" t="inlineStr">
        <is>
          <t>Archaeology / தொல்லியல்</t>
        </is>
      </c>
      <c r="K148" s="9" t="inlineStr">
        <is>
          <t>archaeology</t>
        </is>
      </c>
      <c r="L148" s="7" t="inlineStr">
        <is>
          <t>Yes</t>
        </is>
      </c>
      <c r="M148" s="9" t="inlineStr">
        <is>
          <t>Google News query: archaeology Vanni Tamil. Auto-collected 2026-10-14 (news); review.</t>
        </is>
      </c>
      <c r="N148" s="10" t="inlineStr">
        <is>
          <t>https://news.google.com/rss/articles/CBMiZEFVX3lxTFBaOXhuY19ZUk1ySExJdXFObDBJWDEzMmtqZVhLNTNoNVhhZWhvQm1Idy1uUWRiU1h2Nkg4UWRMTmtNLVhOWU0zSzdBWFZjdzEwQnJtX0FLd1FnWXlpYVl0TU9OSG0?oc=5</t>
        </is>
      </c>
    </row>
    <row r="149">
      <c r="A149" s="11" t="inlineStr">
        <is>
          <t>ALL-0148</t>
        </is>
      </c>
      <c r="B149" s="11" t="inlineStr">
        <is>
          <t>Newspaper Articles</t>
        </is>
      </c>
      <c r="C149" s="12" t="inlineStr">
        <is>
          <t>2019</t>
        </is>
      </c>
      <c r="D149" s="11" t="inlineStr">
        <is>
          <t>2019-08-19</t>
        </is>
      </c>
      <c r="E149" s="13" t="inlineStr">
        <is>
          <t>Tamil archaeological site under threat from granite mining</t>
        </is>
      </c>
      <c r="F149" s="13" t="n"/>
      <c r="G149" s="13" t="inlineStr">
        <is>
          <t>Tamil Guardian</t>
        </is>
      </c>
      <c r="H149" s="11" t="inlineStr">
        <is>
          <t>News</t>
        </is>
      </c>
      <c r="I149" s="11" t="inlineStr">
        <is>
          <t>English</t>
        </is>
      </c>
      <c r="J149" s="13" t="inlineStr">
        <is>
          <t>Archaeology / தொல்லியல்</t>
        </is>
      </c>
      <c r="K149" s="13" t="inlineStr">
        <is>
          <t>archaeological</t>
        </is>
      </c>
      <c r="L149" s="11" t="inlineStr">
        <is>
          <t>Yes</t>
        </is>
      </c>
      <c r="M149" s="13" t="inlineStr">
        <is>
          <t>Google News query: archaeology Vanni Tamil. Auto-collected 2026-10-14 (news); review.</t>
        </is>
      </c>
      <c r="N149" s="14" t="inlineStr">
        <is>
          <t>https://news.google.com/rss/articles/CBMilgFBVV95cUxPWjg3MzRjZlBYMTRYN2tEcGc5VXRTM25lZTlxYXl1RnhwLTdRQlRxYURPNE1oSGt0VFMxQ2pvNEg1LURmdF9rZ1NhZUNUU2lmSHIyMFpQTFU4cXAxTjZhN3Jsd2FhajVVdjN1dS1zUmptcFNJU0t1dlREZVRTbHAzV1JsTDM4dk9TLXQ2S0dIa3BBVzNnTnc?oc=5</t>
        </is>
      </c>
    </row>
    <row r="150">
      <c r="A150" s="7" t="inlineStr">
        <is>
          <t>ALL-0149</t>
        </is>
      </c>
      <c r="B150" s="7" t="inlineStr">
        <is>
          <t>Newspaper Articles</t>
        </is>
      </c>
      <c r="C150" s="8" t="inlineStr">
        <is>
          <t>2019</t>
        </is>
      </c>
      <c r="D150" s="7" t="inlineStr">
        <is>
          <t>2019-09-30</t>
        </is>
      </c>
      <c r="E150" s="9" t="inlineStr">
        <is>
          <t>Monument to Tamil king in disrepair as Sri Lanka’s archaeology department ignores destruction</t>
        </is>
      </c>
      <c r="F150" s="9" t="n"/>
      <c r="G150" s="9" t="inlineStr">
        <is>
          <t>Tamil Guardian</t>
        </is>
      </c>
      <c r="H150" s="7" t="inlineStr">
        <is>
          <t>News</t>
        </is>
      </c>
      <c r="I150" s="7" t="inlineStr">
        <is>
          <t>English</t>
        </is>
      </c>
      <c r="J150" s="9" t="inlineStr">
        <is>
          <t>Archaeology / தொல்லியல்</t>
        </is>
      </c>
      <c r="K150" s="9" t="inlineStr">
        <is>
          <t>archaeology</t>
        </is>
      </c>
      <c r="L150" s="7" t="inlineStr">
        <is>
          <t>Yes</t>
        </is>
      </c>
      <c r="M150" s="9" t="inlineStr">
        <is>
          <t>Google News query: archaeology Vanni Tamil. Auto-collected 2026-10-14 (news); review.</t>
        </is>
      </c>
      <c r="N15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151">
      <c r="A151" s="11" t="inlineStr">
        <is>
          <t>ALL-0150</t>
        </is>
      </c>
      <c r="B151" s="11" t="inlineStr">
        <is>
          <t>Newspaper Articles</t>
        </is>
      </c>
      <c r="C151" s="12" t="inlineStr">
        <is>
          <t>2019</t>
        </is>
      </c>
      <c r="D151" s="11" t="inlineStr">
        <is>
          <t>2019-10-01</t>
        </is>
      </c>
      <c r="E151" s="13" t="inlineStr">
        <is>
          <t>பல ஆண்டுகளுக்குப் பின் தம்பலகாமத்தில் கண்டுபிடிக்கப்பட்ட அரிய தமிழ்க்கல்வெட்டு</t>
        </is>
      </c>
      <c r="F151" s="13" t="n"/>
      <c r="G151" s="13" t="inlineStr">
        <is>
          <t>Virakesari</t>
        </is>
      </c>
      <c r="H151" s="11" t="inlineStr">
        <is>
          <t>News</t>
        </is>
      </c>
      <c r="I151" s="11" t="inlineStr">
        <is>
          <t>Tamil</t>
        </is>
      </c>
      <c r="J151" s="13" t="inlineStr">
        <is>
          <t>Inscriptions / கல்வெட்டு</t>
        </is>
      </c>
      <c r="K151" s="13" t="inlineStr">
        <is>
          <t>கல்வெட்டு</t>
        </is>
      </c>
      <c r="L151" s="11" t="inlineStr">
        <is>
          <t>Yes</t>
        </is>
      </c>
      <c r="M151" s="13" t="inlineStr">
        <is>
          <t>Google News query: கல்வெட்டு இலங்கை. Auto-collected 2026-10-14 (news); review.</t>
        </is>
      </c>
      <c r="N151" s="14" t="inlineStr">
        <is>
          <t>https://news.google.com/rss/articles/CBMiUEFVX3lxTFBoclkwMTRjdmdKLWZ2aVE4Tk5VNUd5VlAyeVM4WG5EVHBNUFFfT2lwTkVweC1qLTJNODhBRE1wdUcxdVpvU3NVXzJFeGFKMXFp?oc=5</t>
        </is>
      </c>
    </row>
    <row r="152">
      <c r="A152" s="7" t="inlineStr">
        <is>
          <t>ALL-0151</t>
        </is>
      </c>
      <c r="B152" s="7" t="inlineStr">
        <is>
          <t>Newspaper Articles</t>
        </is>
      </c>
      <c r="C152" s="8" t="inlineStr">
        <is>
          <t>2018</t>
        </is>
      </c>
      <c r="D152" s="7" t="inlineStr">
        <is>
          <t>2018-02-11</t>
        </is>
      </c>
      <c r="E152" s="9" t="inlineStr">
        <is>
          <t>Head to the East for a feast of archaeological sites</t>
        </is>
      </c>
      <c r="F152" s="9" t="n"/>
      <c r="G152" s="9" t="inlineStr">
        <is>
          <t>Sunday Times (Sri Lanka)</t>
        </is>
      </c>
      <c r="H152" s="7" t="inlineStr">
        <is>
          <t>Feature</t>
        </is>
      </c>
      <c r="I152" s="7" t="inlineStr">
        <is>
          <t>English</t>
        </is>
      </c>
      <c r="J152" s="9" t="inlineStr">
        <is>
          <t>Archaeology / தொல்லியல்</t>
        </is>
      </c>
      <c r="K152" s="9" t="inlineStr">
        <is>
          <t>archaeology; Eastern Province</t>
        </is>
      </c>
      <c r="L152" s="7" t="inlineStr">
        <is>
          <t>Yes</t>
        </is>
      </c>
      <c r="M152" s="9" t="n"/>
      <c r="N152" s="10" t="inlineStr">
        <is>
          <t>https://www.sundaytimes.lk/180211/plus/head-to-the-east-for-a-feast-of-archaeological-sites-281129.html</t>
        </is>
      </c>
    </row>
    <row r="153">
      <c r="A153" s="11" t="inlineStr">
        <is>
          <t>ALL-0152</t>
        </is>
      </c>
      <c r="B153" s="11" t="inlineStr">
        <is>
          <t>Newspaper Articles</t>
        </is>
      </c>
      <c r="C153" s="12" t="inlineStr">
        <is>
          <t>2018</t>
        </is>
      </c>
      <c r="D153" s="11" t="inlineStr">
        <is>
          <t>2018-08-16</t>
        </is>
      </c>
      <c r="E153" s="13" t="inlineStr">
        <is>
          <t>New Delhi with ‘cultural presence’ not concerned about Chinese ‘heritage archaeology’ in Kayts</t>
        </is>
      </c>
      <c r="F153" s="13" t="n"/>
      <c r="G153" s="13" t="inlineStr">
        <is>
          <t>TamilNet</t>
        </is>
      </c>
      <c r="H153" s="11" t="inlineStr">
        <is>
          <t>News</t>
        </is>
      </c>
      <c r="I153" s="11" t="inlineStr">
        <is>
          <t>English</t>
        </is>
      </c>
      <c r="J153" s="13" t="inlineStr">
        <is>
          <t>Archaeology / தொல்லியல்</t>
        </is>
      </c>
      <c r="K153" s="13" t="inlineStr">
        <is>
          <t>archaeology</t>
        </is>
      </c>
      <c r="L153" s="11" t="inlineStr">
        <is>
          <t>Yes</t>
        </is>
      </c>
      <c r="M153" s="13" t="inlineStr">
        <is>
          <t>Google News query: archaeology Jaffna. Auto-collected 2026-10-14 (news); review.</t>
        </is>
      </c>
      <c r="N153" s="14" t="inlineStr">
        <is>
          <t>https://news.google.com/rss/articles/CBMiZEFVX3lxTE1OS2ZQSnVTU3JtZVR3Umthby1VWWZYdU1yakJCUExKQ0IzVG56Vm1JRDZDWkF2YV9waVZzWnowWWtkbjFxSWJMVlVSN01SRUtXeTdjNl9YQ0NlZloxUzU0N1ljeVQ?oc=5</t>
        </is>
      </c>
    </row>
    <row r="154">
      <c r="A154" s="7" t="inlineStr">
        <is>
          <t>ALL-0153</t>
        </is>
      </c>
      <c r="B154" s="7" t="inlineStr">
        <is>
          <t>Newspaper Articles</t>
        </is>
      </c>
      <c r="C154" s="8" t="inlineStr">
        <is>
          <t>2018</t>
        </is>
      </c>
      <c r="D154" s="7" t="inlineStr">
        <is>
          <t>2018-09-15</t>
        </is>
      </c>
      <c r="E154" s="9" t="inlineStr">
        <is>
          <t>China and Sri Lanka unite in Maritime Silk Road archaeological research</t>
        </is>
      </c>
      <c r="F154" s="9" t="n"/>
      <c r="G154" s="9" t="inlineStr">
        <is>
          <t>CGTN</t>
        </is>
      </c>
      <c r="H154" s="7" t="inlineStr">
        <is>
          <t>News</t>
        </is>
      </c>
      <c r="I154" s="7" t="inlineStr">
        <is>
          <t>English</t>
        </is>
      </c>
      <c r="J154" s="9" t="inlineStr">
        <is>
          <t>Archaeology / தொல்லியல்</t>
        </is>
      </c>
      <c r="K154" s="9" t="inlineStr">
        <is>
          <t>archaeological</t>
        </is>
      </c>
      <c r="L154" s="7" t="inlineStr">
        <is>
          <t>Yes</t>
        </is>
      </c>
      <c r="M154" s="9" t="inlineStr">
        <is>
          <t>Google News query: archaeology Jaffna. Auto-collected 2026-10-14 (news); review.</t>
        </is>
      </c>
      <c r="N15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155">
      <c r="A155" s="11" t="inlineStr">
        <is>
          <t>ALL-0154</t>
        </is>
      </c>
      <c r="B155" s="11" t="inlineStr">
        <is>
          <t>Newspaper Articles</t>
        </is>
      </c>
      <c r="C155" s="12" t="inlineStr">
        <is>
          <t>2017</t>
        </is>
      </c>
      <c r="D155" s="11" t="inlineStr">
        <is>
          <t>2017-01-04</t>
        </is>
      </c>
      <c r="E155" s="13" t="inlineStr">
        <is>
          <t>Standing the test of time</t>
        </is>
      </c>
      <c r="F155" s="13" t="n"/>
      <c r="G155" s="13" t="inlineStr">
        <is>
          <t>Daily News (Sri Lanka)</t>
        </is>
      </c>
      <c r="H155" s="11" t="inlineStr">
        <is>
          <t>Feature</t>
        </is>
      </c>
      <c r="I155" s="11" t="inlineStr">
        <is>
          <t>English</t>
        </is>
      </c>
      <c r="J155" s="13" t="inlineStr">
        <is>
          <t>Archaeology / தொல்லியல்</t>
        </is>
      </c>
      <c r="K155" s="13" t="inlineStr">
        <is>
          <t>archaeology</t>
        </is>
      </c>
      <c r="L155" s="11" t="inlineStr">
        <is>
          <t>Yes</t>
        </is>
      </c>
      <c r="M155" s="13" t="inlineStr">
        <is>
          <t>Relevance to verify</t>
        </is>
      </c>
      <c r="N155" s="14" t="inlineStr">
        <is>
          <t>https://archives1.dailynews.lk/2017/01/04/features/103659</t>
        </is>
      </c>
    </row>
    <row r="156">
      <c r="A156" s="7" t="inlineStr">
        <is>
          <t>ALL-0155</t>
        </is>
      </c>
      <c r="B156" s="7" t="inlineStr">
        <is>
          <t>Newspaper Articles</t>
        </is>
      </c>
      <c r="C156" s="8" t="inlineStr">
        <is>
          <t>2017</t>
        </is>
      </c>
      <c r="D156" s="7" t="inlineStr">
        <is>
          <t>2017-12-20</t>
        </is>
      </c>
      <c r="E156" s="9" t="inlineStr">
        <is>
          <t>Sri Lankan troops in Jaffna lectured on ‘archaeology’</t>
        </is>
      </c>
      <c r="F156" s="9" t="n"/>
      <c r="G156" s="9" t="inlineStr">
        <is>
          <t>Tamil Guardian</t>
        </is>
      </c>
      <c r="H156" s="7" t="inlineStr">
        <is>
          <t>News</t>
        </is>
      </c>
      <c r="I156" s="7" t="inlineStr">
        <is>
          <t>English</t>
        </is>
      </c>
      <c r="J156" s="9" t="inlineStr">
        <is>
          <t>Archaeology / தொல்லியல்</t>
        </is>
      </c>
      <c r="K156" s="9" t="inlineStr">
        <is>
          <t>archaeology</t>
        </is>
      </c>
      <c r="L156" s="7" t="inlineStr">
        <is>
          <t>Yes</t>
        </is>
      </c>
      <c r="M156" s="9" t="inlineStr">
        <is>
          <t>Google News query: archaeology Jaffna. Auto-collected 2026-10-14 (news); review.</t>
        </is>
      </c>
      <c r="N156" s="10" t="inlineStr">
        <is>
          <t>https://news.google.com/rss/articles/CBMiiwFBVV95cUxPcWJrT2RRWFB4dzZmS1RJY0FoOFZoQzY1ZWJsM0kzZGc4ZlNtZDZIVzBFYVdxdlZsbXNVeF9xOGJqLWh3d0xCNnIxRm5TV2d5RFN0QWJ1ZFJCazdrM1hlVmRXNHBub0pCdHd6Wk1LcTFnY3dydi1xd0J0dUxUNThpZVdnTjJGOUZHVXhF?oc=5</t>
        </is>
      </c>
    </row>
    <row r="157">
      <c r="A157" s="11" t="inlineStr">
        <is>
          <t>ALL-0156</t>
        </is>
      </c>
      <c r="B157" s="11" t="inlineStr">
        <is>
          <t>Newspaper Articles</t>
        </is>
      </c>
      <c r="C157" s="12" t="inlineStr">
        <is>
          <t>2014</t>
        </is>
      </c>
      <c r="D157" s="11" t="inlineStr">
        <is>
          <t>2014-06-06</t>
        </is>
      </c>
      <c r="E157" s="13" t="inlineStr">
        <is>
          <t>06.06.14 SL Army conducts ‘archaeology’, The Hindu relays ‘history’</t>
        </is>
      </c>
      <c r="F157" s="13" t="n"/>
      <c r="G157" s="13" t="inlineStr">
        <is>
          <t>TamilNet</t>
        </is>
      </c>
      <c r="H157" s="11" t="inlineStr">
        <is>
          <t>News</t>
        </is>
      </c>
      <c r="I157" s="11" t="inlineStr">
        <is>
          <t>English</t>
        </is>
      </c>
      <c r="J157" s="13" t="inlineStr">
        <is>
          <t>Archaeology / தொல்லியல்</t>
        </is>
      </c>
      <c r="K157" s="13" t="inlineStr">
        <is>
          <t>archaeology</t>
        </is>
      </c>
      <c r="L157" s="11" t="inlineStr">
        <is>
          <t>Yes</t>
        </is>
      </c>
      <c r="M157" s="13" t="inlineStr">
        <is>
          <t>Google News query: archaeology Jaffna. Auto-collected 2026-10-14 (news); review.</t>
        </is>
      </c>
      <c r="N157" s="14" t="inlineStr">
        <is>
          <t>https://news.google.com/rss/articles/CBMiZEFVX3lxTE1LRUlucXZoVEVIaGlNTU1tN3BjNmpYdGQ3eVhfeTJVb1JMTGhWMndLQVhWTl9VOUZrSm92Z3NFak5OQ05rdGdLLTN2SFNaR0tkT21zVHV0NTdncGN2QmVyT1YyVnA?oc=5</t>
        </is>
      </c>
    </row>
    <row r="158">
      <c r="A158" s="7" t="inlineStr">
        <is>
          <t>ALL-0157</t>
        </is>
      </c>
      <c r="B158" s="7" t="inlineStr">
        <is>
          <t>Newspaper Articles</t>
        </is>
      </c>
      <c r="C158" s="8" t="inlineStr">
        <is>
          <t>2013</t>
        </is>
      </c>
      <c r="D158" s="7" t="inlineStr">
        <is>
          <t>2013-03-10</t>
        </is>
      </c>
      <c r="E158" s="9" t="inlineStr">
        <is>
          <t>(Rock painting feature)</t>
        </is>
      </c>
      <c r="F158" s="9" t="n"/>
      <c r="G158" s="9" t="inlineStr">
        <is>
          <t>Sunday Observer</t>
        </is>
      </c>
      <c r="H158" s="7" t="inlineStr">
        <is>
          <t>Feature</t>
        </is>
      </c>
      <c r="I158" s="7" t="inlineStr">
        <is>
          <t>English</t>
        </is>
      </c>
      <c r="J158" s="9" t="inlineStr">
        <is>
          <t>Rock art / பாறை ஓவியம்</t>
        </is>
      </c>
      <c r="K158" s="9" t="inlineStr">
        <is>
          <t>rock paintings</t>
        </is>
      </c>
      <c r="L158" s="7" t="inlineStr">
        <is>
          <t>Yes</t>
        </is>
      </c>
      <c r="M158" s="9" t="inlineStr">
        <is>
          <t>Title to verify</t>
        </is>
      </c>
      <c r="N158" s="10" t="inlineStr">
        <is>
          <t>https://archives.sundayobserver.lk/2013/03/10/mon13.asp</t>
        </is>
      </c>
    </row>
    <row r="159">
      <c r="A159" s="11" t="inlineStr">
        <is>
          <t>ALL-0158</t>
        </is>
      </c>
      <c r="B159" s="11" t="inlineStr">
        <is>
          <t>Newspaper Articles</t>
        </is>
      </c>
      <c r="C159" s="12" t="inlineStr">
        <is>
          <t>2013</t>
        </is>
      </c>
      <c r="D159" s="11" t="inlineStr">
        <is>
          <t>2013-07-27</t>
        </is>
      </c>
      <c r="E159" s="13" t="inlineStr">
        <is>
          <t>27.07.13 Sinhala archaeology focuses operation in North-East corridor</t>
        </is>
      </c>
      <c r="F159" s="13" t="n"/>
      <c r="G159" s="13" t="inlineStr">
        <is>
          <t>TamilNet</t>
        </is>
      </c>
      <c r="H159" s="11" t="inlineStr">
        <is>
          <t>News</t>
        </is>
      </c>
      <c r="I159" s="11" t="inlineStr">
        <is>
          <t>English</t>
        </is>
      </c>
      <c r="J159" s="13" t="inlineStr">
        <is>
          <t>Archaeology / தொல்லியல்</t>
        </is>
      </c>
      <c r="K159" s="13" t="inlineStr">
        <is>
          <t>archaeology</t>
        </is>
      </c>
      <c r="L159" s="11" t="inlineStr">
        <is>
          <t>Yes</t>
        </is>
      </c>
      <c r="M159" s="13" t="inlineStr">
        <is>
          <t>Google News query: Tamil inscription Sri Lanka. Auto-collected 2026-10-14 (news); review.</t>
        </is>
      </c>
      <c r="N159" s="14" t="inlineStr">
        <is>
          <t>https://news.google.com/rss/articles/CBMiZEFVX3lxTFBYTGhDRkNEazhYNFktcnRoUDZWQVFXUHpIeXM4a3dWbVlmUnZhUzlpa29pX01YajNWTXlhN2ZZQXlHR3Z5dWFBZ0dYS003TTJjYmJ0ZVUtYmRCVW5RMDliLWY2clE?oc=5</t>
        </is>
      </c>
    </row>
    <row r="160">
      <c r="A160" s="7" t="inlineStr">
        <is>
          <t>ALL-0159</t>
        </is>
      </c>
      <c r="B160" s="7" t="inlineStr">
        <is>
          <t>Newspaper Articles</t>
        </is>
      </c>
      <c r="C160" s="8" t="inlineStr">
        <is>
          <t>2013</t>
        </is>
      </c>
      <c r="D160" s="7" t="inlineStr">
        <is>
          <t>2013-09-13</t>
        </is>
      </c>
      <c r="E160" s="9" t="inlineStr">
        <is>
          <t>13.09.13 Sri Lanka archaeology claims finding ‘Sinhala Prakrit’ in Delft</t>
        </is>
      </c>
      <c r="F160" s="9" t="n"/>
      <c r="G160" s="9" t="inlineStr">
        <is>
          <t>TamilNet</t>
        </is>
      </c>
      <c r="H160" s="7" t="inlineStr">
        <is>
          <t>News</t>
        </is>
      </c>
      <c r="I160" s="7" t="inlineStr">
        <is>
          <t>English</t>
        </is>
      </c>
      <c r="J160" s="9" t="inlineStr">
        <is>
          <t>Archaeology / தொல்லியல்</t>
        </is>
      </c>
      <c r="K160" s="9" t="inlineStr">
        <is>
          <t>archaeology</t>
        </is>
      </c>
      <c r="L160" s="7" t="inlineStr">
        <is>
          <t>Yes</t>
        </is>
      </c>
      <c r="M160" s="9" t="inlineStr">
        <is>
          <t>Google News query: Tamil inscription Sri Lanka. Auto-collected 2026-10-14 (news); review.</t>
        </is>
      </c>
      <c r="N160" s="10" t="inlineStr">
        <is>
          <t>https://news.google.com/rss/articles/CBMiZEFVX3lxTE9kekJTQWdVczhfMzVmbF9ETVpFUHFGbEw2Mk5LR2JoSXFEelNqZEE5TmJ2VkhubTZJcnJKeE1MLUNTeTdGZFkwbkJQU3dwLTBRSkluenBvbnJraDk3cHN3aER3SW8?oc=5</t>
        </is>
      </c>
    </row>
    <row r="161">
      <c r="A161" s="11" t="inlineStr">
        <is>
          <t>ALL-0160</t>
        </is>
      </c>
      <c r="B161" s="11" t="inlineStr">
        <is>
          <t>Newspaper Articles</t>
        </is>
      </c>
      <c r="C161" s="12" t="inlineStr">
        <is>
          <t>2012</t>
        </is>
      </c>
      <c r="D161" s="11" t="inlineStr">
        <is>
          <t>2012-10-30</t>
        </is>
      </c>
      <c r="E161" s="13" t="inlineStr">
        <is>
          <t>Tamil went to Oman 20 centuries ago</t>
        </is>
      </c>
      <c r="F161" s="13" t="n"/>
      <c r="G161" s="13" t="inlineStr">
        <is>
          <t>TamilNet</t>
        </is>
      </c>
      <c r="H161" s="11" t="inlineStr">
        <is>
          <t>News</t>
        </is>
      </c>
      <c r="I161" s="11" t="inlineStr">
        <is>
          <t>English</t>
        </is>
      </c>
      <c r="J161" s="13" t="inlineStr">
        <is>
          <t>Brahmi / பிராமி</t>
        </is>
      </c>
      <c r="K161" s="13" t="inlineStr">
        <is>
          <t>Tamil Brahmi; overseas</t>
        </is>
      </c>
      <c r="L161" s="11" t="inlineStr">
        <is>
          <t>Yes</t>
        </is>
      </c>
      <c r="M161" s="13" t="n"/>
      <c r="N161" s="14" t="inlineStr">
        <is>
          <t>https://tamilnet.com/art.html?artid=35707&amp;catid=79</t>
        </is>
      </c>
    </row>
    <row r="162">
      <c r="A162" s="7" t="inlineStr">
        <is>
          <t>ALL-0161</t>
        </is>
      </c>
      <c r="B162" s="7" t="inlineStr">
        <is>
          <t>Newspaper Articles</t>
        </is>
      </c>
      <c r="C162" s="8" t="inlineStr">
        <is>
          <t>2011</t>
        </is>
      </c>
      <c r="D162" s="7" t="n"/>
      <c r="E162" s="9" t="inlineStr">
        <is>
          <t>Would the heritage monuments which characterize our culture be considered during road development?</t>
        </is>
      </c>
      <c r="F162" s="9" t="inlineStr">
        <is>
          <t>S. Sajitharan</t>
        </is>
      </c>
      <c r="G162" s="9" t="inlineStr">
        <is>
          <t>Sunday Yarl Thinakkural</t>
        </is>
      </c>
      <c r="H162" s="7" t="inlineStr">
        <is>
          <t>Feature</t>
        </is>
      </c>
      <c r="I162" s="7" t="inlineStr">
        <is>
          <t>Tamil</t>
        </is>
      </c>
      <c r="J162" s="9" t="inlineStr">
        <is>
          <t>Archaeology / தொல்லியல்</t>
        </is>
      </c>
      <c r="K162" s="9" t="inlineStr">
        <is>
          <t>heritage; monuments</t>
        </is>
      </c>
      <c r="L162" s="7" t="inlineStr">
        <is>
          <t>Yes</t>
        </is>
      </c>
      <c r="M162" s="9" t="n"/>
      <c r="N162" s="10" t="inlineStr">
        <is>
          <t>https://www.his.jfn.ac.lk/?p=791</t>
        </is>
      </c>
    </row>
    <row r="163">
      <c r="A163" s="11" t="inlineStr">
        <is>
          <t>ALL-0162</t>
        </is>
      </c>
      <c r="B163" s="11" t="inlineStr">
        <is>
          <t>Newspaper Articles</t>
        </is>
      </c>
      <c r="C163" s="12" t="inlineStr">
        <is>
          <t>2011</t>
        </is>
      </c>
      <c r="D163" s="11" t="inlineStr">
        <is>
          <t>2011-02-15</t>
        </is>
      </c>
      <c r="E163" s="13" t="inlineStr">
        <is>
          <t>அழிந்த சிவன் கோயிலின் எச்சங்கள்</t>
        </is>
      </c>
      <c r="F163" s="13" t="n"/>
      <c r="G163" s="13" t="inlineStr">
        <is>
          <t>Thinakaran</t>
        </is>
      </c>
      <c r="H163" s="11" t="inlineStr">
        <is>
          <t>Feature</t>
        </is>
      </c>
      <c r="I163" s="11" t="inlineStr">
        <is>
          <t>Tamil</t>
        </is>
      </c>
      <c r="J163" s="13" t="inlineStr">
        <is>
          <t>Archaeology / தொல்லியல்</t>
        </is>
      </c>
      <c r="K163" s="13" t="inlineStr">
        <is>
          <t>தொல்லியல்; temple ruins</t>
        </is>
      </c>
      <c r="L163" s="11" t="inlineStr">
        <is>
          <t>Yes</t>
        </is>
      </c>
      <c r="M163" s="13" t="n"/>
      <c r="N163" s="14" t="inlineStr">
        <is>
          <t>https://archives.thinakaran.lk/2011/02/15/?fn=i1102155&amp;p=1</t>
        </is>
      </c>
    </row>
    <row r="164">
      <c r="A164" s="7" t="inlineStr">
        <is>
          <t>ALL-0163</t>
        </is>
      </c>
      <c r="B164" s="7" t="inlineStr">
        <is>
          <t>Newspaper Articles</t>
        </is>
      </c>
      <c r="C164" s="8" t="inlineStr">
        <is>
          <t>2010</t>
        </is>
      </c>
      <c r="D164" s="7" t="inlineStr">
        <is>
          <t>2010-06-27</t>
        </is>
      </c>
      <c r="E164" s="9" t="inlineStr">
        <is>
          <t>27.06.10 Tamil Brahmi inscription found in Tissamaharama</t>
        </is>
      </c>
      <c r="F164" s="9" t="n"/>
      <c r="G164" s="9" t="inlineStr">
        <is>
          <t>TamilNet</t>
        </is>
      </c>
      <c r="H164" s="7" t="inlineStr">
        <is>
          <t>News</t>
        </is>
      </c>
      <c r="I164" s="7" t="inlineStr">
        <is>
          <t>English</t>
        </is>
      </c>
      <c r="J164" s="9" t="inlineStr">
        <is>
          <t>Inscriptions / கல்வெட்டு; Brahmi / பிராமி</t>
        </is>
      </c>
      <c r="K164" s="9" t="inlineStr">
        <is>
          <t>inscription; brahmi</t>
        </is>
      </c>
      <c r="L164" s="7" t="inlineStr">
        <is>
          <t>Yes</t>
        </is>
      </c>
      <c r="M164" s="9" t="inlineStr">
        <is>
          <t>Google News query: Tamil inscription Sri Lanka. Auto-collected 2026-10-14 (news); review.</t>
        </is>
      </c>
      <c r="N164" s="10" t="inlineStr">
        <is>
          <t>https://news.google.com/rss/articles/CBMiZEFVX3lxTFB5WW9oaWc3X0tSS3prMVNvUmNkY2VLYjAxVENYak05RW9nQXhwT1FkNGpQVjQ3bVFLVG0tU1Ruem8wVWJzQTg3ZzJEZURsM252enJ2OVUwdzY5S1gtNFRTdHRpenE?oc=5</t>
        </is>
      </c>
    </row>
    <row r="165">
      <c r="A165" s="11" t="inlineStr">
        <is>
          <t>ALL-0164</t>
        </is>
      </c>
      <c r="B165" s="11" t="inlineStr">
        <is>
          <t>Newspaper Articles</t>
        </is>
      </c>
      <c r="C165" s="12" t="inlineStr">
        <is>
          <t>2010</t>
        </is>
      </c>
      <c r="D165" s="11" t="inlineStr">
        <is>
          <t>2010-07-28</t>
        </is>
      </c>
      <c r="E165" s="13" t="inlineStr">
        <is>
          <t>28.07.10 Tissamaharama potsherd evidences ordinary early Tamils among population</t>
        </is>
      </c>
      <c r="F165" s="13" t="n"/>
      <c r="G165" s="13" t="inlineStr">
        <is>
          <t>TamilNet</t>
        </is>
      </c>
      <c r="H165" s="11" t="inlineStr">
        <is>
          <t>News</t>
        </is>
      </c>
      <c r="I165" s="11" t="inlineStr">
        <is>
          <t>English</t>
        </is>
      </c>
      <c r="J165" s="13" t="inlineStr">
        <is>
          <t>Brahmi / பிராமி</t>
        </is>
      </c>
      <c r="K165" s="13" t="inlineStr">
        <is>
          <t>potsherd</t>
        </is>
      </c>
      <c r="L165" s="11" t="inlineStr">
        <is>
          <t>Yes</t>
        </is>
      </c>
      <c r="M165" s="13" t="inlineStr">
        <is>
          <t>Google News query: Tamil Brahmi Sri Lanka. Auto-collected 2026-10-14 (news); review.</t>
        </is>
      </c>
      <c r="N165" s="14" t="inlineStr">
        <is>
          <t>https://news.google.com/rss/articles/CBMiZEFVX3lxTE81YVVJN0xuNnVVY19CVV8yVDBQeXotR3VEN0lGaFo1dGpyR19jaVp5RmVhRWo4VllaVDlQMERlVFZISl82alYxZERQbHk3djdZaGQ3QTBpNDZyQ0RzajRWNmJzTi0?oc=5</t>
        </is>
      </c>
    </row>
    <row r="166">
      <c r="A166" s="7" t="inlineStr">
        <is>
          <t>ALL-0165</t>
        </is>
      </c>
      <c r="B166" s="7" t="inlineStr">
        <is>
          <t>Newspaper Articles</t>
        </is>
      </c>
      <c r="C166" s="8" t="inlineStr">
        <is>
          <t>2010</t>
        </is>
      </c>
      <c r="D166" s="7" t="inlineStr">
        <is>
          <t>2010-09-08</t>
        </is>
      </c>
      <c r="E166" s="9" t="inlineStr">
        <is>
          <t>08.09.10 SL Army, Archaeology dept appropriate lands of uprooted Tamils in Maathakal</t>
        </is>
      </c>
      <c r="F166" s="9" t="n"/>
      <c r="G166" s="9" t="inlineStr">
        <is>
          <t>TamilNet</t>
        </is>
      </c>
      <c r="H166" s="7" t="inlineStr">
        <is>
          <t>News</t>
        </is>
      </c>
      <c r="I166" s="7" t="inlineStr">
        <is>
          <t>English</t>
        </is>
      </c>
      <c r="J166" s="9" t="inlineStr">
        <is>
          <t>Archaeology / தொல்லியல்</t>
        </is>
      </c>
      <c r="K166" s="9" t="inlineStr">
        <is>
          <t>archaeology</t>
        </is>
      </c>
      <c r="L166" s="7" t="inlineStr">
        <is>
          <t>Yes</t>
        </is>
      </c>
      <c r="M166" s="9" t="inlineStr">
        <is>
          <t>Google News query: archaeology Jaffna. Auto-collected 2026-10-14 (news); review.</t>
        </is>
      </c>
      <c r="N166" s="10" t="inlineStr">
        <is>
          <t>https://news.google.com/rss/articles/CBMiZEFVX3lxTFBENjVRODRyaWJQVnFWX19mQTFVTHlJcWZ3Si1fVFdPbHB0WDFZS19OVllKLTU2RGdqRHMyV3dBbVgzQjdSXzQtUW1hcGFMcXBIMTlVTHo2d0lFRVQzaVdDNzFlM0Y?oc=5</t>
        </is>
      </c>
    </row>
    <row r="167">
      <c r="A167" s="11" t="inlineStr">
        <is>
          <t>ALL-0166</t>
        </is>
      </c>
      <c r="B167" s="11" t="inlineStr">
        <is>
          <t>Newspaper Articles</t>
        </is>
      </c>
      <c r="C167" s="12" t="inlineStr">
        <is>
          <t>2010</t>
        </is>
      </c>
      <c r="D167" s="11" t="inlineStr">
        <is>
          <t>2010-10-21</t>
        </is>
      </c>
      <c r="E167" s="13" t="inlineStr">
        <is>
          <t>21.10.10 Tissamaharama Tamil Brahmi inscription ‘missing’</t>
        </is>
      </c>
      <c r="F167" s="13" t="n"/>
      <c r="G167" s="13" t="inlineStr">
        <is>
          <t>TamilNet</t>
        </is>
      </c>
      <c r="H167" s="11" t="inlineStr">
        <is>
          <t>News</t>
        </is>
      </c>
      <c r="I167" s="11" t="inlineStr">
        <is>
          <t>English</t>
        </is>
      </c>
      <c r="J167" s="13" t="inlineStr">
        <is>
          <t>Inscriptions / கல்வெட்டு; Brahmi / பிராமி</t>
        </is>
      </c>
      <c r="K167" s="13" t="inlineStr">
        <is>
          <t>inscription; brahmi</t>
        </is>
      </c>
      <c r="L167" s="11" t="inlineStr">
        <is>
          <t>Yes</t>
        </is>
      </c>
      <c r="M167" s="13" t="inlineStr">
        <is>
          <t>Google News query: Tamil inscription Sri Lanka. Auto-collected 2026-10-14 (news); review.</t>
        </is>
      </c>
      <c r="N167" s="14" t="inlineStr">
        <is>
          <t>https://news.google.com/rss/articles/CBMiZEFVX3lxTE9ZUmVrNXZBN1dsTWFrLXJ1XzI5QkxKT2ZpdTZ5VEN6b2gtTVJMaGQ3SEQyZFBVRUoxOEN4SlBmeXhiRFU3QVBZcklScVVsZTB3Y3czUndwMWs4Sjl6SkZSejkxMk4?oc=5</t>
        </is>
      </c>
    </row>
    <row r="168">
      <c r="A168" s="7" t="inlineStr">
        <is>
          <t>ALL-0167</t>
        </is>
      </c>
      <c r="B168" s="7" t="inlineStr">
        <is>
          <t>Newspaper Articles</t>
        </is>
      </c>
      <c r="C168" s="8" t="inlineStr">
        <is>
          <t>2010</t>
        </is>
      </c>
      <c r="D168" s="7" t="inlineStr">
        <is>
          <t>2010-10-23</t>
        </is>
      </c>
      <c r="E168" s="9" t="inlineStr">
        <is>
          <t>23.10.10 Millennium old Tamil inscription found in Trincomalee</t>
        </is>
      </c>
      <c r="F168" s="9" t="n"/>
      <c r="G168" s="9" t="inlineStr">
        <is>
          <t>TamilNet</t>
        </is>
      </c>
      <c r="H168" s="7" t="inlineStr">
        <is>
          <t>News</t>
        </is>
      </c>
      <c r="I168" s="7" t="inlineStr">
        <is>
          <t>English</t>
        </is>
      </c>
      <c r="J168" s="9" t="inlineStr">
        <is>
          <t>Inscriptions / கல்வெட்டு</t>
        </is>
      </c>
      <c r="K168" s="9" t="inlineStr">
        <is>
          <t>inscription</t>
        </is>
      </c>
      <c r="L168" s="7" t="inlineStr">
        <is>
          <t>Yes</t>
        </is>
      </c>
      <c r="M168" s="9" t="inlineStr">
        <is>
          <t>Google News query: Tamil inscription Sri Lanka. Auto-collected 2026-10-14 (news); review.</t>
        </is>
      </c>
      <c r="N168" s="10" t="inlineStr">
        <is>
          <t>https://news.google.com/rss/articles/CBMiZEFVX3lxTE9QamFYeDFUVjF1cDZyQmJuZXBEcWdyZktXREtyNC1XMkRwbzlsNTdxVXhRNUdWOW53bGVmWW5pMk9INXVMc0VSVmhYczA0U3lfVmtkWUF0V1BEb0dVUWJJRW4zMko?oc=5</t>
        </is>
      </c>
    </row>
    <row r="169">
      <c r="A169" s="11" t="inlineStr">
        <is>
          <t>ALL-0168</t>
        </is>
      </c>
      <c r="B169" s="11" t="inlineStr">
        <is>
          <t>Newspaper Articles</t>
        </is>
      </c>
      <c r="C169" s="12" t="inlineStr">
        <is>
          <t>2008</t>
        </is>
      </c>
      <c r="D169" s="11" t="inlineStr">
        <is>
          <t>2008-05-04</t>
        </is>
      </c>
      <c r="E169" s="13" t="inlineStr">
        <is>
          <t>A solid work in range and richness (review of Rock and Wall Paintings of Sri Lanka)</t>
        </is>
      </c>
      <c r="F169" s="13" t="inlineStr">
        <is>
          <t>Ashley Halpé</t>
        </is>
      </c>
      <c r="G169" s="13" t="inlineStr">
        <is>
          <t>Sunday Times (Sri Lanka)</t>
        </is>
      </c>
      <c r="H169" s="11" t="inlineStr">
        <is>
          <t>Book review</t>
        </is>
      </c>
      <c r="I169" s="11" t="inlineStr">
        <is>
          <t>English</t>
        </is>
      </c>
      <c r="J169" s="13" t="inlineStr">
        <is>
          <t>Rock art / பாறை ஓவியம்</t>
        </is>
      </c>
      <c r="K169" s="13" t="inlineStr">
        <is>
          <t>rock art; review</t>
        </is>
      </c>
      <c r="L169" s="11" t="inlineStr">
        <is>
          <t>Yes</t>
        </is>
      </c>
      <c r="M169" s="13" t="n"/>
      <c r="N169" s="14" t="inlineStr">
        <is>
          <t>https://www.sundaytimes.lk/080504/Plus/plus000025.html</t>
        </is>
      </c>
    </row>
    <row r="170">
      <c r="A170" s="7" t="inlineStr">
        <is>
          <t>ALL-0169</t>
        </is>
      </c>
      <c r="B170" s="7" t="inlineStr">
        <is>
          <t>Newspaper Articles</t>
        </is>
      </c>
      <c r="C170" s="8" t="inlineStr">
        <is>
          <t>2000</t>
        </is>
      </c>
      <c r="D170" s="7" t="inlineStr">
        <is>
          <t>2000-04-23</t>
        </is>
      </c>
      <c r="E170" s="9" t="inlineStr">
        <is>
          <t>Coins of history</t>
        </is>
      </c>
      <c r="F170" s="9" t="inlineStr">
        <is>
          <t>D. C. Ranatunga</t>
        </is>
      </c>
      <c r="G170" s="9" t="inlineStr">
        <is>
          <t>Sunday Times (Sri Lanka)</t>
        </is>
      </c>
      <c r="H170" s="7" t="inlineStr">
        <is>
          <t>Book review</t>
        </is>
      </c>
      <c r="I170" s="7" t="inlineStr">
        <is>
          <t>English</t>
        </is>
      </c>
      <c r="J170" s="9" t="inlineStr">
        <is>
          <t>Coins / நாணயம்</t>
        </is>
      </c>
      <c r="K170" s="9" t="inlineStr">
        <is>
          <t>coins; Tissamaharama</t>
        </is>
      </c>
      <c r="L170" s="7" t="inlineStr">
        <is>
          <t>Yes</t>
        </is>
      </c>
      <c r="M170" s="9" t="n"/>
      <c r="N170" s="10" t="inlineStr">
        <is>
          <t>https://www.sundaytimes.lk/000423/plus3.html</t>
        </is>
      </c>
    </row>
    <row r="171">
      <c r="A171" s="11" t="inlineStr">
        <is>
          <t>ALL-0170</t>
        </is>
      </c>
      <c r="B171" s="11" t="inlineStr">
        <is>
          <t>Newspaper Articles</t>
        </is>
      </c>
      <c r="C171" s="12" t="n"/>
      <c r="D171" s="11" t="n"/>
      <c r="E171" s="13" t="inlineStr">
        <is>
          <t>2,000-year-old Tamil-Brahmi inscriptions discovered in Egypt's Valley of the Kings</t>
        </is>
      </c>
      <c r="F171" s="13" t="n"/>
      <c r="G171" s="13" t="inlineStr">
        <is>
          <t>Tamil Guardian</t>
        </is>
      </c>
      <c r="H171" s="11" t="inlineStr">
        <is>
          <t>News</t>
        </is>
      </c>
      <c r="I171" s="11" t="inlineStr">
        <is>
          <t>English</t>
        </is>
      </c>
      <c r="J171" s="13" t="inlineStr">
        <is>
          <t>Inscriptions / கல்வெட்டு; Brahmi / பிராமி</t>
        </is>
      </c>
      <c r="K171" s="13" t="inlineStr">
        <is>
          <t>Tamil Brahmi; overseas</t>
        </is>
      </c>
      <c r="L171" s="11" t="inlineStr">
        <is>
          <t>Unknown</t>
        </is>
      </c>
      <c r="M171" s="13" t="inlineStr">
        <is>
          <t>Context item (not Sri Lanka)</t>
        </is>
      </c>
      <c r="N171" s="14" t="inlineStr">
        <is>
          <t>https://www.tamilguardian.com/content/2000-year-old-tamil-brahmi-inscriptions-discovered-egypts-valley-kings</t>
        </is>
      </c>
    </row>
    <row r="172">
      <c r="A172" s="7" t="inlineStr">
        <is>
          <t>ALL-0171</t>
        </is>
      </c>
      <c r="B172" s="7" t="inlineStr">
        <is>
          <t>Newspaper Articles</t>
        </is>
      </c>
      <c r="C172" s="8" t="n"/>
      <c r="D172" s="7" t="n"/>
      <c r="E172" s="9" t="inlineStr">
        <is>
          <t>3,400 year old human remains discovered in Velanai, Jaffna</t>
        </is>
      </c>
      <c r="F172" s="9" t="n"/>
      <c r="G172" s="9" t="inlineStr">
        <is>
          <t>Tamil Guardian</t>
        </is>
      </c>
      <c r="H172" s="7" t="inlineStr">
        <is>
          <t>News</t>
        </is>
      </c>
      <c r="I172" s="7" t="inlineStr">
        <is>
          <t>English</t>
        </is>
      </c>
      <c r="J172" s="9" t="inlineStr">
        <is>
          <t>Archaeology / தொல்லியல்</t>
        </is>
      </c>
      <c r="K172" s="9" t="inlineStr">
        <is>
          <t>archaeology; Velanai; megalithic</t>
        </is>
      </c>
      <c r="L172" s="7" t="inlineStr">
        <is>
          <t>Unknown</t>
        </is>
      </c>
      <c r="M172" s="9" t="n"/>
      <c r="N172" s="10" t="inlineStr">
        <is>
          <t>https://www.tamilguardian.com/content/3400-year-old-human-remains-discovered-velanai-jaffna</t>
        </is>
      </c>
    </row>
    <row r="173">
      <c r="A173" s="11" t="inlineStr">
        <is>
          <t>ALL-0172</t>
        </is>
      </c>
      <c r="B173" s="11" t="inlineStr">
        <is>
          <t>Newspaper Articles</t>
        </is>
      </c>
      <c r="C173" s="12" t="n"/>
      <c r="D173" s="11" t="n"/>
      <c r="E173" s="13" t="inlineStr">
        <is>
          <t>Ancient Pandyan coins bring intrigue and dispute in Sri Lanka</t>
        </is>
      </c>
      <c r="F173" s="13" t="n"/>
      <c r="G173" s="13" t="inlineStr">
        <is>
          <t>Tamil Guardian</t>
        </is>
      </c>
      <c r="H173" s="11" t="inlineStr">
        <is>
          <t>News</t>
        </is>
      </c>
      <c r="I173" s="11" t="inlineStr">
        <is>
          <t>English</t>
        </is>
      </c>
      <c r="J173" s="13" t="inlineStr">
        <is>
          <t>Coins / நாணயம்</t>
        </is>
      </c>
      <c r="K173" s="13" t="inlineStr">
        <is>
          <t>coins; Pandya</t>
        </is>
      </c>
      <c r="L173" s="11" t="inlineStr">
        <is>
          <t>Unknown</t>
        </is>
      </c>
      <c r="M173" s="13" t="n"/>
      <c r="N173" s="14" t="inlineStr">
        <is>
          <t>https://www.tamilguardian.com/content/ancient-pandyan-coins-bring-intrigue-and-dispute-sri-lanka</t>
        </is>
      </c>
    </row>
    <row r="174">
      <c r="A174" s="7" t="inlineStr">
        <is>
          <t>ALL-0173</t>
        </is>
      </c>
      <c r="B174" s="7" t="inlineStr">
        <is>
          <t>Newspaper Articles</t>
        </is>
      </c>
      <c r="C174" s="8" t="n"/>
      <c r="D174" s="7" t="n"/>
      <c r="E174" s="9" t="inlineStr">
        <is>
          <t>Book Review: The Historian As Bridge</t>
        </is>
      </c>
      <c r="F174" s="9" t="n"/>
      <c r="G174" s="9" t="inlineStr">
        <is>
          <t>Colombo Telegraph</t>
        </is>
      </c>
      <c r="H174" s="7" t="inlineStr">
        <is>
          <t>Review</t>
        </is>
      </c>
      <c r="I174" s="7" t="inlineStr">
        <is>
          <t>English</t>
        </is>
      </c>
      <c r="J174" s="9" t="n"/>
      <c r="K174" s="9" t="inlineStr">
        <is>
          <t>book review</t>
        </is>
      </c>
      <c r="L174" s="7" t="inlineStr">
        <is>
          <t>Unknown</t>
        </is>
      </c>
      <c r="M174" s="9" t="n"/>
      <c r="N174" s="10" t="inlineStr">
        <is>
          <t>https://www.colombotelegraph.com/index.php/book-review-the-historian-as-bridge/</t>
        </is>
      </c>
    </row>
    <row r="175">
      <c r="A175" s="11" t="inlineStr">
        <is>
          <t>ALL-0174</t>
        </is>
      </c>
      <c r="B175" s="11" t="inlineStr">
        <is>
          <t>Newspaper Articles</t>
        </is>
      </c>
      <c r="C175" s="12" t="n"/>
      <c r="D175" s="11" t="n"/>
      <c r="E175" s="13" t="inlineStr">
        <is>
          <t>C V Wigneswaran on Pathmanathan's book</t>
        </is>
      </c>
      <c r="F175" s="13" t="n"/>
      <c r="G175" s="13" t="inlineStr">
        <is>
          <t>Sunday Observer</t>
        </is>
      </c>
      <c r="H175" s="11" t="inlineStr">
        <is>
          <t>Feature</t>
        </is>
      </c>
      <c r="I175" s="11" t="inlineStr">
        <is>
          <t>English</t>
        </is>
      </c>
      <c r="J175" s="13" t="n"/>
      <c r="K175" s="13" t="inlineStr">
        <is>
          <t>book review; Pathmanathan</t>
        </is>
      </c>
      <c r="L175" s="11" t="inlineStr">
        <is>
          <t>Unknown</t>
        </is>
      </c>
      <c r="M175" s="13" t="n"/>
      <c r="N175" s="14" t="inlineStr">
        <is>
          <t>https://archives1.sundayobserver.lk/node/26758</t>
        </is>
      </c>
    </row>
    <row r="176">
      <c r="A176" s="7" t="inlineStr">
        <is>
          <t>ALL-0175</t>
        </is>
      </c>
      <c r="B176" s="7" t="inlineStr">
        <is>
          <t>Newspaper Articles</t>
        </is>
      </c>
      <c r="C176" s="8" t="n"/>
      <c r="D176" s="7" t="n"/>
      <c r="E176" s="9" t="inlineStr">
        <is>
          <t>Little known facets of Sri Lankan history: a Chola princess and the old name for Jaffna</t>
        </is>
      </c>
      <c r="F176" s="9" t="n"/>
      <c r="G176" s="9" t="inlineStr">
        <is>
          <t>The Island</t>
        </is>
      </c>
      <c r="H176" s="7" t="inlineStr">
        <is>
          <t>Feature</t>
        </is>
      </c>
      <c r="I176" s="7" t="inlineStr">
        <is>
          <t>English</t>
        </is>
      </c>
      <c r="J176" s="9" t="n"/>
      <c r="K176" s="9" t="inlineStr">
        <is>
          <t>Chola; Jaffna</t>
        </is>
      </c>
      <c r="L176" s="7" t="inlineStr">
        <is>
          <t>Unknown</t>
        </is>
      </c>
      <c r="M176" s="9" t="n"/>
      <c r="N176" s="10" t="inlineStr">
        <is>
          <t>https://island.lk/little-known-facets-of-sri-lankan-historya-chola-princess-and-the-old-name-for-jaffna/</t>
        </is>
      </c>
    </row>
    <row r="177">
      <c r="A177" s="11" t="inlineStr">
        <is>
          <t>ALL-0176</t>
        </is>
      </c>
      <c r="B177" s="11" t="inlineStr">
        <is>
          <t>Newspaper Articles</t>
        </is>
      </c>
      <c r="C177" s="12" t="n"/>
      <c r="D177" s="11" t="n"/>
      <c r="E177" s="13" t="inlineStr">
        <is>
          <t>Neelagiri Hela Bithusithuwam</t>
        </is>
      </c>
      <c r="F177" s="13" t="n"/>
      <c r="G177" s="13" t="inlineStr">
        <is>
          <t>Sunday Observer</t>
        </is>
      </c>
      <c r="H177" s="11" t="inlineStr">
        <is>
          <t>Feature</t>
        </is>
      </c>
      <c r="I177" s="11" t="inlineStr">
        <is>
          <t>English</t>
        </is>
      </c>
      <c r="J177" s="13" t="inlineStr">
        <is>
          <t>Rock art / பாறை ஓவியம்</t>
        </is>
      </c>
      <c r="K177" s="13" t="inlineStr">
        <is>
          <t>paintings; Neelagiri</t>
        </is>
      </c>
      <c r="L177" s="11" t="inlineStr">
        <is>
          <t>Unknown</t>
        </is>
      </c>
      <c r="M177" s="13" t="n"/>
      <c r="N177" s="14" t="inlineStr">
        <is>
          <t>https://archives1.sundayobserver.lk/node/59637</t>
        </is>
      </c>
    </row>
    <row r="178">
      <c r="A178" s="7" t="inlineStr">
        <is>
          <t>ALL-0177</t>
        </is>
      </c>
      <c r="B178" s="7" t="inlineStr">
        <is>
          <t>Newspaper Articles</t>
        </is>
      </c>
      <c r="C178" s="8" t="n"/>
      <c r="D178" s="7" t="n"/>
      <c r="E178" s="9" t="inlineStr">
        <is>
          <t>Reptiles in rock and time: unveiling Sri Lanka's ancient herpetological art</t>
        </is>
      </c>
      <c r="F178" s="9" t="n"/>
      <c r="G178" s="9" t="inlineStr">
        <is>
          <t>The Island</t>
        </is>
      </c>
      <c r="H178" s="7" t="inlineStr">
        <is>
          <t>News</t>
        </is>
      </c>
      <c r="I178" s="7" t="inlineStr">
        <is>
          <t>English</t>
        </is>
      </c>
      <c r="J178" s="9" t="inlineStr">
        <is>
          <t>Rock art / பாறை ஓவியம்</t>
        </is>
      </c>
      <c r="K178" s="9" t="inlineStr">
        <is>
          <t>rock art; பாறை ஓவியம்</t>
        </is>
      </c>
      <c r="L178" s="7" t="inlineStr">
        <is>
          <t>Unknown</t>
        </is>
      </c>
      <c r="M178" s="9" t="n"/>
      <c r="N178" s="10" t="inlineStr">
        <is>
          <t>https://island.lk/reptiles-in-rock-and-time-unveiling-sri-lankas-ancient-herpetological-art/</t>
        </is>
      </c>
    </row>
    <row r="179">
      <c r="A179" s="11" t="inlineStr">
        <is>
          <t>ALL-0178</t>
        </is>
      </c>
      <c r="B179" s="11" t="inlineStr">
        <is>
          <t>Newspaper Articles</t>
        </is>
      </c>
      <c r="C179" s="12" t="n"/>
      <c r="D179" s="11" t="n"/>
      <c r="E179" s="13" t="inlineStr">
        <is>
          <t>Scripts in ancient Sri Lanka</t>
        </is>
      </c>
      <c r="F179" s="13" t="n"/>
      <c r="G179" s="13" t="inlineStr">
        <is>
          <t>Sunday Observer</t>
        </is>
      </c>
      <c r="H179" s="11" t="inlineStr">
        <is>
          <t>Feature</t>
        </is>
      </c>
      <c r="I179" s="11" t="inlineStr">
        <is>
          <t>English</t>
        </is>
      </c>
      <c r="J179" s="13" t="inlineStr">
        <is>
          <t>Brahmi / பிராமி</t>
        </is>
      </c>
      <c r="K179" s="13" t="inlineStr">
        <is>
          <t>Brahmi; Tamil Brahmi</t>
        </is>
      </c>
      <c r="L179" s="11" t="inlineStr">
        <is>
          <t>Unknown</t>
        </is>
      </c>
      <c r="M179" s="13" t="n"/>
      <c r="N179" s="14" t="inlineStr">
        <is>
          <t>https://archives1.sundayobserver.lk/node/44600</t>
        </is>
      </c>
    </row>
    <row r="180">
      <c r="A180" s="7" t="inlineStr">
        <is>
          <t>ALL-0179</t>
        </is>
      </c>
      <c r="B180" s="7" t="inlineStr">
        <is>
          <t>Newspaper Articles</t>
        </is>
      </c>
      <c r="C180" s="8" t="n"/>
      <c r="D180" s="7" t="n"/>
      <c r="E180" s="9" t="inlineStr">
        <is>
          <t>Sri Lanka threatens legal action over Hindu worship at Kurunthur Malai</t>
        </is>
      </c>
      <c r="F180" s="9" t="n"/>
      <c r="G180" s="9" t="inlineStr">
        <is>
          <t>Tamil Guardian</t>
        </is>
      </c>
      <c r="H180" s="7" t="inlineStr">
        <is>
          <t>News</t>
        </is>
      </c>
      <c r="I180" s="7" t="inlineStr">
        <is>
          <t>English</t>
        </is>
      </c>
      <c r="J180" s="9" t="inlineStr">
        <is>
          <t>Archaeology / தொல்லியல்</t>
        </is>
      </c>
      <c r="K180" s="9" t="inlineStr">
        <is>
          <t>Kurunthurmalai; archaeology department</t>
        </is>
      </c>
      <c r="L180" s="7" t="inlineStr">
        <is>
          <t>Unknown</t>
        </is>
      </c>
      <c r="M180" s="9" t="n"/>
      <c r="N180" s="10" t="inlineStr">
        <is>
          <t>https://www.tamilguardian.com/index.php/node/955066</t>
        </is>
      </c>
    </row>
    <row r="181">
      <c r="A181" s="11" t="inlineStr">
        <is>
          <t>ALL-0180</t>
        </is>
      </c>
      <c r="B181" s="11" t="inlineStr">
        <is>
          <t>Newspaper Articles</t>
        </is>
      </c>
      <c r="C181" s="12" t="n"/>
      <c r="D181" s="11" t="n"/>
      <c r="E181" s="13" t="inlineStr">
        <is>
          <t>Sri Lanka's Role In South Asia's Earliest Writing Controversy</t>
        </is>
      </c>
      <c r="F181" s="13" t="n"/>
      <c r="G181" s="13" t="inlineStr">
        <is>
          <t>Colombo Telegraph</t>
        </is>
      </c>
      <c r="H181" s="11" t="inlineStr">
        <is>
          <t>Opinion</t>
        </is>
      </c>
      <c r="I181" s="11" t="inlineStr">
        <is>
          <t>English</t>
        </is>
      </c>
      <c r="J181" s="13" t="inlineStr">
        <is>
          <t>Brahmi / பிராமி</t>
        </is>
      </c>
      <c r="K181" s="13" t="inlineStr">
        <is>
          <t>Brahmi; early writing</t>
        </is>
      </c>
      <c r="L181" s="11" t="inlineStr">
        <is>
          <t>Unknown</t>
        </is>
      </c>
      <c r="M181" s="13" t="n"/>
      <c r="N181" s="14" t="inlineStr">
        <is>
          <t>https://www.colombotelegraph.com/index.php/sri-lankas-role-in-south-asias-earliest-writing-controversy/</t>
        </is>
      </c>
    </row>
    <row r="182">
      <c r="A182" s="7" t="inlineStr">
        <is>
          <t>ALL-0181</t>
        </is>
      </c>
      <c r="B182" s="7" t="inlineStr">
        <is>
          <t>Newspaper Articles</t>
        </is>
      </c>
      <c r="C182" s="8" t="n"/>
      <c r="D182" s="7" t="n"/>
      <c r="E182" s="9" t="inlineStr">
        <is>
          <t>Tamil civilisation - is it the oldest?</t>
        </is>
      </c>
      <c r="F182" s="9" t="n"/>
      <c r="G182" s="9" t="inlineStr">
        <is>
          <t>Tamil Guardian</t>
        </is>
      </c>
      <c r="H182" s="7" t="inlineStr">
        <is>
          <t>Feature</t>
        </is>
      </c>
      <c r="I182" s="7" t="inlineStr">
        <is>
          <t>English</t>
        </is>
      </c>
      <c r="J182" s="9" t="inlineStr">
        <is>
          <t>Archaeology / தொல்லியல்</t>
        </is>
      </c>
      <c r="K182" s="9" t="inlineStr">
        <is>
          <t>archaeology debate</t>
        </is>
      </c>
      <c r="L182" s="7" t="inlineStr">
        <is>
          <t>Unknown</t>
        </is>
      </c>
      <c r="M182" s="9" t="n"/>
      <c r="N182" s="10" t="inlineStr">
        <is>
          <t>https://www.tamilguardian.com/content/tamil-civilisation-it-oldest</t>
        </is>
      </c>
    </row>
    <row r="183">
      <c r="A183" s="11" t="inlineStr">
        <is>
          <t>ALL-0182</t>
        </is>
      </c>
      <c r="B183" s="11" t="inlineStr">
        <is>
          <t>Newspaper Articles</t>
        </is>
      </c>
      <c r="C183" s="12" t="n"/>
      <c r="D183" s="11" t="n"/>
      <c r="E183" s="13" t="inlineStr">
        <is>
          <t>The Tamils Are The Original Inhabitants Of Sri Lanka</t>
        </is>
      </c>
      <c r="F183" s="13" t="n"/>
      <c r="G183" s="13" t="inlineStr">
        <is>
          <t>Colombo Telegraph</t>
        </is>
      </c>
      <c r="H183" s="11" t="inlineStr">
        <is>
          <t>Opinion</t>
        </is>
      </c>
      <c r="I183" s="11" t="inlineStr">
        <is>
          <t>English</t>
        </is>
      </c>
      <c r="J183" s="13" t="inlineStr">
        <is>
          <t>Archaeology / தொல்லியல்</t>
        </is>
      </c>
      <c r="K183" s="13" t="inlineStr">
        <is>
          <t>archaeology; history debate</t>
        </is>
      </c>
      <c r="L183" s="11" t="inlineStr">
        <is>
          <t>Unknown</t>
        </is>
      </c>
      <c r="M183" s="13" t="n"/>
      <c r="N183" s="14" t="inlineStr">
        <is>
          <t>https://www.colombotelegraph.com/index.php/the-tamils-are-the-original-inhabitants-of-sri-lanka/</t>
        </is>
      </c>
    </row>
    <row r="184">
      <c r="A184" s="7" t="inlineStr">
        <is>
          <t>ALL-0183</t>
        </is>
      </c>
      <c r="B184" s="7" t="inlineStr">
        <is>
          <t>Newspaper Articles</t>
        </is>
      </c>
      <c r="C184" s="8" t="n"/>
      <c r="D184" s="7" t="n"/>
      <c r="E184" s="9" t="inlineStr">
        <is>
          <t>Trilingual inscription in Tamil, Chinese, and Persian recognised by UNESCO</t>
        </is>
      </c>
      <c r="F184" s="9" t="n"/>
      <c r="G184" s="9" t="inlineStr">
        <is>
          <t>Tamil Guardian</t>
        </is>
      </c>
      <c r="H184" s="7" t="inlineStr">
        <is>
          <t>News</t>
        </is>
      </c>
      <c r="I184" s="7" t="inlineStr">
        <is>
          <t>English</t>
        </is>
      </c>
      <c r="J184" s="9" t="inlineStr">
        <is>
          <t>Inscriptions / கல்வெட்டு</t>
        </is>
      </c>
      <c r="K184" s="9" t="inlineStr">
        <is>
          <t>Galle trilingual inscription</t>
        </is>
      </c>
      <c r="L184" s="7" t="inlineStr">
        <is>
          <t>Unknown</t>
        </is>
      </c>
      <c r="M184" s="9" t="n"/>
      <c r="N184" s="10" t="inlineStr">
        <is>
          <t>https://www.tamilguardian.com/index.php/content/trilingual-inscription-tamil-chinese-and-persian-recognised-unesco</t>
        </is>
      </c>
    </row>
    <row r="185">
      <c r="A185" s="11" t="inlineStr">
        <is>
          <t>ALL-0184</t>
        </is>
      </c>
      <c r="B185" s="11" t="inlineStr">
        <is>
          <t>Newspaper Articles</t>
        </is>
      </c>
      <c r="C185" s="12" t="n"/>
      <c r="D185" s="11" t="n"/>
      <c r="E185" s="13" t="inlineStr">
        <is>
          <t>இலங்கையில் 2300 ஆண்டுகளுக்கு முன்பு தமிழர்கள் வாழ்ந்தார்கள் என்பதை நிரூபிக்கும் ஐந்து பிராமிக் கல்வெட்டுக்கள்</t>
        </is>
      </c>
      <c r="F185" s="13" t="n"/>
      <c r="G185" s="13" t="inlineStr">
        <is>
          <t>Thinakkural</t>
        </is>
      </c>
      <c r="H185" s="11" t="inlineStr">
        <is>
          <t>Feature</t>
        </is>
      </c>
      <c r="I185" s="11" t="inlineStr">
        <is>
          <t>Tamil</t>
        </is>
      </c>
      <c r="J185" s="13" t="inlineStr">
        <is>
          <t>Inscriptions / கல்வெட்டு; Brahmi / பிராமி</t>
        </is>
      </c>
      <c r="K185" s="13" t="inlineStr">
        <is>
          <t>பிராமி; கல்வெட்டு</t>
        </is>
      </c>
      <c r="L185" s="11" t="inlineStr">
        <is>
          <t>Unknown</t>
        </is>
      </c>
      <c r="M185" s="13" t="n"/>
      <c r="N185" s="14" t="inlineStr">
        <is>
          <t>https://thinakkural.lk/article/45056</t>
        </is>
      </c>
    </row>
    <row r="186">
      <c r="A186" s="7" t="inlineStr">
        <is>
          <t>ALL-0185</t>
        </is>
      </c>
      <c r="B186" s="7" t="inlineStr">
        <is>
          <t>Newspaper Articles</t>
        </is>
      </c>
      <c r="C186" s="8" t="n"/>
      <c r="D186" s="7" t="n"/>
      <c r="E186" s="9" t="inlineStr">
        <is>
          <t>கலிங்கமாகன் பற்றிய முக்கிய கல்வெட்டு: அண்மையில் கண்டறியப்பட்ட தமிழர் வரலாறு</t>
        </is>
      </c>
      <c r="F186" s="9" t="n"/>
      <c r="G186" s="9" t="inlineStr">
        <is>
          <t>Tamil Mirror</t>
        </is>
      </c>
      <c r="H186" s="7" t="inlineStr">
        <is>
          <t>Feature</t>
        </is>
      </c>
      <c r="I186" s="7" t="inlineStr">
        <is>
          <t>Tamil</t>
        </is>
      </c>
      <c r="J186" s="9" t="inlineStr">
        <is>
          <t>Inscriptions / கல்வெட்டு</t>
        </is>
      </c>
      <c r="K186" s="9" t="inlineStr">
        <is>
          <t>கல்வெட்டு; Kalinga Magha</t>
        </is>
      </c>
      <c r="L186" s="7" t="inlineStr">
        <is>
          <t>Unknown</t>
        </is>
      </c>
      <c r="M186" s="9" t="n"/>
      <c r="N186" s="10" t="inlineStr">
        <is>
          <t>https://www.tamilmirror.lk/91-286936</t>
        </is>
      </c>
    </row>
    <row r="187">
      <c r="A187" s="11" t="inlineStr">
        <is>
          <t>ALL-0186</t>
        </is>
      </c>
      <c r="B187" s="11" t="inlineStr">
        <is>
          <t>Newspaper Articles</t>
        </is>
      </c>
      <c r="C187" s="12" t="n"/>
      <c r="D187" s="11" t="n"/>
      <c r="E187" s="13" t="inlineStr">
        <is>
          <t>யாழ்ப்பாண அரசுகால வரலாறு கூறும் சங்கிலியன் தோரண வாசல்</t>
        </is>
      </c>
      <c r="F187" s="13" t="inlineStr">
        <is>
          <t>P. Pushparatnam</t>
        </is>
      </c>
      <c r="G187" s="13" t="inlineStr">
        <is>
          <t>Virakesari</t>
        </is>
      </c>
      <c r="H187" s="11" t="inlineStr">
        <is>
          <t>Feature</t>
        </is>
      </c>
      <c r="I187" s="11" t="inlineStr">
        <is>
          <t>Tamil</t>
        </is>
      </c>
      <c r="J187" s="13" t="inlineStr">
        <is>
          <t>Archaeology / தொல்லியல்</t>
        </is>
      </c>
      <c r="K187" s="13" t="inlineStr">
        <is>
          <t>Jaffna kingdom; Sangiliyan; தொல்லியல்</t>
        </is>
      </c>
      <c r="L187" s="11" t="inlineStr">
        <is>
          <t>Unknown</t>
        </is>
      </c>
      <c r="M187" s="13" t="n"/>
      <c r="N187" s="14" t="inlineStr">
        <is>
          <t>https://www.virakesari.lk/article/160191</t>
        </is>
      </c>
    </row>
    <row r="188">
      <c r="A188" s="7" t="inlineStr">
        <is>
          <t>ALL-0187</t>
        </is>
      </c>
      <c r="B188" s="7" t="inlineStr">
        <is>
          <t>Magazines/Journals</t>
        </is>
      </c>
      <c r="C188" s="8" t="inlineStr">
        <is>
          <t>2026</t>
        </is>
      </c>
      <c r="D188" s="7" t="inlineStr">
        <is>
          <t>2026-01-09</t>
        </is>
      </c>
      <c r="E188" s="9" t="inlineStr">
        <is>
          <t>மாந்தை: பண்டைய இலங்கையின் நெடுங்கடல் வர்த்தகத் துறைநகர்</t>
        </is>
      </c>
      <c r="F188" s="9" t="inlineStr">
        <is>
          <t>Siva Thiagarajah</t>
        </is>
      </c>
      <c r="G188" s="9" t="inlineStr">
        <is>
          <t>Ezhuna (எழுநா)</t>
        </is>
      </c>
      <c r="H188" s="7" t="inlineStr">
        <is>
          <t>Online magazine article</t>
        </is>
      </c>
      <c r="I188" s="7" t="inlineStr">
        <is>
          <t>Tamil</t>
        </is>
      </c>
      <c r="J188" s="9" t="inlineStr">
        <is>
          <t>Archaeology / தொல்லியல்</t>
        </is>
      </c>
      <c r="K188" s="9" t="inlineStr">
        <is>
          <t>தொல்லியல்; Mantai; port</t>
        </is>
      </c>
      <c r="L188" s="7" t="inlineStr">
        <is>
          <t>Yes</t>
        </is>
      </c>
      <c r="M188" s="9" t="inlineStr">
        <is>
          <t>Series: Kantarodai civilization of ancient Jaffna</t>
        </is>
      </c>
      <c r="N188" s="10" t="inlineStr">
        <is>
          <t>https://www.ezhunaonline.com/manthai-the-seafaring-trading-center-of-ancient-sri-lanka/</t>
        </is>
      </c>
    </row>
    <row r="189">
      <c r="A189" s="11" t="inlineStr">
        <is>
          <t>ALL-0188</t>
        </is>
      </c>
      <c r="B189" s="11" t="inlineStr">
        <is>
          <t>Magazines/Journals</t>
        </is>
      </c>
      <c r="C189" s="12" t="inlineStr">
        <is>
          <t>2026</t>
        </is>
      </c>
      <c r="D189" s="11" t="inlineStr">
        <is>
          <t>2026-02-09</t>
        </is>
      </c>
      <c r="E189" s="13" t="inlineStr">
        <is>
          <t>மரபிலிருந்து மாறி மரபாகுதல்: யாழ்ப்பாணத்துத் தென்மோடிக் கூத்து</t>
        </is>
      </c>
      <c r="F189" s="13" t="inlineStr">
        <is>
          <t>சின்னையா மௌனகுரு</t>
        </is>
      </c>
      <c r="G189" s="13" t="inlineStr">
        <is>
          <t>Ezhuna (எழுநா)</t>
        </is>
      </c>
      <c r="H189" s="11" t="inlineStr">
        <is>
          <t>Online magazine article</t>
        </is>
      </c>
      <c r="I189" s="11" t="inlineStr">
        <is>
          <t>Tamil</t>
        </is>
      </c>
      <c r="J189" s="13" t="n"/>
      <c r="K189" s="13" t="n"/>
      <c r="L189" s="11" t="inlineStr">
        <is>
          <t>Yes</t>
        </is>
      </c>
      <c r="M189" s="13" t="inlineStr">
        <is>
          <t>Auto-collected 2026-10-14 (ezhuna); review.</t>
        </is>
      </c>
      <c r="N189" s="14" t="inlineStr">
        <is>
          <t>https://www.ezhunaonline.com/from-tradition-to-tradition-the-southern-modic-koothu-of-jaffna/</t>
        </is>
      </c>
    </row>
    <row r="190">
      <c r="A190" s="7" t="inlineStr">
        <is>
          <t>ALL-0189</t>
        </is>
      </c>
      <c r="B190" s="7" t="inlineStr">
        <is>
          <t>Magazines/Journals</t>
        </is>
      </c>
      <c r="C190" s="8" t="inlineStr">
        <is>
          <t>2026</t>
        </is>
      </c>
      <c r="D190" s="7" t="inlineStr">
        <is>
          <t>2026-02-12</t>
        </is>
      </c>
      <c r="E190" s="9" t="inlineStr">
        <is>
          <t>பண்டைய யாழ்ப்பாணத்தில் புராதன சமய நடைமுறைகள் – பகுதி 2</t>
        </is>
      </c>
      <c r="F190" s="9" t="inlineStr">
        <is>
          <t>Siva Thiagarajah</t>
        </is>
      </c>
      <c r="G190" s="9" t="inlineStr">
        <is>
          <t>Ezhuna (எழுநா)</t>
        </is>
      </c>
      <c r="H190" s="7" t="inlineStr">
        <is>
          <t>Online magazine article</t>
        </is>
      </c>
      <c r="I190" s="7" t="inlineStr">
        <is>
          <t>Tamil</t>
        </is>
      </c>
      <c r="J190" s="9" t="n"/>
      <c r="K190" s="9" t="inlineStr">
        <is>
          <t>religion; Jaffna</t>
        </is>
      </c>
      <c r="L190" s="7" t="inlineStr">
        <is>
          <t>Yes</t>
        </is>
      </c>
      <c r="M190" s="9" t="inlineStr">
        <is>
          <t>Series: Kantarodai civilization of ancient Jaffna</t>
        </is>
      </c>
      <c r="N190" s="10" t="inlineStr">
        <is>
          <t>https://www.ezhunaonline.com/ancient-religious-practices-in-ancient-jaffna-part-2/</t>
        </is>
      </c>
    </row>
    <row r="191">
      <c r="A191" s="11" t="inlineStr">
        <is>
          <t>ALL-0190</t>
        </is>
      </c>
      <c r="B191" s="11" t="inlineStr">
        <is>
          <t>Magazines/Journals</t>
        </is>
      </c>
      <c r="C191" s="12" t="inlineStr">
        <is>
          <t>2026</t>
        </is>
      </c>
      <c r="D191" s="11" t="inlineStr">
        <is>
          <t>2026-03-13</t>
        </is>
      </c>
      <c r="E191" s="13" t="inlineStr">
        <is>
          <t>யாழ்ப்பாண பௌத்தம் கி.மு. 100 – கி.பி. 1200 – பகுதி 2</t>
        </is>
      </c>
      <c r="F191" s="13" t="inlineStr">
        <is>
          <t>Siva Thiagarajah</t>
        </is>
      </c>
      <c r="G191" s="13" t="inlineStr">
        <is>
          <t>Ezhuna (எழுநா)</t>
        </is>
      </c>
      <c r="H191" s="11" t="inlineStr">
        <is>
          <t>Online magazine article</t>
        </is>
      </c>
      <c r="I191" s="11" t="inlineStr">
        <is>
          <t>Tamil</t>
        </is>
      </c>
      <c r="J191" s="13" t="inlineStr">
        <is>
          <t>Archaeology / தொல்லியல்</t>
        </is>
      </c>
      <c r="K191" s="13" t="inlineStr">
        <is>
          <t>Buddhism; Jaffna; archaeology</t>
        </is>
      </c>
      <c r="L191" s="11" t="inlineStr">
        <is>
          <t>Yes</t>
        </is>
      </c>
      <c r="M191" s="13" t="inlineStr">
        <is>
          <t>Series: Kantarodai civilization of ancient Jaffna</t>
        </is>
      </c>
      <c r="N191" s="14" t="inlineStr">
        <is>
          <t>https://www.ezhunaonline.com/jaffna-buddhism-100-bc-1200-ad-part-2/</t>
        </is>
      </c>
    </row>
    <row r="192">
      <c r="A192" s="7" t="inlineStr">
        <is>
          <t>ALL-0191</t>
        </is>
      </c>
      <c r="B192" s="7" t="inlineStr">
        <is>
          <t>Magazines/Journals</t>
        </is>
      </c>
      <c r="C192" s="8" t="inlineStr">
        <is>
          <t>2026</t>
        </is>
      </c>
      <c r="D192" s="7" t="inlineStr">
        <is>
          <t>2026-04-06</t>
        </is>
      </c>
      <c r="E192" s="9" t="inlineStr">
        <is>
          <t>கந்தரோடையிலும் வடஇலங்கையின் பிற இடங்களிலும் கண்ட ஆதிகால நாணயங்கள் – பகுதி 1</t>
        </is>
      </c>
      <c r="F192" s="9" t="inlineStr">
        <is>
          <t>Siva Thiagarajah</t>
        </is>
      </c>
      <c r="G192" s="9" t="inlineStr">
        <is>
          <t>Ezhuna (எழுநா)</t>
        </is>
      </c>
      <c r="H192" s="7" t="inlineStr">
        <is>
          <t>Online magazine article</t>
        </is>
      </c>
      <c r="I192" s="7" t="inlineStr">
        <is>
          <t>Tamil</t>
        </is>
      </c>
      <c r="J192" s="9" t="inlineStr">
        <is>
          <t>Coins / நாணயம்</t>
        </is>
      </c>
      <c r="K192" s="9" t="inlineStr">
        <is>
          <t>coins; Kantarodai</t>
        </is>
      </c>
      <c r="L192" s="7" t="inlineStr">
        <is>
          <t>Yes</t>
        </is>
      </c>
      <c r="M192" s="9" t="inlineStr">
        <is>
          <t>Series: Kantarodai civilization of ancient Jaffna</t>
        </is>
      </c>
      <c r="N192" s="10" t="inlineStr">
        <is>
          <t>https://www.ezhunaonline.com/ancient-coins-found-in-kandy-and-northern-sri-lanka-part-1/</t>
        </is>
      </c>
    </row>
    <row r="193">
      <c r="A193" s="11" t="inlineStr">
        <is>
          <t>ALL-0192</t>
        </is>
      </c>
      <c r="B193" s="11" t="inlineStr">
        <is>
          <t>Magazines/Journals</t>
        </is>
      </c>
      <c r="C193" s="12" t="inlineStr">
        <is>
          <t>2026</t>
        </is>
      </c>
      <c r="D193" s="11" t="inlineStr">
        <is>
          <t>2026-04-09</t>
        </is>
      </c>
      <c r="E193" s="13" t="inlineStr">
        <is>
          <t>கந்தரோடையிலும் வடஇலங்கையின் பிற இடங்களிலும் கண்ட ஆதிகால நாணயங்கள் – பகுதி 2</t>
        </is>
      </c>
      <c r="F193" s="13" t="inlineStr">
        <is>
          <t>Siva Thiagarajah</t>
        </is>
      </c>
      <c r="G193" s="13" t="inlineStr">
        <is>
          <t>Ezhuna (எழுநா)</t>
        </is>
      </c>
      <c r="H193" s="11" t="inlineStr">
        <is>
          <t>Online magazine article</t>
        </is>
      </c>
      <c r="I193" s="11" t="inlineStr">
        <is>
          <t>Tamil</t>
        </is>
      </c>
      <c r="J193" s="13" t="inlineStr">
        <is>
          <t>Coins / நாணயம்</t>
        </is>
      </c>
      <c r="K193" s="13" t="inlineStr">
        <is>
          <t>coins; Kantarodai</t>
        </is>
      </c>
      <c r="L193" s="11" t="inlineStr">
        <is>
          <t>Yes</t>
        </is>
      </c>
      <c r="M193" s="13" t="inlineStr">
        <is>
          <t>Series: Kantarodai civilization of ancient Jaffna</t>
        </is>
      </c>
      <c r="N193" s="14" t="inlineStr">
        <is>
          <t>https://www.ezhunaonline.com/ancient-coins-found-in-kandy-and-northern-sri-lanka-part-2/</t>
        </is>
      </c>
    </row>
    <row r="194">
      <c r="A194" s="7" t="inlineStr">
        <is>
          <t>ALL-0193</t>
        </is>
      </c>
      <c r="B194" s="7" t="inlineStr">
        <is>
          <t>Magazines/Journals</t>
        </is>
      </c>
      <c r="C194" s="8" t="inlineStr">
        <is>
          <t>2026</t>
        </is>
      </c>
      <c r="D194" s="7" t="inlineStr">
        <is>
          <t>2026-05-19</t>
        </is>
      </c>
      <c r="E194" s="9" t="inlineStr">
        <is>
          <t>கந்தரோடை நாகரிகத்தின் தோற்றமும் படிமுறை வளர்ச்சியும் – பகுதி 4</t>
        </is>
      </c>
      <c r="F194" s="9" t="inlineStr">
        <is>
          <t>Siva Thiagarajah</t>
        </is>
      </c>
      <c r="G194" s="9" t="inlineStr">
        <is>
          <t>Ezhuna (எழுநா)</t>
        </is>
      </c>
      <c r="H194" s="7" t="inlineStr">
        <is>
          <t>Online magazine article</t>
        </is>
      </c>
      <c r="I194" s="7" t="inlineStr">
        <is>
          <t>Tamil</t>
        </is>
      </c>
      <c r="J194" s="9" t="inlineStr">
        <is>
          <t>Archaeology / தொல்லியல்</t>
        </is>
      </c>
      <c r="K194" s="9" t="inlineStr">
        <is>
          <t>தொல்லியல்; Kantarodai</t>
        </is>
      </c>
      <c r="L194" s="7" t="inlineStr">
        <is>
          <t>Yes</t>
        </is>
      </c>
      <c r="M194" s="9" t="inlineStr">
        <is>
          <t>Series: Kantarodai civilization of ancient Jaffna</t>
        </is>
      </c>
      <c r="N194" s="10" t="inlineStr">
        <is>
          <t>https://www.ezhunaonline.com/origin-and-gradual-development-of-the-gandharoda-civilization-part-4/</t>
        </is>
      </c>
    </row>
    <row r="195">
      <c r="A195" s="11" t="inlineStr">
        <is>
          <t>ALL-0194</t>
        </is>
      </c>
      <c r="B195" s="11" t="inlineStr">
        <is>
          <t>Magazines/Journals</t>
        </is>
      </c>
      <c r="C195" s="12" t="inlineStr">
        <is>
          <t>2026</t>
        </is>
      </c>
      <c r="D195" s="11" t="inlineStr">
        <is>
          <t>2026-06-22</t>
        </is>
      </c>
      <c r="E195" s="13" t="inlineStr">
        <is>
          <t>இலங்கையின் மகாவம்ச வரலாற்றைப் புரட்டிப்போட்ட கந்தரோடைத் தொல்லியலும் ஆதி இரும்புக்காலம் பற்றிய அறிவியல் ஆய்வுகளும் – பகுதி 5</t>
        </is>
      </c>
      <c r="F195" s="13" t="inlineStr">
        <is>
          <t>Siva Thiagarajah</t>
        </is>
      </c>
      <c r="G195" s="13" t="inlineStr">
        <is>
          <t>Ezhuna (எழுநா)</t>
        </is>
      </c>
      <c r="H195" s="11" t="inlineStr">
        <is>
          <t>Online magazine article</t>
        </is>
      </c>
      <c r="I195" s="11" t="inlineStr">
        <is>
          <t>Tamil</t>
        </is>
      </c>
      <c r="J195" s="13" t="inlineStr">
        <is>
          <t>Archaeology / தொல்லியல்</t>
        </is>
      </c>
      <c r="K195" s="13" t="inlineStr">
        <is>
          <t>தொல்லியல்; Kantarodai; Iron Age</t>
        </is>
      </c>
      <c r="L195" s="11" t="inlineStr">
        <is>
          <t>Yes</t>
        </is>
      </c>
      <c r="M195" s="13" t="inlineStr">
        <is>
          <t>Series: Kantarodai civilization of ancient Jaffna</t>
        </is>
      </c>
      <c r="N195" s="14" t="inlineStr">
        <is>
          <t>https://www.ezhunaonline.com/the-gandarodai-archaeological-site-and-scientific-studies-on-the-early-iron-age-that-overturned-the-mahavamsa-history-of-sri-lanka-part-5/</t>
        </is>
      </c>
    </row>
    <row r="196">
      <c r="A196" s="7" t="inlineStr">
        <is>
          <t>ALL-0195</t>
        </is>
      </c>
      <c r="B196" s="7" t="inlineStr">
        <is>
          <t>Magazines/Journals</t>
        </is>
      </c>
      <c r="C196" s="8" t="inlineStr">
        <is>
          <t>2026</t>
        </is>
      </c>
      <c r="D196" s="7" t="inlineStr">
        <is>
          <t>2026-06-30</t>
        </is>
      </c>
      <c r="E196" s="9" t="inlineStr">
        <is>
          <t>தொல்லியலும் கடந்த காலத்தை ஆயுதமாக்குதலும் – பகுதி 2</t>
        </is>
      </c>
      <c r="F196" s="9" t="inlineStr">
        <is>
          <t>மீநிலங்கோ தெய்வேந்திரன்</t>
        </is>
      </c>
      <c r="G196" s="9" t="inlineStr">
        <is>
          <t>Ezhuna (எழுநா)</t>
        </is>
      </c>
      <c r="H196" s="7" t="inlineStr">
        <is>
          <t>Online magazine article</t>
        </is>
      </c>
      <c r="I196" s="7" t="inlineStr">
        <is>
          <t>Tamil</t>
        </is>
      </c>
      <c r="J196" s="9" t="n"/>
      <c r="K196" s="9" t="n"/>
      <c r="L196" s="7" t="inlineStr">
        <is>
          <t>Yes</t>
        </is>
      </c>
      <c r="M196" s="9" t="inlineStr">
        <is>
          <t>Auto-collected 2026-10-14 (ezhuna); review.</t>
        </is>
      </c>
      <c r="N196" s="10" t="inlineStr">
        <is>
          <t>https://www.ezhunaonline.com/archaeology-and-weaponizing-the-past-part-2/</t>
        </is>
      </c>
    </row>
    <row r="197">
      <c r="A197" s="11" t="inlineStr">
        <is>
          <t>ALL-0196</t>
        </is>
      </c>
      <c r="B197" s="11" t="inlineStr">
        <is>
          <t>Magazines/Journals</t>
        </is>
      </c>
      <c r="C197" s="12" t="inlineStr">
        <is>
          <t>2026</t>
        </is>
      </c>
      <c r="D197" s="11" t="inlineStr">
        <is>
          <t>2026-07-15</t>
        </is>
      </c>
      <c r="E197" s="13" t="inlineStr">
        <is>
          <t>திராவிட மக்களின் மரபணு மூலங்களும் தமிழ்மொழியின் படிமுறைத் தோற்றமும் – அறிமுகம்</t>
        </is>
      </c>
      <c r="F197" s="13" t="inlineStr">
        <is>
          <t>சிவ தியாகராஜா</t>
        </is>
      </c>
      <c r="G197" s="13" t="inlineStr">
        <is>
          <t>Ezhuna (எழுநா)</t>
        </is>
      </c>
      <c r="H197" s="11" t="inlineStr">
        <is>
          <t>Online magazine article</t>
        </is>
      </c>
      <c r="I197" s="11" t="inlineStr">
        <is>
          <t>Tamil</t>
        </is>
      </c>
      <c r="J197" s="13" t="n"/>
      <c r="K197" s="13" t="n"/>
      <c r="L197" s="11" t="inlineStr">
        <is>
          <t>Yes</t>
        </is>
      </c>
      <c r="M197" s="13" t="inlineStr">
        <is>
          <t>Auto-collected 2026-10-14 (ezhuna); review.</t>
        </is>
      </c>
      <c r="N197" s="14" t="inlineStr">
        <is>
          <t>https://www.ezhunaonline.com/the-genetic-origins-of-the-dravidian-people-and-the-evolutionary-emergence-of-the-tamil-language-an-introduction/</t>
        </is>
      </c>
    </row>
    <row r="198">
      <c r="A198" s="7" t="inlineStr">
        <is>
          <t>ALL-0197</t>
        </is>
      </c>
      <c r="B198" s="7" t="inlineStr">
        <is>
          <t>Magazines/Journals</t>
        </is>
      </c>
      <c r="C198" s="8" t="inlineStr">
        <is>
          <t>2026</t>
        </is>
      </c>
      <c r="D198" s="7" t="inlineStr">
        <is>
          <t>2026-09-15</t>
        </is>
      </c>
      <c r="E198" s="9" t="inlineStr">
        <is>
          <t>2500 ஆண்டுகளுக்கு முற்பட்ட யாழ்ப்பாணத்து மக்களின் உணவுப் பழக்கவழக்கங்கள்: ஆனைக்கோட்டை அகழ்வாய்வில் வெளிச்சத்திற்கு வந்திருக்கும் உண்மைகள்</t>
        </is>
      </c>
      <c r="F198" s="9" t="inlineStr">
        <is>
          <t>பரமு புஷ்பரட்ணம்</t>
        </is>
      </c>
      <c r="G198" s="9" t="inlineStr">
        <is>
          <t>Ezhuna (எழுநா)</t>
        </is>
      </c>
      <c r="H198" s="7" t="inlineStr">
        <is>
          <t>Online magazine article</t>
        </is>
      </c>
      <c r="I198" s="7" t="inlineStr">
        <is>
          <t>Tamil</t>
        </is>
      </c>
      <c r="J198" s="9" t="inlineStr">
        <is>
          <t>Archaeology / தொல்லியல்</t>
        </is>
      </c>
      <c r="K198" s="9" t="n"/>
      <c r="L198" s="7" t="inlineStr">
        <is>
          <t>Yes</t>
        </is>
      </c>
      <c r="M198" s="9" t="inlineStr">
        <is>
          <t>Auto-collected 2026-10-14 (ezhuna); review.</t>
        </is>
      </c>
      <c r="N198" s="10" t="inlineStr">
        <is>
          <t>https://www.ezhunaonline.com/dietary-habits-of-the-people-of-jaffna-2500-years-ago-facts-revealed-by-the-anaicottai-excavation/</t>
        </is>
      </c>
    </row>
    <row r="199">
      <c r="A199" s="11" t="inlineStr">
        <is>
          <t>ALL-0198</t>
        </is>
      </c>
      <c r="B199" s="11" t="inlineStr">
        <is>
          <t>Magazines/Journals</t>
        </is>
      </c>
      <c r="C199" s="12" t="inlineStr">
        <is>
          <t>2025</t>
        </is>
      </c>
      <c r="D199" s="11" t="inlineStr">
        <is>
          <t>2025-01-11</t>
        </is>
      </c>
      <c r="E199" s="13" t="inlineStr">
        <is>
          <t>ஒச்சாப்பு கல்லு எனும் பண்டைய நாகர் குடியிருப்பு</t>
        </is>
      </c>
      <c r="F199" s="13" t="inlineStr">
        <is>
          <t>N. K. S. Thiruchelvam</t>
        </is>
      </c>
      <c r="G199" s="13" t="inlineStr">
        <is>
          <t>Ezhuna (எழுநா)</t>
        </is>
      </c>
      <c r="H199" s="11" t="inlineStr">
        <is>
          <t>Online magazine article</t>
        </is>
      </c>
      <c r="I199" s="11" t="inlineStr">
        <is>
          <t>Tamil</t>
        </is>
      </c>
      <c r="J199" s="13" t="inlineStr">
        <is>
          <t>Archaeology / தொல்லியல்</t>
        </is>
      </c>
      <c r="K199" s="13" t="inlineStr">
        <is>
          <t>தொல்லியல்; Naga settlement; Ochappu Kallu</t>
        </is>
      </c>
      <c r="L199" s="11" t="inlineStr">
        <is>
          <t>Yes</t>
        </is>
      </c>
      <c r="M199" s="13" t="inlineStr">
        <is>
          <t>Series: Naga people in Sri Lankan Brahmi inscriptions</t>
        </is>
      </c>
      <c r="N199" s="14" t="inlineStr">
        <is>
          <t>https://www.ezhunaonline.com/ochapu-kallu-is-an-ancient-nagar-settlement/</t>
        </is>
      </c>
    </row>
    <row r="200">
      <c r="A200" s="7" t="inlineStr">
        <is>
          <t>ALL-0199</t>
        </is>
      </c>
      <c r="B200" s="7" t="inlineStr">
        <is>
          <t>Magazines/Journals</t>
        </is>
      </c>
      <c r="C200" s="8" t="inlineStr">
        <is>
          <t>2025</t>
        </is>
      </c>
      <c r="D200" s="7" t="inlineStr">
        <is>
          <t>2025-01-24</t>
        </is>
      </c>
      <c r="E200" s="9" t="inlineStr">
        <is>
          <t>பிராமணன் திவக்கனின் தங்கத் திருமலையில் நாகர் பற்றிய கல்வெட்டு</t>
        </is>
      </c>
      <c r="F200" s="9" t="inlineStr">
        <is>
          <t>N. K. S. Thiruchelvam</t>
        </is>
      </c>
      <c r="G200" s="9" t="inlineStr">
        <is>
          <t>Ezhuna (எழுநா)</t>
        </is>
      </c>
      <c r="H200" s="7" t="inlineStr">
        <is>
          <t>Online magazine article</t>
        </is>
      </c>
      <c r="I200" s="7" t="inlineStr">
        <is>
          <t>Tamil</t>
        </is>
      </c>
      <c r="J200" s="9" t="inlineStr">
        <is>
          <t>Inscriptions / கல்வெட்டு</t>
        </is>
      </c>
      <c r="K200" s="9" t="inlineStr">
        <is>
          <t>கல்வெட்டு; Naga</t>
        </is>
      </c>
      <c r="L200" s="7" t="inlineStr">
        <is>
          <t>Yes</t>
        </is>
      </c>
      <c r="M200" s="9" t="inlineStr">
        <is>
          <t>Series: Naga people in Sri Lankan Brahmi inscriptions</t>
        </is>
      </c>
      <c r="N200" s="10" t="inlineStr">
        <is>
          <t>https://www.ezhunaonline.com/inscription-about-nagar-on-thanga-tirumala-by-brahmin-divakan/</t>
        </is>
      </c>
    </row>
    <row r="201">
      <c r="A201" s="11" t="inlineStr">
        <is>
          <t>ALL-0200</t>
        </is>
      </c>
      <c r="B201" s="11" t="inlineStr">
        <is>
          <t>Magazines/Journals</t>
        </is>
      </c>
      <c r="C201" s="12" t="inlineStr">
        <is>
          <t>2025</t>
        </is>
      </c>
      <c r="D201" s="11" t="inlineStr">
        <is>
          <t>2025-01-30</t>
        </is>
      </c>
      <c r="E201" s="13" t="inlineStr">
        <is>
          <t>கழிகாமமலையின் எல்லையில்</t>
        </is>
      </c>
      <c r="F201" s="13" t="inlineStr">
        <is>
          <t>Vivekanantharaja Thulanchanan</t>
        </is>
      </c>
      <c r="G201" s="13" t="inlineStr">
        <is>
          <t>Ezhuna (எழுநா)</t>
        </is>
      </c>
      <c r="H201" s="11" t="inlineStr">
        <is>
          <t>Online magazine article</t>
        </is>
      </c>
      <c r="I201" s="11" t="inlineStr">
        <is>
          <t>Tamil</t>
        </is>
      </c>
      <c r="J201" s="13" t="n"/>
      <c r="K201" s="13" t="inlineStr">
        <is>
          <t>East coast; history</t>
        </is>
      </c>
      <c r="L201" s="11" t="inlineStr">
        <is>
          <t>Yes</t>
        </is>
      </c>
      <c r="M201" s="13" t="inlineStr">
        <is>
          <t>Series: East coast of Sri Lanka - a historical perspective</t>
        </is>
      </c>
      <c r="N201" s="14" t="inlineStr">
        <is>
          <t>https://www.ezhunaonline.com/on-the-border-of-ghazigamalai/</t>
        </is>
      </c>
    </row>
    <row r="202">
      <c r="A202" s="7" t="inlineStr">
        <is>
          <t>ALL-0201</t>
        </is>
      </c>
      <c r="B202" s="7" t="inlineStr">
        <is>
          <t>Magazines/Journals</t>
        </is>
      </c>
      <c r="C202" s="8" t="inlineStr">
        <is>
          <t>2025</t>
        </is>
      </c>
      <c r="D202" s="7" t="inlineStr">
        <is>
          <t>2025-02-09</t>
        </is>
      </c>
      <c r="E202" s="9" t="inlineStr">
        <is>
          <t>அரிட்ட பர்வத மலை எனும் ரிட்டிகல மலையில் காணப்படும் நாகர் பற்றிய கல்வெட்டுகள்</t>
        </is>
      </c>
      <c r="F202" s="9" t="inlineStr">
        <is>
          <t>N. K. S. Thiruchelvam</t>
        </is>
      </c>
      <c r="G202" s="9" t="inlineStr">
        <is>
          <t>Ezhuna (எழுநா)</t>
        </is>
      </c>
      <c r="H202" s="7" t="inlineStr">
        <is>
          <t>Online magazine article</t>
        </is>
      </c>
      <c r="I202" s="7" t="inlineStr">
        <is>
          <t>Tamil</t>
        </is>
      </c>
      <c r="J202" s="9" t="inlineStr">
        <is>
          <t>Inscriptions / கல்வெட்டு</t>
        </is>
      </c>
      <c r="K202" s="9" t="inlineStr">
        <is>
          <t>கல்வெட்டு; Naga; Ritigala</t>
        </is>
      </c>
      <c r="L202" s="7" t="inlineStr">
        <is>
          <t>Yes</t>
        </is>
      </c>
      <c r="M202" s="9" t="inlineStr">
        <is>
          <t>Series: Naga people in Sri Lankan Brahmi inscriptions</t>
        </is>
      </c>
      <c r="N202" s="10" t="inlineStr">
        <is>
          <t>https://www.ezhunaonline.com/inscriptions-about-nagar-found-on-rittikala-hill-arita-parvata-hill/</t>
        </is>
      </c>
    </row>
    <row r="203">
      <c r="A203" s="11" t="inlineStr">
        <is>
          <t>ALL-0202</t>
        </is>
      </c>
      <c r="B203" s="11" t="inlineStr">
        <is>
          <t>Magazines/Journals</t>
        </is>
      </c>
      <c r="C203" s="12" t="inlineStr">
        <is>
          <t>2025</t>
        </is>
      </c>
      <c r="D203" s="11" t="inlineStr">
        <is>
          <t>2025-02-22</t>
        </is>
      </c>
      <c r="E203" s="13" t="inlineStr">
        <is>
          <t>ரிதி விகாரை மலையில் நாக மகாராஜன் பற்றிய கல்வெட்டு</t>
        </is>
      </c>
      <c r="F203" s="13" t="inlineStr">
        <is>
          <t>N. K. S. Thiruchelvam</t>
        </is>
      </c>
      <c r="G203" s="13" t="inlineStr">
        <is>
          <t>Ezhuna (எழுநா)</t>
        </is>
      </c>
      <c r="H203" s="11" t="inlineStr">
        <is>
          <t>Online magazine article</t>
        </is>
      </c>
      <c r="I203" s="11" t="inlineStr">
        <is>
          <t>Tamil</t>
        </is>
      </c>
      <c r="J203" s="13" t="inlineStr">
        <is>
          <t>Inscriptions / கல்வெட்டு</t>
        </is>
      </c>
      <c r="K203" s="13" t="inlineStr">
        <is>
          <t>கல்வெட்டு; Naga; Ritigala</t>
        </is>
      </c>
      <c r="L203" s="11" t="inlineStr">
        <is>
          <t>Yes</t>
        </is>
      </c>
      <c r="M203" s="13" t="inlineStr">
        <is>
          <t>Series: Naga people in Sri Lankan Brahmi inscriptions</t>
        </is>
      </c>
      <c r="N203" s="14" t="inlineStr">
        <is>
          <t>https://www.ezhunaonline.com/inscription-of-naga-maharaja-on-rithi-viharai-hill/</t>
        </is>
      </c>
    </row>
    <row r="204">
      <c r="A204" s="7" t="inlineStr">
        <is>
          <t>ALL-0203</t>
        </is>
      </c>
      <c r="B204" s="7" t="inlineStr">
        <is>
          <t>Magazines/Journals</t>
        </is>
      </c>
      <c r="C204" s="8" t="inlineStr">
        <is>
          <t>2025</t>
        </is>
      </c>
      <c r="D204" s="7" t="inlineStr">
        <is>
          <t>2025-02-25</t>
        </is>
      </c>
      <c r="E204" s="9" t="inlineStr">
        <is>
          <t>பண்டைய யாழ்ப்பாணத்தின் கந்தரோடை நாகரிகம்</t>
        </is>
      </c>
      <c r="F204" s="9" t="inlineStr">
        <is>
          <t>Siva Thiagarajah</t>
        </is>
      </c>
      <c r="G204" s="9" t="inlineStr">
        <is>
          <t>Ezhuna (எழுநா)</t>
        </is>
      </c>
      <c r="H204" s="7" t="inlineStr">
        <is>
          <t>Online magazine article</t>
        </is>
      </c>
      <c r="I204" s="7" t="inlineStr">
        <is>
          <t>Tamil</t>
        </is>
      </c>
      <c r="J204" s="9" t="inlineStr">
        <is>
          <t>Archaeology / தொல்லியல்</t>
        </is>
      </c>
      <c r="K204" s="9" t="inlineStr">
        <is>
          <t>தொல்லியல்; Kantarodai</t>
        </is>
      </c>
      <c r="L204" s="7" t="inlineStr">
        <is>
          <t>Yes</t>
        </is>
      </c>
      <c r="M204" s="9" t="inlineStr">
        <is>
          <t>Series: Kantarodai civilization of ancient Jaffna</t>
        </is>
      </c>
      <c r="N204" s="10" t="inlineStr">
        <is>
          <t>https://www.ezhunaonline.com/gandharoda-civilization-of-ancient-jaffna/</t>
        </is>
      </c>
    </row>
    <row r="205">
      <c r="A205" s="11" t="inlineStr">
        <is>
          <t>ALL-0204</t>
        </is>
      </c>
      <c r="B205" s="11" t="inlineStr">
        <is>
          <t>Magazines/Journals</t>
        </is>
      </c>
      <c r="C205" s="12" t="inlineStr">
        <is>
          <t>2025</t>
        </is>
      </c>
      <c r="D205" s="11" t="inlineStr">
        <is>
          <t>2025-03-05</t>
        </is>
      </c>
      <c r="E205" s="13" t="inlineStr">
        <is>
          <t>யாழ்ப்பாணத்தின் நிலவியல், நில அமைப்பியல், ஆதிக் குடியிருப்புகள்</t>
        </is>
      </c>
      <c r="F205" s="13" t="inlineStr">
        <is>
          <t>Siva Thiagarajah</t>
        </is>
      </c>
      <c r="G205" s="13" t="inlineStr">
        <is>
          <t>Ezhuna (எழுநா)</t>
        </is>
      </c>
      <c r="H205" s="11" t="inlineStr">
        <is>
          <t>Online magazine article</t>
        </is>
      </c>
      <c r="I205" s="11" t="inlineStr">
        <is>
          <t>Tamil</t>
        </is>
      </c>
      <c r="J205" s="13" t="inlineStr">
        <is>
          <t>Archaeology / தொல்லியல்</t>
        </is>
      </c>
      <c r="K205" s="13" t="inlineStr">
        <is>
          <t>settlements; Jaffna</t>
        </is>
      </c>
      <c r="L205" s="11" t="inlineStr">
        <is>
          <t>Yes</t>
        </is>
      </c>
      <c r="M205" s="13" t="inlineStr">
        <is>
          <t>Series: Kantarodai civilization of ancient Jaffna</t>
        </is>
      </c>
      <c r="N205" s="14" t="inlineStr">
        <is>
          <t>https://www.ezhunaonline.com/geology-topography-and-ancient-settlements-of-jaffna/</t>
        </is>
      </c>
    </row>
    <row r="206">
      <c r="A206" s="7" t="inlineStr">
        <is>
          <t>ALL-0205</t>
        </is>
      </c>
      <c r="B206" s="7" t="inlineStr">
        <is>
          <t>Magazines/Journals</t>
        </is>
      </c>
      <c r="C206" s="8" t="inlineStr">
        <is>
          <t>2025</t>
        </is>
      </c>
      <c r="D206" s="7" t="inlineStr">
        <is>
          <t>2025-03-11</t>
        </is>
      </c>
      <c r="E206" s="9" t="inlineStr">
        <is>
          <t>2000 ஆண்டுகளுக்கு முன்பு சித்தர்கள் வாழ்ந்த ஆண்டியாகல மலைக் கல்வெட்டு</t>
        </is>
      </c>
      <c r="F206" s="9" t="inlineStr">
        <is>
          <t>N. K. S. Thiruchelvam</t>
        </is>
      </c>
      <c r="G206" s="9" t="inlineStr">
        <is>
          <t>Ezhuna (எழுநா)</t>
        </is>
      </c>
      <c r="H206" s="7" t="inlineStr">
        <is>
          <t>Online magazine article</t>
        </is>
      </c>
      <c r="I206" s="7" t="inlineStr">
        <is>
          <t>Tamil</t>
        </is>
      </c>
      <c r="J206" s="9" t="inlineStr">
        <is>
          <t>Inscriptions / கல்வெட்டு</t>
        </is>
      </c>
      <c r="K206" s="9" t="inlineStr">
        <is>
          <t>கல்வெட்டு; Andiyagala</t>
        </is>
      </c>
      <c r="L206" s="7" t="inlineStr">
        <is>
          <t>Yes</t>
        </is>
      </c>
      <c r="M206" s="9" t="inlineStr">
        <is>
          <t>Series: Naga people in Sri Lankan Brahmi inscriptions</t>
        </is>
      </c>
      <c r="N206" s="10" t="inlineStr">
        <is>
          <t>https://www.ezhunaonline.com/andiyagala-hill-inscription-where-siddhas-lived-2000-years-ago/</t>
        </is>
      </c>
    </row>
    <row r="207">
      <c r="A207" s="11" t="inlineStr">
        <is>
          <t>ALL-0206</t>
        </is>
      </c>
      <c r="B207" s="11" t="inlineStr">
        <is>
          <t>Magazines/Journals</t>
        </is>
      </c>
      <c r="C207" s="12" t="inlineStr">
        <is>
          <t>2025</t>
        </is>
      </c>
      <c r="D207" s="11" t="inlineStr">
        <is>
          <t>2025-03-30</t>
        </is>
      </c>
      <c r="E207" s="13" t="inlineStr">
        <is>
          <t>நாக குலத்தவர் பற்றிக் கூறும் ஹிபவுவ கல்வெட்டு</t>
        </is>
      </c>
      <c r="F207" s="13" t="inlineStr">
        <is>
          <t>N. K. S. Thiruchelvam</t>
        </is>
      </c>
      <c r="G207" s="13" t="inlineStr">
        <is>
          <t>Ezhuna (எழுநா)</t>
        </is>
      </c>
      <c r="H207" s="11" t="inlineStr">
        <is>
          <t>Online magazine article</t>
        </is>
      </c>
      <c r="I207" s="11" t="inlineStr">
        <is>
          <t>Tamil</t>
        </is>
      </c>
      <c r="J207" s="13" t="inlineStr">
        <is>
          <t>Inscriptions / கல்வெட்டு</t>
        </is>
      </c>
      <c r="K207" s="13" t="inlineStr">
        <is>
          <t>கல்வெட்டு; Naga; Hibauwa</t>
        </is>
      </c>
      <c r="L207" s="11" t="inlineStr">
        <is>
          <t>Yes</t>
        </is>
      </c>
      <c r="M207" s="13" t="inlineStr">
        <is>
          <t>Series: Naga people in Sri Lankan Brahmi inscriptions</t>
        </is>
      </c>
      <c r="N207" s="14" t="inlineStr">
        <is>
          <t>https://www.ezhunaonline.com/hibauwa-inscription-about-the-naga-clan/</t>
        </is>
      </c>
    </row>
    <row r="208">
      <c r="A208" s="7" t="inlineStr">
        <is>
          <t>ALL-0207</t>
        </is>
      </c>
      <c r="B208" s="7" t="inlineStr">
        <is>
          <t>Magazines/Journals</t>
        </is>
      </c>
      <c r="C208" s="8" t="inlineStr">
        <is>
          <t>2025</t>
        </is>
      </c>
      <c r="D208" s="7" t="inlineStr">
        <is>
          <t>2025-04-10</t>
        </is>
      </c>
      <c r="E208" s="9" t="inlineStr">
        <is>
          <t>வரலாறு மற்றும் இலக்கியப் பதிவுகளில் நாகநாடும் நாகர்களும் – பகுதி 2</t>
        </is>
      </c>
      <c r="F208" s="9" t="inlineStr">
        <is>
          <t>Siva Thiagarajah</t>
        </is>
      </c>
      <c r="G208" s="9" t="inlineStr">
        <is>
          <t>Ezhuna (எழுநா)</t>
        </is>
      </c>
      <c r="H208" s="7" t="inlineStr">
        <is>
          <t>Online magazine article</t>
        </is>
      </c>
      <c r="I208" s="7" t="inlineStr">
        <is>
          <t>Tamil</t>
        </is>
      </c>
      <c r="J208" s="9" t="n"/>
      <c r="K208" s="9" t="inlineStr">
        <is>
          <t>Naga; Naganadu</t>
        </is>
      </c>
      <c r="L208" s="7" t="inlineStr">
        <is>
          <t>Yes</t>
        </is>
      </c>
      <c r="M208" s="9" t="inlineStr">
        <is>
          <t>Series: Kantarodai civilization of ancient Jaffna</t>
        </is>
      </c>
      <c r="N208" s="10" t="inlineStr">
        <is>
          <t>https://www.ezhunaonline.com/nagaland-and-the-nagas-in-history-and-literary-records-part-2/</t>
        </is>
      </c>
    </row>
    <row r="209">
      <c r="A209" s="11" t="inlineStr">
        <is>
          <t>ALL-0208</t>
        </is>
      </c>
      <c r="B209" s="11" t="inlineStr">
        <is>
          <t>Magazines/Journals</t>
        </is>
      </c>
      <c r="C209" s="12" t="inlineStr">
        <is>
          <t>2025</t>
        </is>
      </c>
      <c r="D209" s="11" t="inlineStr">
        <is>
          <t>2025-05-05</t>
        </is>
      </c>
      <c r="E209" s="13" t="inlineStr">
        <is>
          <t>தொல்பொருட்களின் தேதிக்கணிப்புகள் (The Dating of Archaeological Artefacts)</t>
        </is>
      </c>
      <c r="F209" s="13" t="inlineStr">
        <is>
          <t>Siva Thiagarajah</t>
        </is>
      </c>
      <c r="G209" s="13" t="inlineStr">
        <is>
          <t>Ezhuna (எழுநா)</t>
        </is>
      </c>
      <c r="H209" s="11" t="inlineStr">
        <is>
          <t>Online magazine article</t>
        </is>
      </c>
      <c r="I209" s="11" t="inlineStr">
        <is>
          <t>Tamil</t>
        </is>
      </c>
      <c r="J209" s="13" t="inlineStr">
        <is>
          <t>Archaeology / தொல்லியல்</t>
        </is>
      </c>
      <c r="K209" s="13" t="inlineStr">
        <is>
          <t>தொல்லியல்; dating</t>
        </is>
      </c>
      <c r="L209" s="11" t="inlineStr">
        <is>
          <t>Yes</t>
        </is>
      </c>
      <c r="M209" s="13" t="inlineStr">
        <is>
          <t>Series: Kantarodai civilization of ancient Jaffna</t>
        </is>
      </c>
      <c r="N209" s="14" t="inlineStr">
        <is>
          <t>https://www.ezhunaonline.com/the-dating-of-archaeological-artefacts/</t>
        </is>
      </c>
    </row>
    <row r="210">
      <c r="A210" s="7" t="inlineStr">
        <is>
          <t>ALL-0209</t>
        </is>
      </c>
      <c r="B210" s="7" t="inlineStr">
        <is>
          <t>Magazines/Journals</t>
        </is>
      </c>
      <c r="C210" s="8" t="inlineStr">
        <is>
          <t>2025</t>
        </is>
      </c>
      <c r="D210" s="7" t="inlineStr">
        <is>
          <t>2025-06-13</t>
        </is>
      </c>
      <c r="E210" s="9" t="inlineStr">
        <is>
          <t>கந்தரோடைத் தொல்லியல் (Archaeology of Kantarodai) – பகுதி 3</t>
        </is>
      </c>
      <c r="F210" s="9" t="inlineStr">
        <is>
          <t>Siva Thiagarajah</t>
        </is>
      </c>
      <c r="G210" s="9" t="inlineStr">
        <is>
          <t>Ezhuna (எழுநா)</t>
        </is>
      </c>
      <c r="H210" s="7" t="inlineStr">
        <is>
          <t>Online magazine article</t>
        </is>
      </c>
      <c r="I210" s="7" t="inlineStr">
        <is>
          <t>Tamil</t>
        </is>
      </c>
      <c r="J210" s="9" t="inlineStr">
        <is>
          <t>Archaeology / தொல்லியல்</t>
        </is>
      </c>
      <c r="K210" s="9" t="inlineStr">
        <is>
          <t>தொல்லியல்; Kantarodai</t>
        </is>
      </c>
      <c r="L210" s="7" t="inlineStr">
        <is>
          <t>Yes</t>
        </is>
      </c>
      <c r="M210" s="9" t="inlineStr">
        <is>
          <t>Series: Kantarodai civilization of ancient Jaffna</t>
        </is>
      </c>
      <c r="N210" s="10" t="inlineStr">
        <is>
          <t>https://www.ezhunaonline.com/archaeology-of-kantarodai-part-3/</t>
        </is>
      </c>
    </row>
    <row r="211">
      <c r="A211" s="11" t="inlineStr">
        <is>
          <t>ALL-0210</t>
        </is>
      </c>
      <c r="B211" s="11" t="inlineStr">
        <is>
          <t>Magazines/Journals</t>
        </is>
      </c>
      <c r="C211" s="12" t="inlineStr">
        <is>
          <t>2025</t>
        </is>
      </c>
      <c r="D211" s="11" t="inlineStr">
        <is>
          <t>2025-07-11</t>
        </is>
      </c>
      <c r="E211" s="13" t="inlineStr">
        <is>
          <t>ஆனைக்கோட்டைத் தொல்லியலாய்வு</t>
        </is>
      </c>
      <c r="F211" s="13" t="inlineStr">
        <is>
          <t>Siva Thiagarajah</t>
        </is>
      </c>
      <c r="G211" s="13" t="inlineStr">
        <is>
          <t>Ezhuna (எழுநா)</t>
        </is>
      </c>
      <c r="H211" s="11" t="inlineStr">
        <is>
          <t>Online magazine article</t>
        </is>
      </c>
      <c r="I211" s="11" t="inlineStr">
        <is>
          <t>Tamil</t>
        </is>
      </c>
      <c r="J211" s="13" t="inlineStr">
        <is>
          <t>Inscriptions / கல்வெட்டு; Archaeology / தொல்லியல்</t>
        </is>
      </c>
      <c r="K211" s="13" t="inlineStr">
        <is>
          <t>தொல்லியல்; Anaikoddai; seal</t>
        </is>
      </c>
      <c r="L211" s="11" t="inlineStr">
        <is>
          <t>Yes</t>
        </is>
      </c>
      <c r="M211" s="13" t="inlineStr">
        <is>
          <t>Series: Kantarodai civilization of ancient Jaffna</t>
        </is>
      </c>
      <c r="N211" s="14" t="inlineStr">
        <is>
          <t>https://www.ezhunaonline.com/anaikottai-archaeological-survey/</t>
        </is>
      </c>
    </row>
    <row r="212">
      <c r="A212" s="7" t="inlineStr">
        <is>
          <t>ALL-0211</t>
        </is>
      </c>
      <c r="B212" s="7" t="inlineStr">
        <is>
          <t>Magazines/Journals</t>
        </is>
      </c>
      <c r="C212" s="8" t="inlineStr">
        <is>
          <t>2025</t>
        </is>
      </c>
      <c r="D212" s="7" t="inlineStr">
        <is>
          <t>2025-07-14</t>
        </is>
      </c>
      <c r="E212" s="9" t="inlineStr">
        <is>
          <t>மன்னன் நாகன் பற்றிக் கூறும் கள்ளஞ்சிய பாறைக் கல்வெட்டு</t>
        </is>
      </c>
      <c r="F212" s="9" t="inlineStr">
        <is>
          <t>N. K. S. Thiruchelvam</t>
        </is>
      </c>
      <c r="G212" s="9" t="inlineStr">
        <is>
          <t>Ezhuna (எழுநா)</t>
        </is>
      </c>
      <c r="H212" s="7" t="inlineStr">
        <is>
          <t>Online magazine article</t>
        </is>
      </c>
      <c r="I212" s="7" t="inlineStr">
        <is>
          <t>Tamil</t>
        </is>
      </c>
      <c r="J212" s="9" t="inlineStr">
        <is>
          <t>Inscriptions / கல்வெட்டு</t>
        </is>
      </c>
      <c r="K212" s="9" t="inlineStr">
        <is>
          <t>கல்வெட்டு; Naga; Kallanchiya</t>
        </is>
      </c>
      <c r="L212" s="7" t="inlineStr">
        <is>
          <t>Yes</t>
        </is>
      </c>
      <c r="M212" s="9" t="inlineStr">
        <is>
          <t>Series: Naga people in Sri Lankan Brahmi inscriptions</t>
        </is>
      </c>
      <c r="N212" s="10" t="inlineStr">
        <is>
          <t>https://www.ezhunaonline.com/the-kallanchiya-rock-inscription-tells-of-king-nagan/</t>
        </is>
      </c>
    </row>
    <row r="213">
      <c r="A213" s="11" t="inlineStr">
        <is>
          <t>ALL-0212</t>
        </is>
      </c>
      <c r="B213" s="11" t="inlineStr">
        <is>
          <t>Magazines/Journals</t>
        </is>
      </c>
      <c r="C213" s="12" t="inlineStr">
        <is>
          <t>2025</t>
        </is>
      </c>
      <c r="D213" s="11" t="inlineStr">
        <is>
          <t>2025-08-25</t>
        </is>
      </c>
      <c r="E213" s="13" t="inlineStr">
        <is>
          <t>யாழ்ப்பாணப் பட்டினம்: பொங்கொலிநீர்ச் சிங்கைநகர் – பகுதி 2</t>
        </is>
      </c>
      <c r="F213" s="13" t="inlineStr">
        <is>
          <t>Siva Thiagarajah</t>
        </is>
      </c>
      <c r="G213" s="13" t="inlineStr">
        <is>
          <t>Ezhuna (எழுநா)</t>
        </is>
      </c>
      <c r="H213" s="11" t="inlineStr">
        <is>
          <t>Online magazine article</t>
        </is>
      </c>
      <c r="I213" s="11" t="inlineStr">
        <is>
          <t>Tamil</t>
        </is>
      </c>
      <c r="J213" s="13" t="n"/>
      <c r="K213" s="13" t="inlineStr">
        <is>
          <t>Singai Nagar; Jaffna</t>
        </is>
      </c>
      <c r="L213" s="11" t="inlineStr">
        <is>
          <t>Yes</t>
        </is>
      </c>
      <c r="M213" s="13" t="inlineStr">
        <is>
          <t>Series: Kantarodai civilization of ancient Jaffna</t>
        </is>
      </c>
      <c r="N213" s="14" t="inlineStr">
        <is>
          <t>https://www.ezhunaonline.com/jaffna-city-pongoli-water-lion-city-part-2/</t>
        </is>
      </c>
    </row>
    <row r="214">
      <c r="A214" s="7" t="inlineStr">
        <is>
          <t>ALL-0213</t>
        </is>
      </c>
      <c r="B214" s="7" t="inlineStr">
        <is>
          <t>Magazines/Journals</t>
        </is>
      </c>
      <c r="C214" s="8" t="inlineStr">
        <is>
          <t>2025</t>
        </is>
      </c>
      <c r="D214" s="7" t="inlineStr">
        <is>
          <t>2025-09-04</t>
        </is>
      </c>
      <c r="E214" s="9" t="inlineStr">
        <is>
          <t>வல்லிபுரமும் நாகர்கோயிலும்</t>
        </is>
      </c>
      <c r="F214" s="9" t="inlineStr">
        <is>
          <t>Siva Thiagarajah</t>
        </is>
      </c>
      <c r="G214" s="9" t="inlineStr">
        <is>
          <t>Ezhuna (எழுநா)</t>
        </is>
      </c>
      <c r="H214" s="7" t="inlineStr">
        <is>
          <t>Online magazine article</t>
        </is>
      </c>
      <c r="I214" s="7" t="inlineStr">
        <is>
          <t>Tamil</t>
        </is>
      </c>
      <c r="J214" s="9" t="inlineStr">
        <is>
          <t>Archaeology / தொல்லியல்</t>
        </is>
      </c>
      <c r="K214" s="9" t="inlineStr">
        <is>
          <t>தொல்லியல்; Vallipuram</t>
        </is>
      </c>
      <c r="L214" s="7" t="inlineStr">
        <is>
          <t>Yes</t>
        </is>
      </c>
      <c r="M214" s="9" t="inlineStr">
        <is>
          <t>Series: Kantarodai civilization of ancient Jaffna</t>
        </is>
      </c>
      <c r="N214" s="10" t="inlineStr">
        <is>
          <t>https://www.ezhunaonline.com/vallipuram-and-nagercoil/</t>
        </is>
      </c>
    </row>
    <row r="215">
      <c r="A215" s="11" t="inlineStr">
        <is>
          <t>ALL-0214</t>
        </is>
      </c>
      <c r="B215" s="11" t="inlineStr">
        <is>
          <t>Magazines/Journals</t>
        </is>
      </c>
      <c r="C215" s="12" t="inlineStr">
        <is>
          <t>2025</t>
        </is>
      </c>
      <c r="D215" s="11" t="inlineStr">
        <is>
          <t>2025-10-10</t>
        </is>
      </c>
      <c r="E215" s="13" t="inlineStr">
        <is>
          <t>யாழ்ப்பாணத் தீபகற்பத்திற்குச் சமீபத்திலுள்ள ஆதிக்குடியேற்றங்கள்</t>
        </is>
      </c>
      <c r="F215" s="13" t="inlineStr">
        <is>
          <t>Siva Thiagarajah</t>
        </is>
      </c>
      <c r="G215" s="13" t="inlineStr">
        <is>
          <t>Ezhuna (எழுநா)</t>
        </is>
      </c>
      <c r="H215" s="11" t="inlineStr">
        <is>
          <t>Online magazine article</t>
        </is>
      </c>
      <c r="I215" s="11" t="inlineStr">
        <is>
          <t>Tamil</t>
        </is>
      </c>
      <c r="J215" s="13" t="inlineStr">
        <is>
          <t>Archaeology / தொல்லியல்</t>
        </is>
      </c>
      <c r="K215" s="13" t="inlineStr">
        <is>
          <t>தொல்லியல்; settlements</t>
        </is>
      </c>
      <c r="L215" s="11" t="inlineStr">
        <is>
          <t>Yes</t>
        </is>
      </c>
      <c r="M215" s="13" t="inlineStr">
        <is>
          <t>Series: Kantarodai civilization of ancient Jaffna</t>
        </is>
      </c>
      <c r="N215" s="14" t="inlineStr">
        <is>
          <t>https://www.ezhunaonline.com/early-settlements-near-the-jaffna-peninsula/</t>
        </is>
      </c>
    </row>
    <row r="216">
      <c r="A216" s="7" t="inlineStr">
        <is>
          <t>ALL-0215</t>
        </is>
      </c>
      <c r="B216" s="7" t="inlineStr">
        <is>
          <t>Magazines/Journals</t>
        </is>
      </c>
      <c r="C216" s="8" t="inlineStr">
        <is>
          <t>2025</t>
        </is>
      </c>
      <c r="D216" s="7" t="inlineStr">
        <is>
          <t>2025-11-06</t>
        </is>
      </c>
      <c r="E216" s="9" t="inlineStr">
        <is>
          <t>வட இலங்கைப் பெருநிலத்தில் ஆதிமனிதக் குடியேற்றங்கள்</t>
        </is>
      </c>
      <c r="F216" s="9" t="inlineStr">
        <is>
          <t>Siva Thiagarajah</t>
        </is>
      </c>
      <c r="G216" s="9" t="inlineStr">
        <is>
          <t>Ezhuna (எழுநா)</t>
        </is>
      </c>
      <c r="H216" s="7" t="inlineStr">
        <is>
          <t>Online magazine article</t>
        </is>
      </c>
      <c r="I216" s="7" t="inlineStr">
        <is>
          <t>Tamil</t>
        </is>
      </c>
      <c r="J216" s="9" t="inlineStr">
        <is>
          <t>Archaeology / தொல்லியல்</t>
        </is>
      </c>
      <c r="K216" s="9" t="inlineStr">
        <is>
          <t>தொல்லியல்; prehistoric settlements</t>
        </is>
      </c>
      <c r="L216" s="7" t="inlineStr">
        <is>
          <t>Yes</t>
        </is>
      </c>
      <c r="M216" s="9" t="inlineStr">
        <is>
          <t>Series: Kantarodai civilization of ancient Jaffna</t>
        </is>
      </c>
      <c r="N216" s="10" t="inlineStr">
        <is>
          <t>https://www.ezhunaonline.com/primitive-settlements-in-the-northern-mainland-of-sri-lanka/</t>
        </is>
      </c>
    </row>
    <row r="217">
      <c r="A217" s="11" t="inlineStr">
        <is>
          <t>ALL-0216</t>
        </is>
      </c>
      <c r="B217" s="11" t="inlineStr">
        <is>
          <t>Magazines/Journals</t>
        </is>
      </c>
      <c r="C217" s="12" t="inlineStr">
        <is>
          <t>2025</t>
        </is>
      </c>
      <c r="D217" s="11" t="inlineStr">
        <is>
          <t>2025-12-18</t>
        </is>
      </c>
      <c r="E217" s="13" t="inlineStr">
        <is>
          <t>இலங்கையில் ஆதி இரும்புக்காலமும் பெருங்கற் பண்பாடும் – பகுதி 3</t>
        </is>
      </c>
      <c r="F217" s="13" t="inlineStr">
        <is>
          <t>Siva Thiagarajah</t>
        </is>
      </c>
      <c r="G217" s="13" t="inlineStr">
        <is>
          <t>Ezhuna (எழுநா)</t>
        </is>
      </c>
      <c r="H217" s="11" t="inlineStr">
        <is>
          <t>Online magazine article</t>
        </is>
      </c>
      <c r="I217" s="11" t="inlineStr">
        <is>
          <t>Tamil</t>
        </is>
      </c>
      <c r="J217" s="13" t="inlineStr">
        <is>
          <t>Archaeology / தொல்லியல்</t>
        </is>
      </c>
      <c r="K217" s="13" t="inlineStr">
        <is>
          <t>megalithic; Iron Age</t>
        </is>
      </c>
      <c r="L217" s="11" t="inlineStr">
        <is>
          <t>Yes</t>
        </is>
      </c>
      <c r="M217" s="13" t="inlineStr">
        <is>
          <t>Series: Kantarodai civilization of ancient Jaffna</t>
        </is>
      </c>
      <c r="N217" s="14" t="inlineStr">
        <is>
          <t>https://www.ezhunaonline.com/early-iron-age-and-neolithic-culture-in-sri-lanka-part-3/</t>
        </is>
      </c>
    </row>
    <row r="218">
      <c r="A218" s="7" t="inlineStr">
        <is>
          <t>ALL-0217</t>
        </is>
      </c>
      <c r="B218" s="7" t="inlineStr">
        <is>
          <t>Magazines/Journals</t>
        </is>
      </c>
      <c r="C218" s="8" t="inlineStr">
        <is>
          <t>2024</t>
        </is>
      </c>
      <c r="D218" s="7" t="inlineStr">
        <is>
          <t>2024-01-26</t>
        </is>
      </c>
      <c r="E218" s="9" t="inlineStr">
        <is>
          <t>கீழைக்கரையில் நாகரும் அனுரை அரசரும்</t>
        </is>
      </c>
      <c r="F218" s="9" t="inlineStr">
        <is>
          <t>Vivekanantharaja Thulanchanan</t>
        </is>
      </c>
      <c r="G218" s="9" t="inlineStr">
        <is>
          <t>Ezhuna (எழுநா)</t>
        </is>
      </c>
      <c r="H218" s="7" t="inlineStr">
        <is>
          <t>Online magazine article</t>
        </is>
      </c>
      <c r="I218" s="7" t="inlineStr">
        <is>
          <t>Tamil</t>
        </is>
      </c>
      <c r="J218" s="9" t="n"/>
      <c r="K218" s="9" t="inlineStr">
        <is>
          <t>Naga; East coast</t>
        </is>
      </c>
      <c r="L218" s="7" t="inlineStr">
        <is>
          <t>Yes</t>
        </is>
      </c>
      <c r="M218" s="9" t="inlineStr">
        <is>
          <t>Series: East coast of Sri Lanka - a historical perspective</t>
        </is>
      </c>
      <c r="N218" s="10" t="inlineStr">
        <is>
          <t>https://www.ezhunaonline.com/history-of-naga-and-anuradhapura-kings-in-eastern-srilanka/</t>
        </is>
      </c>
    </row>
    <row r="219">
      <c r="A219" s="11" t="inlineStr">
        <is>
          <t>ALL-0218</t>
        </is>
      </c>
      <c r="B219" s="11" t="inlineStr">
        <is>
          <t>Magazines/Journals</t>
        </is>
      </c>
      <c r="C219" s="12" t="inlineStr">
        <is>
          <t>2024</t>
        </is>
      </c>
      <c r="D219" s="11" t="inlineStr">
        <is>
          <t>2024-02-21</t>
        </is>
      </c>
      <c r="E219" s="13" t="inlineStr">
        <is>
          <t>கீழைக்கரையின் முதல் அரசு : பத்து உடன்பிறந்தோர் குலம்!</t>
        </is>
      </c>
      <c r="F219" s="13" t="inlineStr">
        <is>
          <t>Vivekanantharaja Thulanchanan</t>
        </is>
      </c>
      <c r="G219" s="13" t="inlineStr">
        <is>
          <t>Ezhuna (எழுநா)</t>
        </is>
      </c>
      <c r="H219" s="11" t="inlineStr">
        <is>
          <t>Online magazine article</t>
        </is>
      </c>
      <c r="I219" s="11" t="inlineStr">
        <is>
          <t>Tamil</t>
        </is>
      </c>
      <c r="J219" s="13" t="inlineStr">
        <is>
          <t>Inscriptions / கல்வெட்டு; Brahmi / பிராமி</t>
        </is>
      </c>
      <c r="K219" s="13" t="inlineStr">
        <is>
          <t>East coast; Brahmi inscriptions</t>
        </is>
      </c>
      <c r="L219" s="11" t="inlineStr">
        <is>
          <t>Yes</t>
        </is>
      </c>
      <c r="M219" s="13" t="inlineStr">
        <is>
          <t>Series: East coast of Sri Lanka - a historical perspective</t>
        </is>
      </c>
      <c r="N219" s="14" t="inlineStr">
        <is>
          <t>https://www.ezhunaonline.com/the-first-ten-clans-of-eastern-sri-lanka/</t>
        </is>
      </c>
    </row>
    <row r="220">
      <c r="A220" s="7" t="inlineStr">
        <is>
          <t>ALL-0219</t>
        </is>
      </c>
      <c r="B220" s="7" t="inlineStr">
        <is>
          <t>Magazines/Journals</t>
        </is>
      </c>
      <c r="C220" s="8" t="inlineStr">
        <is>
          <t>2024</t>
        </is>
      </c>
      <c r="D220" s="7" t="inlineStr">
        <is>
          <t>2024-02-28</t>
        </is>
      </c>
      <c r="E220" s="9" t="inlineStr">
        <is>
          <t>2000 ஆண்டுகளுக்கு முற்பட்ட பிராமிக் கல்வெட்டுகள் : ஓர் அறிமுகம் – பகுதி 1</t>
        </is>
      </c>
      <c r="F220" s="9" t="inlineStr">
        <is>
          <t>N. K. S. Thiruchelvam</t>
        </is>
      </c>
      <c r="G220" s="9" t="inlineStr">
        <is>
          <t>Ezhuna (எழுநா)</t>
        </is>
      </c>
      <c r="H220" s="7" t="inlineStr">
        <is>
          <t>Online magazine article</t>
        </is>
      </c>
      <c r="I220" s="7" t="inlineStr">
        <is>
          <t>Tamil</t>
        </is>
      </c>
      <c r="J220" s="9" t="inlineStr">
        <is>
          <t>Inscriptions / கல்வெட்டு; Brahmi / பிராமி</t>
        </is>
      </c>
      <c r="K220" s="9" t="inlineStr">
        <is>
          <t>பிராமி; introduction</t>
        </is>
      </c>
      <c r="L220" s="7" t="inlineStr">
        <is>
          <t>Yes</t>
        </is>
      </c>
      <c r="M220" s="9" t="inlineStr">
        <is>
          <t>Series: Naga people in Sri Lankan Brahmi inscriptions</t>
        </is>
      </c>
      <c r="N220" s="10" t="inlineStr">
        <is>
          <t>https://www.ezhunaonline.com/an-introduction-to-brahmi-inscriptions-in-sri-lanka/</t>
        </is>
      </c>
    </row>
    <row r="221">
      <c r="A221" s="11" t="inlineStr">
        <is>
          <t>ALL-0220</t>
        </is>
      </c>
      <c r="B221" s="11" t="inlineStr">
        <is>
          <t>Magazines/Journals</t>
        </is>
      </c>
      <c r="C221" s="12" t="inlineStr">
        <is>
          <t>2024</t>
        </is>
      </c>
      <c r="D221" s="11" t="inlineStr">
        <is>
          <t>2024-03-19</t>
        </is>
      </c>
      <c r="E221" s="13" t="inlineStr">
        <is>
          <t>நாகசேனன் பற்றிக் குறிப்பிடும் சித்துள்பவ்வ கல்வெட்டுகள்</t>
        </is>
      </c>
      <c r="F221" s="13" t="inlineStr">
        <is>
          <t>N. K. S. Thiruchelvam</t>
        </is>
      </c>
      <c r="G221" s="13" t="inlineStr">
        <is>
          <t>Ezhuna (எழுநா)</t>
        </is>
      </c>
      <c r="H221" s="11" t="inlineStr">
        <is>
          <t>Online magazine article</t>
        </is>
      </c>
      <c r="I221" s="11" t="inlineStr">
        <is>
          <t>Tamil</t>
        </is>
      </c>
      <c r="J221" s="13" t="inlineStr">
        <is>
          <t>Inscriptions / கல்வெட்டு</t>
        </is>
      </c>
      <c r="K221" s="13" t="inlineStr">
        <is>
          <t>கல்வெட்டு; Situlpahuwa</t>
        </is>
      </c>
      <c r="L221" s="11" t="inlineStr">
        <is>
          <t>Yes</t>
        </is>
      </c>
      <c r="M221" s="13" t="inlineStr">
        <is>
          <t>Series: Naga people in Sri Lankan Brahmi inscriptions</t>
        </is>
      </c>
      <c r="N221" s="14" t="inlineStr">
        <is>
          <t>https://www.ezhunaonline.com/tamil-brahmi-inscription-in-ambanthotta-2/</t>
        </is>
      </c>
    </row>
    <row r="222">
      <c r="A222" s="7" t="inlineStr">
        <is>
          <t>ALL-0221</t>
        </is>
      </c>
      <c r="B222" s="7" t="inlineStr">
        <is>
          <t>Magazines/Journals</t>
        </is>
      </c>
      <c r="C222" s="8" t="inlineStr">
        <is>
          <t>2024</t>
        </is>
      </c>
      <c r="D222" s="7" t="inlineStr">
        <is>
          <t>2024-03-22</t>
        </is>
      </c>
      <c r="E222" s="9" t="inlineStr">
        <is>
          <t>கீழைக்கரை : துட்டகாமணி முதல் வட்டகாமணி வரை</t>
        </is>
      </c>
      <c r="F222" s="9" t="inlineStr">
        <is>
          <t>Vivekanantharaja Thulanchanan</t>
        </is>
      </c>
      <c r="G222" s="9" t="inlineStr">
        <is>
          <t>Ezhuna (எழுநா)</t>
        </is>
      </c>
      <c r="H222" s="7" t="inlineStr">
        <is>
          <t>Online magazine article</t>
        </is>
      </c>
      <c r="I222" s="7" t="inlineStr">
        <is>
          <t>Tamil</t>
        </is>
      </c>
      <c r="J222" s="9" t="n"/>
      <c r="K222" s="9" t="inlineStr">
        <is>
          <t>East coast; history</t>
        </is>
      </c>
      <c r="L222" s="7" t="inlineStr">
        <is>
          <t>Yes</t>
        </is>
      </c>
      <c r="M222" s="9" t="inlineStr">
        <is>
          <t>Series: East coast of Sri Lanka - a historical perspective</t>
        </is>
      </c>
      <c r="N222" s="10" t="inlineStr">
        <is>
          <t>https://www.ezhunaonline.com/from-vattagamini-to-vattagamini/</t>
        </is>
      </c>
    </row>
    <row r="223">
      <c r="A223" s="11" t="inlineStr">
        <is>
          <t>ALL-0222</t>
        </is>
      </c>
      <c r="B223" s="11" t="inlineStr">
        <is>
          <t>Magazines/Journals</t>
        </is>
      </c>
      <c r="C223" s="12" t="inlineStr">
        <is>
          <t>2024</t>
        </is>
      </c>
      <c r="D223" s="11" t="inlineStr">
        <is>
          <t>2024-04-12</t>
        </is>
      </c>
      <c r="E223" s="13" t="inlineStr">
        <is>
          <t>வடக்கு மாகாணத்தில் நாகர்</t>
        </is>
      </c>
      <c r="F223" s="13" t="inlineStr">
        <is>
          <t>N. K. S. Thiruchelvam</t>
        </is>
      </c>
      <c r="G223" s="13" t="inlineStr">
        <is>
          <t>Ezhuna (எழுநா)</t>
        </is>
      </c>
      <c r="H223" s="11" t="inlineStr">
        <is>
          <t>Online magazine article</t>
        </is>
      </c>
      <c r="I223" s="11" t="inlineStr">
        <is>
          <t>Tamil</t>
        </is>
      </c>
      <c r="J223" s="13" t="n"/>
      <c r="K223" s="13" t="inlineStr">
        <is>
          <t>Naga; Northern Province</t>
        </is>
      </c>
      <c r="L223" s="11" t="inlineStr">
        <is>
          <t>Yes</t>
        </is>
      </c>
      <c r="M223" s="13" t="inlineStr">
        <is>
          <t>Series: Naga people in Sri Lankan Brahmi inscriptions</t>
        </is>
      </c>
      <c r="N223" s="14" t="inlineStr">
        <is>
          <t>https://www.ezhunaonline.com/history-of-nagar-in-northern-sri-lanka/</t>
        </is>
      </c>
    </row>
    <row r="224">
      <c r="A224" s="7" t="inlineStr">
        <is>
          <t>ALL-0223</t>
        </is>
      </c>
      <c r="B224" s="7" t="inlineStr">
        <is>
          <t>Magazines/Journals</t>
        </is>
      </c>
      <c r="C224" s="8" t="inlineStr">
        <is>
          <t>2024</t>
        </is>
      </c>
      <c r="D224" s="7" t="inlineStr">
        <is>
          <t>2024-04-15</t>
        </is>
      </c>
      <c r="E224" s="9" t="inlineStr">
        <is>
          <t>மகாசேனன் காலம் வரை கிழக்கு உரோகணம்</t>
        </is>
      </c>
      <c r="F224" s="9" t="inlineStr">
        <is>
          <t>Vivekanantharaja Thulanchanan</t>
        </is>
      </c>
      <c r="G224" s="9" t="inlineStr">
        <is>
          <t>Ezhuna (எழுநா)</t>
        </is>
      </c>
      <c r="H224" s="7" t="inlineStr">
        <is>
          <t>Online magazine article</t>
        </is>
      </c>
      <c r="I224" s="7" t="inlineStr">
        <is>
          <t>Tamil</t>
        </is>
      </c>
      <c r="J224" s="9" t="n"/>
      <c r="K224" s="9" t="inlineStr">
        <is>
          <t>East coast; Ruhuna</t>
        </is>
      </c>
      <c r="L224" s="7" t="inlineStr">
        <is>
          <t>Yes</t>
        </is>
      </c>
      <c r="M224" s="9" t="inlineStr">
        <is>
          <t>Series: East coast of Sri Lanka - a historical perspective</t>
        </is>
      </c>
      <c r="N224" s="10" t="inlineStr">
        <is>
          <t>https://www.ezhunaonline.com/eastern-ruhunu-until-the-period-of-mahasenan/</t>
        </is>
      </c>
    </row>
    <row r="225">
      <c r="A225" s="11" t="inlineStr">
        <is>
          <t>ALL-0224</t>
        </is>
      </c>
      <c r="B225" s="11" t="inlineStr">
        <is>
          <t>Magazines/Journals</t>
        </is>
      </c>
      <c r="C225" s="12" t="inlineStr">
        <is>
          <t>2024</t>
        </is>
      </c>
      <c r="D225" s="11" t="inlineStr">
        <is>
          <t>2024-04-25</t>
        </is>
      </c>
      <c r="E225" s="13" t="inlineStr">
        <is>
          <t>மிகுந்தலையில் நாக வழிபாடும், நாகர் பற்றிய பிராமிக் கல்வெட்டுகளும்</t>
        </is>
      </c>
      <c r="F225" s="13" t="inlineStr">
        <is>
          <t>N. K. S. Thiruchelvam</t>
        </is>
      </c>
      <c r="G225" s="13" t="inlineStr">
        <is>
          <t>Ezhuna (எழுநா)</t>
        </is>
      </c>
      <c r="H225" s="11" t="inlineStr">
        <is>
          <t>Online magazine article</t>
        </is>
      </c>
      <c r="I225" s="11" t="inlineStr">
        <is>
          <t>Tamil</t>
        </is>
      </c>
      <c r="J225" s="13" t="inlineStr">
        <is>
          <t>Inscriptions / கல்வெட்டு; Brahmi / பிராமி</t>
        </is>
      </c>
      <c r="K225" s="13" t="inlineStr">
        <is>
          <t>பிராமி; Mihintale</t>
        </is>
      </c>
      <c r="L225" s="11" t="inlineStr">
        <is>
          <t>Yes</t>
        </is>
      </c>
      <c r="M225" s="13" t="inlineStr">
        <is>
          <t>Series: Naga people in Sri Lankan Brahmi inscriptions</t>
        </is>
      </c>
      <c r="N225" s="14" t="inlineStr">
        <is>
          <t>https://www.ezhunaonline.com/naga-culture-in-mihintala-anuradhapura/</t>
        </is>
      </c>
    </row>
    <row r="226">
      <c r="A226" s="7" t="inlineStr">
        <is>
          <t>ALL-0225</t>
        </is>
      </c>
      <c r="B226" s="7" t="inlineStr">
        <is>
          <t>Magazines/Journals</t>
        </is>
      </c>
      <c r="C226" s="8" t="inlineStr">
        <is>
          <t>2024</t>
        </is>
      </c>
      <c r="D226" s="7" t="inlineStr">
        <is>
          <t>2024-05-09</t>
        </is>
      </c>
      <c r="E226" s="9" t="inlineStr">
        <is>
          <t>நாக யுவராஜனின் தவறான சமய நம்பிக்கை பற்றிக் குறிப்பிடும் திஸ்ஸமகராம கல்வெட்டு</t>
        </is>
      </c>
      <c r="F226" s="9" t="inlineStr">
        <is>
          <t>N. K. S. Thiruchelvam</t>
        </is>
      </c>
      <c r="G226" s="9" t="inlineStr">
        <is>
          <t>Ezhuna (எழுநா)</t>
        </is>
      </c>
      <c r="H226" s="7" t="inlineStr">
        <is>
          <t>Online magazine article</t>
        </is>
      </c>
      <c r="I226" s="7" t="inlineStr">
        <is>
          <t>Tamil</t>
        </is>
      </c>
      <c r="J226" s="9" t="inlineStr">
        <is>
          <t>Inscriptions / கல்வெட்டு</t>
        </is>
      </c>
      <c r="K226" s="9" t="inlineStr">
        <is>
          <t>கல்வெட்டு; Tissamaharama</t>
        </is>
      </c>
      <c r="L226" s="7" t="inlineStr">
        <is>
          <t>Yes</t>
        </is>
      </c>
      <c r="M226" s="9" t="inlineStr">
        <is>
          <t>Series: Naga people in Sri Lankan Brahmi inscriptions</t>
        </is>
      </c>
      <c r="N226" s="10" t="inlineStr">
        <is>
          <t>https://www.ezhunaonline.com/thissamaharama-inscription/</t>
        </is>
      </c>
    </row>
    <row r="227">
      <c r="A227" s="11" t="inlineStr">
        <is>
          <t>ALL-0226</t>
        </is>
      </c>
      <c r="B227" s="11" t="inlineStr">
        <is>
          <t>Magazines/Journals</t>
        </is>
      </c>
      <c r="C227" s="12" t="inlineStr">
        <is>
          <t>2024</t>
        </is>
      </c>
      <c r="D227" s="11" t="inlineStr">
        <is>
          <t>2024-05-11</t>
        </is>
      </c>
      <c r="E227" s="13" t="inlineStr">
        <is>
          <t>நாக இனக் குழுவும் இலங்கைத் தமிழரும் : அண்மைக்காலத் தொல்லியல் ஆய்வுகளை அடிப்படையாகக் கொண்ட ஆய்வு – பகுதி 1</t>
        </is>
      </c>
      <c r="F227" s="13" t="inlineStr">
        <is>
          <t>பரமு புஷ்பரட்ணம்</t>
        </is>
      </c>
      <c r="G227" s="13" t="inlineStr">
        <is>
          <t>Ezhuna (எழுநா)</t>
        </is>
      </c>
      <c r="H227" s="11" t="inlineStr">
        <is>
          <t>Online magazine article</t>
        </is>
      </c>
      <c r="I227" s="11" t="inlineStr">
        <is>
          <t>Tamil</t>
        </is>
      </c>
      <c r="J227" s="13" t="inlineStr">
        <is>
          <t>Archaeology / தொல்லியல்</t>
        </is>
      </c>
      <c r="K227" s="13" t="inlineStr">
        <is>
          <t>தொல்லியல்</t>
        </is>
      </c>
      <c r="L227" s="11" t="inlineStr">
        <is>
          <t>Yes</t>
        </is>
      </c>
      <c r="M227" s="13" t="inlineStr">
        <is>
          <t>Auto-collected 2026-10-14 (ezhuna); review.</t>
        </is>
      </c>
      <c r="N227" s="14" t="inlineStr">
        <is>
          <t>https://www.ezhunaonline.com/archaeological-reseachers-of-nagar-in-sri-lanka/</t>
        </is>
      </c>
    </row>
    <row r="228">
      <c r="A228" s="7" t="inlineStr">
        <is>
          <t>ALL-0227</t>
        </is>
      </c>
      <c r="B228" s="7" t="inlineStr">
        <is>
          <t>Magazines/Journals</t>
        </is>
      </c>
      <c r="C228" s="8" t="inlineStr">
        <is>
          <t>2024</t>
        </is>
      </c>
      <c r="D228" s="7" t="inlineStr">
        <is>
          <t>2024-05-16</t>
        </is>
      </c>
      <c r="E228" s="9" t="inlineStr">
        <is>
          <t>நாக இனக் குழுவும் இலங்கைத் தமிழரும் – பகுதி 2</t>
        </is>
      </c>
      <c r="F228" s="9" t="inlineStr">
        <is>
          <t>பரமு புஷ்பரட்ணம்</t>
        </is>
      </c>
      <c r="G228" s="9" t="inlineStr">
        <is>
          <t>Ezhuna (எழுநா)</t>
        </is>
      </c>
      <c r="H228" s="7" t="inlineStr">
        <is>
          <t>Online magazine article</t>
        </is>
      </c>
      <c r="I228" s="7" t="inlineStr">
        <is>
          <t>Tamil</t>
        </is>
      </c>
      <c r="J228" s="9" t="n"/>
      <c r="K228" s="9" t="n"/>
      <c r="L228" s="7" t="inlineStr">
        <is>
          <t>Yes</t>
        </is>
      </c>
      <c r="M228" s="9" t="inlineStr">
        <is>
          <t>Auto-collected 2026-10-14 (ezhuna); review.</t>
        </is>
      </c>
      <c r="N228" s="10" t="inlineStr">
        <is>
          <t>https://www.ezhunaonline.com/nagar-culture-in-sri-lankan-history-part-2/</t>
        </is>
      </c>
    </row>
    <row r="229">
      <c r="A229" s="11" t="inlineStr">
        <is>
          <t>ALL-0228</t>
        </is>
      </c>
      <c r="B229" s="11" t="inlineStr">
        <is>
          <t>Magazines/Journals</t>
        </is>
      </c>
      <c r="C229" s="12" t="inlineStr">
        <is>
          <t>2024</t>
        </is>
      </c>
      <c r="D229" s="11" t="inlineStr">
        <is>
          <t>2024-05-28</t>
        </is>
      </c>
      <c r="E229" s="13" t="inlineStr">
        <is>
          <t>பிதுரங்கல பிராமிக் கல்வெட்டுகளில் நாகர்</t>
        </is>
      </c>
      <c r="F229" s="13" t="inlineStr">
        <is>
          <t>N. K. S. Thiruchelvam</t>
        </is>
      </c>
      <c r="G229" s="13" t="inlineStr">
        <is>
          <t>Ezhuna (எழுநா)</t>
        </is>
      </c>
      <c r="H229" s="11" t="inlineStr">
        <is>
          <t>Online magazine article</t>
        </is>
      </c>
      <c r="I229" s="11" t="inlineStr">
        <is>
          <t>Tamil</t>
        </is>
      </c>
      <c r="J229" s="13" t="inlineStr">
        <is>
          <t>Inscriptions / கல்வெட்டு; Brahmi / பிராமி</t>
        </is>
      </c>
      <c r="K229" s="13" t="inlineStr">
        <is>
          <t>பிராமி; Pidurangala</t>
        </is>
      </c>
      <c r="L229" s="11" t="inlineStr">
        <is>
          <t>Yes</t>
        </is>
      </c>
      <c r="M229" s="13" t="inlineStr">
        <is>
          <t>Series: Naga people in Sri Lankan Brahmi inscriptions</t>
        </is>
      </c>
      <c r="N229" s="14" t="inlineStr">
        <is>
          <t>https://www.ezhunaonline.com/pidurangala-bhirami-inscription/</t>
        </is>
      </c>
    </row>
    <row r="230">
      <c r="A230" s="7" t="inlineStr">
        <is>
          <t>ALL-0229</t>
        </is>
      </c>
      <c r="B230" s="7" t="inlineStr">
        <is>
          <t>Magazines/Journals</t>
        </is>
      </c>
      <c r="C230" s="8" t="inlineStr">
        <is>
          <t>2024</t>
        </is>
      </c>
      <c r="D230" s="7" t="inlineStr">
        <is>
          <t>2024-06-02</t>
        </is>
      </c>
      <c r="E230" s="9" t="inlineStr">
        <is>
          <t>மண்முனையில் பற்சின்னம் கொணர்ந்தவளும் மல்வத்தையில் புத்தர் சிலை அமைத்தவனும்</t>
        </is>
      </c>
      <c r="F230" s="9" t="inlineStr">
        <is>
          <t>Vivekanantharaja Thulanchanan</t>
        </is>
      </c>
      <c r="G230" s="9" t="inlineStr">
        <is>
          <t>Ezhuna (எழுநா)</t>
        </is>
      </c>
      <c r="H230" s="7" t="inlineStr">
        <is>
          <t>Online magazine article</t>
        </is>
      </c>
      <c r="I230" s="7" t="inlineStr">
        <is>
          <t>Tamil</t>
        </is>
      </c>
      <c r="J230" s="9" t="n"/>
      <c r="K230" s="9" t="inlineStr">
        <is>
          <t>East coast; history</t>
        </is>
      </c>
      <c r="L230" s="7" t="inlineStr">
        <is>
          <t>Yes</t>
        </is>
      </c>
      <c r="M230" s="9" t="inlineStr">
        <is>
          <t>Series: East coast of Sri Lanka - a historical perspective</t>
        </is>
      </c>
      <c r="N230" s="10" t="inlineStr">
        <is>
          <t>https://www.ezhunaonline.com/sri-lanka-eastern-province-ancient-history/</t>
        </is>
      </c>
    </row>
    <row r="231">
      <c r="A231" s="11" t="inlineStr">
        <is>
          <t>ALL-0230</t>
        </is>
      </c>
      <c r="B231" s="11" t="inlineStr">
        <is>
          <t>Magazines/Journals</t>
        </is>
      </c>
      <c r="C231" s="12" t="inlineStr">
        <is>
          <t>2024</t>
        </is>
      </c>
      <c r="D231" s="11" t="inlineStr">
        <is>
          <t>2024-06-07</t>
        </is>
      </c>
      <c r="E231" s="13" t="inlineStr">
        <is>
          <t>இலங்கையில் தமிழ் அரச மரபின் தோற்றத்தை அடையாளப்படுத்திக் காட்டும் பிராமிச் சாசனங்கள்</t>
        </is>
      </c>
      <c r="F231" s="13" t="inlineStr">
        <is>
          <t>பரமு புஷ்பரட்ணம்</t>
        </is>
      </c>
      <c r="G231" s="13" t="inlineStr">
        <is>
          <t>Ezhuna (எழுநா)</t>
        </is>
      </c>
      <c r="H231" s="11" t="inlineStr">
        <is>
          <t>Online magazine article</t>
        </is>
      </c>
      <c r="I231" s="11" t="inlineStr">
        <is>
          <t>Tamil</t>
        </is>
      </c>
      <c r="J231" s="13" t="inlineStr">
        <is>
          <t>Inscriptions / கல்வெட்டு; Brahmi / பிராமி</t>
        </is>
      </c>
      <c r="K231" s="13" t="inlineStr">
        <is>
          <t>பிராமி</t>
        </is>
      </c>
      <c r="L231" s="11" t="inlineStr">
        <is>
          <t>Yes</t>
        </is>
      </c>
      <c r="M231" s="13" t="inlineStr">
        <is>
          <t>Auto-collected 2026-10-14 (ezhuna); review.</t>
        </is>
      </c>
      <c r="N231" s="14" t="inlineStr">
        <is>
          <t>https://www.ezhunaonline.com/brahmi-inscription-about-sri-lankan-kingdoms/</t>
        </is>
      </c>
    </row>
    <row r="232">
      <c r="A232" s="7" t="inlineStr">
        <is>
          <t>ALL-0231</t>
        </is>
      </c>
      <c r="B232" s="7" t="inlineStr">
        <is>
          <t>Magazines/Journals</t>
        </is>
      </c>
      <c r="C232" s="8" t="inlineStr">
        <is>
          <t>2024</t>
        </is>
      </c>
      <c r="D232" s="7" t="inlineStr">
        <is>
          <t>2024-06-27</t>
        </is>
      </c>
      <c r="E232" s="9" t="inlineStr">
        <is>
          <t>பொற்கொல்லன் நாகன் பற்றிக் கூறும் அனுராதபுரம் – வெஸ்ஸகிரி கல்வெட்டுகள்</t>
        </is>
      </c>
      <c r="F232" s="9" t="inlineStr">
        <is>
          <t>N. K. S. Thiruchelvam</t>
        </is>
      </c>
      <c r="G232" s="9" t="inlineStr">
        <is>
          <t>Ezhuna (எழுநா)</t>
        </is>
      </c>
      <c r="H232" s="7" t="inlineStr">
        <is>
          <t>Online magazine article</t>
        </is>
      </c>
      <c r="I232" s="7" t="inlineStr">
        <is>
          <t>Tamil</t>
        </is>
      </c>
      <c r="J232" s="9" t="inlineStr">
        <is>
          <t>Inscriptions / கல்வெட்டு</t>
        </is>
      </c>
      <c r="K232" s="9" t="inlineStr">
        <is>
          <t>கல்வெட்டு; Vessagiri; Anuradhapura</t>
        </is>
      </c>
      <c r="L232" s="7" t="inlineStr">
        <is>
          <t>Yes</t>
        </is>
      </c>
      <c r="M232" s="9" t="inlineStr">
        <is>
          <t>Series: Naga people in Sri Lankan Brahmi inscriptions</t>
        </is>
      </c>
      <c r="N232" s="10" t="inlineStr">
        <is>
          <t>https://www.ezhunaonline.com/vessagiriya-inscription-that-tells-about-naga-blacksmith/</t>
        </is>
      </c>
    </row>
    <row r="233">
      <c r="A233" s="11" t="inlineStr">
        <is>
          <t>ALL-0232</t>
        </is>
      </c>
      <c r="B233" s="11" t="inlineStr">
        <is>
          <t>Magazines/Journals</t>
        </is>
      </c>
      <c r="C233" s="12" t="inlineStr">
        <is>
          <t>2024</t>
        </is>
      </c>
      <c r="D233" s="11" t="inlineStr">
        <is>
          <t>2024-06-28</t>
        </is>
      </c>
      <c r="E233" s="13" t="inlineStr">
        <is>
          <t>அக்கபோதியின் மனைவி : அக்கபோதி கவர்ந்து சென்ற அக்கபோதியின் மகள்</t>
        </is>
      </c>
      <c r="F233" s="13" t="inlineStr">
        <is>
          <t>Vivekanantharaja Thulanchanan</t>
        </is>
      </c>
      <c r="G233" s="13" t="inlineStr">
        <is>
          <t>Ezhuna (எழுநா)</t>
        </is>
      </c>
      <c r="H233" s="11" t="inlineStr">
        <is>
          <t>Online magazine article</t>
        </is>
      </c>
      <c r="I233" s="11" t="inlineStr">
        <is>
          <t>Tamil</t>
        </is>
      </c>
      <c r="J233" s="13" t="n"/>
      <c r="K233" s="13" t="inlineStr">
        <is>
          <t>East coast; history</t>
        </is>
      </c>
      <c r="L233" s="11" t="inlineStr">
        <is>
          <t>Yes</t>
        </is>
      </c>
      <c r="M233" s="13" t="inlineStr">
        <is>
          <t>Series: East coast of Sri Lanka - a historical perspective</t>
        </is>
      </c>
      <c r="N233" s="14" t="inlineStr">
        <is>
          <t>https://www.ezhunaonline.com/the-wife-of-akkapothi-sri-lankan-eastern-history/</t>
        </is>
      </c>
    </row>
    <row r="234">
      <c r="A234" s="7" t="inlineStr">
        <is>
          <t>ALL-0233</t>
        </is>
      </c>
      <c r="B234" s="7" t="inlineStr">
        <is>
          <t>Magazines/Journals</t>
        </is>
      </c>
      <c r="C234" s="8" t="inlineStr">
        <is>
          <t>2024</t>
        </is>
      </c>
      <c r="D234" s="7" t="inlineStr">
        <is>
          <t>2024-07-14</t>
        </is>
      </c>
      <c r="E234" s="9" t="inlineStr">
        <is>
          <t>தமிழ் மன்னன் திரிதரனின் மகன் மகாநாகன் பொறித்த கதிர்காமக் கல்வெட்டு</t>
        </is>
      </c>
      <c r="F234" s="9" t="inlineStr">
        <is>
          <t>N. K. S. Thiruchelvam</t>
        </is>
      </c>
      <c r="G234" s="9" t="inlineStr">
        <is>
          <t>Ezhuna (எழுநா)</t>
        </is>
      </c>
      <c r="H234" s="7" t="inlineStr">
        <is>
          <t>Online magazine article</t>
        </is>
      </c>
      <c r="I234" s="7" t="inlineStr">
        <is>
          <t>Tamil</t>
        </is>
      </c>
      <c r="J234" s="9" t="inlineStr">
        <is>
          <t>Inscriptions / கல்வெட்டு</t>
        </is>
      </c>
      <c r="K234" s="9" t="inlineStr">
        <is>
          <t>கல்வெட்டு; Kataragama</t>
        </is>
      </c>
      <c r="L234" s="7" t="inlineStr">
        <is>
          <t>Yes</t>
        </is>
      </c>
      <c r="M234" s="9" t="inlineStr">
        <is>
          <t>Series: Naga people in Sri Lankan Brahmi inscriptions</t>
        </is>
      </c>
      <c r="N234" s="10" t="inlineStr">
        <is>
          <t>https://www.ezhunaonline.com/kathirgamam-inscription-by-tamil-king-maha-nagan/</t>
        </is>
      </c>
    </row>
    <row r="235">
      <c r="A235" s="11" t="inlineStr">
        <is>
          <t>ALL-0234</t>
        </is>
      </c>
      <c r="B235" s="11" t="inlineStr">
        <is>
          <t>Magazines/Journals</t>
        </is>
      </c>
      <c r="C235" s="12" t="inlineStr">
        <is>
          <t>2024</t>
        </is>
      </c>
      <c r="D235" s="11" t="inlineStr">
        <is>
          <t>2024-07-29</t>
        </is>
      </c>
      <c r="E235" s="13" t="inlineStr">
        <is>
          <t>சித்தர் மலைப்பகுதியில் நாக மகாராஜன் செய்த பணிகள் பற்றிக் குறிப்பிடும் கல்வெட்டு</t>
        </is>
      </c>
      <c r="F235" s="13" t="inlineStr">
        <is>
          <t>N. K. S. Thiruchelvam</t>
        </is>
      </c>
      <c r="G235" s="13" t="inlineStr">
        <is>
          <t>Ezhuna (எழுநா)</t>
        </is>
      </c>
      <c r="H235" s="11" t="inlineStr">
        <is>
          <t>Online magazine article</t>
        </is>
      </c>
      <c r="I235" s="11" t="inlineStr">
        <is>
          <t>Tamil</t>
        </is>
      </c>
      <c r="J235" s="13" t="inlineStr">
        <is>
          <t>Inscriptions / கல்வெட்டு</t>
        </is>
      </c>
      <c r="K235" s="13" t="inlineStr">
        <is>
          <t>கல்வெட்டு; Siththar malai</t>
        </is>
      </c>
      <c r="L235" s="11" t="inlineStr">
        <is>
          <t>Yes</t>
        </is>
      </c>
      <c r="M235" s="13" t="inlineStr">
        <is>
          <t>Series: Naga people in Sri Lankan Brahmi inscriptions</t>
        </is>
      </c>
      <c r="N235" s="14" t="inlineStr">
        <is>
          <t>https://www.ezhunaonline.com/siththar-rock-inscription-which-tell-about-maharajan/</t>
        </is>
      </c>
    </row>
    <row r="236">
      <c r="A236" s="7" t="inlineStr">
        <is>
          <t>ALL-0235</t>
        </is>
      </c>
      <c r="B236" s="7" t="inlineStr">
        <is>
          <t>Magazines/Journals</t>
        </is>
      </c>
      <c r="C236" s="8" t="inlineStr">
        <is>
          <t>2024</t>
        </is>
      </c>
      <c r="D236" s="7" t="inlineStr">
        <is>
          <t>2024-07-30</t>
        </is>
      </c>
      <c r="E236" s="9" t="inlineStr">
        <is>
          <t>இறக்காமம் : அனுராதபுரச் சேனாதிபதி அரக்கனுக்காக வரி விலக்கப்பட்ட ஊர்</t>
        </is>
      </c>
      <c r="F236" s="9" t="inlineStr">
        <is>
          <t>Vivekanantharaja Thulanchanan</t>
        </is>
      </c>
      <c r="G236" s="9" t="inlineStr">
        <is>
          <t>Ezhuna (எழுநா)</t>
        </is>
      </c>
      <c r="H236" s="7" t="inlineStr">
        <is>
          <t>Online magazine article</t>
        </is>
      </c>
      <c r="I236" s="7" t="inlineStr">
        <is>
          <t>Tamil</t>
        </is>
      </c>
      <c r="J236" s="9" t="inlineStr">
        <is>
          <t>Inscriptions / கல்வெட்டு</t>
        </is>
      </c>
      <c r="K236" s="9" t="inlineStr">
        <is>
          <t>கல்வெட்டு; Irakkamam</t>
        </is>
      </c>
      <c r="L236" s="7" t="inlineStr">
        <is>
          <t>Yes</t>
        </is>
      </c>
      <c r="M236" s="9" t="inlineStr">
        <is>
          <t>Series: East coast of Sri Lanka - a historical perspective</t>
        </is>
      </c>
      <c r="N236" s="10" t="inlineStr">
        <is>
          <t>https://www.ezhunaonline.com/irakkamam-a-tax-free-village-for-anuradhapura-commander/</t>
        </is>
      </c>
    </row>
    <row r="237">
      <c r="A237" s="11" t="inlineStr">
        <is>
          <t>ALL-0236</t>
        </is>
      </c>
      <c r="B237" s="11" t="inlineStr">
        <is>
          <t>Magazines/Journals</t>
        </is>
      </c>
      <c r="C237" s="12" t="inlineStr">
        <is>
          <t>2024</t>
        </is>
      </c>
      <c r="D237" s="11" t="inlineStr">
        <is>
          <t>2024-08-04</t>
        </is>
      </c>
      <c r="E237" s="13" t="inlineStr">
        <is>
          <t>தொல்லியல் நோக்கில் கதிரமலை அரசு</t>
        </is>
      </c>
      <c r="F237" s="13" t="inlineStr">
        <is>
          <t>பரமு புஷ்பரட்ணம்</t>
        </is>
      </c>
      <c r="G237" s="13" t="inlineStr">
        <is>
          <t>Ezhuna (எழுநா)</t>
        </is>
      </c>
      <c r="H237" s="11" t="inlineStr">
        <is>
          <t>Online magazine article</t>
        </is>
      </c>
      <c r="I237" s="11" t="inlineStr">
        <is>
          <t>Tamil</t>
        </is>
      </c>
      <c r="J237" s="13" t="inlineStr">
        <is>
          <t>Archaeology / தொல்லியல்</t>
        </is>
      </c>
      <c r="K237" s="13" t="inlineStr">
        <is>
          <t>தொல்லியல்</t>
        </is>
      </c>
      <c r="L237" s="11" t="inlineStr">
        <is>
          <t>Yes</t>
        </is>
      </c>
      <c r="M237" s="13" t="inlineStr">
        <is>
          <t>Auto-collected 2026-10-14 (ezhuna); review.</t>
        </is>
      </c>
      <c r="N237" s="14" t="inlineStr">
        <is>
          <t>https://www.ezhunaonline.com/archaeological-view-of-kathiramalai-kingdom/</t>
        </is>
      </c>
    </row>
    <row r="238">
      <c r="A238" s="7" t="inlineStr">
        <is>
          <t>ALL-0237</t>
        </is>
      </c>
      <c r="B238" s="7" t="inlineStr">
        <is>
          <t>Magazines/Journals</t>
        </is>
      </c>
      <c r="C238" s="8" t="inlineStr">
        <is>
          <t>2024</t>
        </is>
      </c>
      <c r="D238" s="7" t="inlineStr">
        <is>
          <t>2024-08-13</t>
        </is>
      </c>
      <c r="E238" s="9" t="inlineStr">
        <is>
          <t>நாகசிவன், நாகவிய, நாகப்ப சவிய ஆகியவை பற்றிக் குறிப்பிடும் பண்டகிரிய கல்வெட்டு</t>
        </is>
      </c>
      <c r="F238" s="9" t="inlineStr">
        <is>
          <t>N. K. S. Thiruchelvam</t>
        </is>
      </c>
      <c r="G238" s="9" t="inlineStr">
        <is>
          <t>Ezhuna (எழுநா)</t>
        </is>
      </c>
      <c r="H238" s="7" t="inlineStr">
        <is>
          <t>Online magazine article</t>
        </is>
      </c>
      <c r="I238" s="7" t="inlineStr">
        <is>
          <t>Tamil</t>
        </is>
      </c>
      <c r="J238" s="9" t="inlineStr">
        <is>
          <t>Inscriptions / கல்வெட்டு</t>
        </is>
      </c>
      <c r="K238" s="9" t="inlineStr">
        <is>
          <t>கல்வெட்டு; Pandagiriya</t>
        </is>
      </c>
      <c r="L238" s="7" t="inlineStr">
        <is>
          <t>Yes</t>
        </is>
      </c>
      <c r="M238" s="9" t="inlineStr">
        <is>
          <t>Series: Naga people in Sri Lankan Brahmi inscriptions</t>
        </is>
      </c>
      <c r="N238" s="10" t="inlineStr">
        <is>
          <t>https://www.ezhunaonline.com/pandakiriya-inscription/</t>
        </is>
      </c>
    </row>
    <row r="239">
      <c r="A239" s="11" t="inlineStr">
        <is>
          <t>ALL-0238</t>
        </is>
      </c>
      <c r="B239" s="11" t="inlineStr">
        <is>
          <t>Magazines/Journals</t>
        </is>
      </c>
      <c r="C239" s="12" t="inlineStr">
        <is>
          <t>2024</t>
        </is>
      </c>
      <c r="D239" s="11" t="inlineStr">
        <is>
          <t>2024-08-23</t>
        </is>
      </c>
      <c r="E239" s="13" t="inlineStr">
        <is>
          <t>யுவராஜன் நாகனின் கொள்ளுப் பேரன் இளவரசன் நாகன் பற்றிக் குறிப்பிடும் படர்கல் மலைக் கல்வெட்டு</t>
        </is>
      </c>
      <c r="F239" s="13" t="inlineStr">
        <is>
          <t>N. K. S. Thiruchelvam</t>
        </is>
      </c>
      <c r="G239" s="13" t="inlineStr">
        <is>
          <t>Ezhuna (எழுநா)</t>
        </is>
      </c>
      <c r="H239" s="11" t="inlineStr">
        <is>
          <t>Online magazine article</t>
        </is>
      </c>
      <c r="I239" s="11" t="inlineStr">
        <is>
          <t>Tamil</t>
        </is>
      </c>
      <c r="J239" s="13" t="inlineStr">
        <is>
          <t>Inscriptions / கல்வெட்டு</t>
        </is>
      </c>
      <c r="K239" s="13" t="inlineStr">
        <is>
          <t>கல்வெட்டு; Padarkal malai</t>
        </is>
      </c>
      <c r="L239" s="11" t="inlineStr">
        <is>
          <t>Yes</t>
        </is>
      </c>
      <c r="M239" s="13" t="inlineStr">
        <is>
          <t>Series: Naga people in Sri Lankan Brahmi inscriptions</t>
        </is>
      </c>
      <c r="N239" s="14" t="inlineStr">
        <is>
          <t>https://www.ezhunaonline.com/padarkal-malai-inscrption/</t>
        </is>
      </c>
    </row>
    <row r="240">
      <c r="A240" s="7" t="inlineStr">
        <is>
          <t>ALL-0239</t>
        </is>
      </c>
      <c r="B240" s="7" t="inlineStr">
        <is>
          <t>Magazines/Journals</t>
        </is>
      </c>
      <c r="C240" s="8" t="inlineStr">
        <is>
          <t>2024</t>
        </is>
      </c>
      <c r="D240" s="7" t="inlineStr">
        <is>
          <t>2024-09-11</t>
        </is>
      </c>
      <c r="E240" s="9" t="inlineStr">
        <is>
          <t>மகா நாக மன்னன் பற்றிக் குறிப்பிடும் வேலோடும் மலை – நாகமலைக் கல்வெட்டு</t>
        </is>
      </c>
      <c r="F240" s="9" t="inlineStr">
        <is>
          <t>N. K. S. Thiruchelvam</t>
        </is>
      </c>
      <c r="G240" s="9" t="inlineStr">
        <is>
          <t>Ezhuna (எழுநா)</t>
        </is>
      </c>
      <c r="H240" s="7" t="inlineStr">
        <is>
          <t>Online magazine article</t>
        </is>
      </c>
      <c r="I240" s="7" t="inlineStr">
        <is>
          <t>Tamil</t>
        </is>
      </c>
      <c r="J240" s="9" t="inlineStr">
        <is>
          <t>Inscriptions / கல்வெட்டு</t>
        </is>
      </c>
      <c r="K240" s="9" t="inlineStr">
        <is>
          <t>கல்வெட்டு; Velodum malai</t>
        </is>
      </c>
      <c r="L240" s="7" t="inlineStr">
        <is>
          <t>Yes</t>
        </is>
      </c>
      <c r="M240" s="9" t="inlineStr">
        <is>
          <t>Series: Naga people in Sri Lankan Brahmi inscriptions</t>
        </is>
      </c>
      <c r="N240" s="10" t="inlineStr">
        <is>
          <t>https://www.ezhunaonline.com/velodum-malai-nagamalai-inscription-mentions-maha-naga-king/</t>
        </is>
      </c>
    </row>
    <row r="241">
      <c r="A241" s="11" t="inlineStr">
        <is>
          <t>ALL-0240</t>
        </is>
      </c>
      <c r="B241" s="11" t="inlineStr">
        <is>
          <t>Magazines/Journals</t>
        </is>
      </c>
      <c r="C241" s="12" t="inlineStr">
        <is>
          <t>2024</t>
        </is>
      </c>
      <c r="D241" s="11" t="inlineStr">
        <is>
          <t>2024-09-22</t>
        </is>
      </c>
      <c r="E241" s="13" t="inlineStr">
        <is>
          <t>நாகபர்வத மலை எனும் பம்பரகஸ்தலாவ மலையில் நாகர் பற்றிய கல்வெட்டுகள்</t>
        </is>
      </c>
      <c r="F241" s="13" t="inlineStr">
        <is>
          <t>N. K. S. Thiruchelvam</t>
        </is>
      </c>
      <c r="G241" s="13" t="inlineStr">
        <is>
          <t>Ezhuna (எழுநா)</t>
        </is>
      </c>
      <c r="H241" s="11" t="inlineStr">
        <is>
          <t>Online magazine article</t>
        </is>
      </c>
      <c r="I241" s="11" t="inlineStr">
        <is>
          <t>Tamil</t>
        </is>
      </c>
      <c r="J241" s="13" t="inlineStr">
        <is>
          <t>Inscriptions / கல்வெட்டு</t>
        </is>
      </c>
      <c r="K241" s="13" t="inlineStr">
        <is>
          <t>கல்வெட்டு; Bambaragastalawa</t>
        </is>
      </c>
      <c r="L241" s="11" t="inlineStr">
        <is>
          <t>Yes</t>
        </is>
      </c>
      <c r="M241" s="13" t="inlineStr">
        <is>
          <t>Series: Naga people in Sri Lankan Brahmi inscriptions</t>
        </is>
      </c>
      <c r="N241" s="14" t="inlineStr">
        <is>
          <t>https://www.ezhunaonline.com/inscriptions-about-nagar-on-pambarakasthalava-hill-nagaparvata-hill/</t>
        </is>
      </c>
    </row>
    <row r="242">
      <c r="A242" s="7" t="inlineStr">
        <is>
          <t>ALL-0241</t>
        </is>
      </c>
      <c r="B242" s="7" t="inlineStr">
        <is>
          <t>Magazines/Journals</t>
        </is>
      </c>
      <c r="C242" s="8" t="inlineStr">
        <is>
          <t>2024</t>
        </is>
      </c>
      <c r="D242" s="7" t="inlineStr">
        <is>
          <t>2024-10-08</t>
        </is>
      </c>
      <c r="E242" s="9" t="inlineStr">
        <is>
          <t>பூநகரிப் பிராந்தியத்தில் அண்மையில் கண்டுபிடிக்கப்பட்ட வேள், ஈழம் பற்றிய தமிழ்ப் பிராமிச் சாசனங்கள்</t>
        </is>
      </c>
      <c r="F242" s="9" t="inlineStr">
        <is>
          <t>பரமு புஷ்பரட்ணம்</t>
        </is>
      </c>
      <c r="G242" s="9" t="inlineStr">
        <is>
          <t>Ezhuna (எழுநா)</t>
        </is>
      </c>
      <c r="H242" s="7" t="inlineStr">
        <is>
          <t>Online magazine article</t>
        </is>
      </c>
      <c r="I242" s="7" t="inlineStr">
        <is>
          <t>Tamil</t>
        </is>
      </c>
      <c r="J242" s="9" t="inlineStr">
        <is>
          <t>Inscriptions / கல்வெட்டு; Brahmi / பிராமி</t>
        </is>
      </c>
      <c r="K242" s="9" t="inlineStr">
        <is>
          <t>பிராமி</t>
        </is>
      </c>
      <c r="L242" s="7" t="inlineStr">
        <is>
          <t>Yes</t>
        </is>
      </c>
      <c r="M242" s="9" t="inlineStr">
        <is>
          <t>Auto-collected 2026-10-14 (ezhuna); review.</t>
        </is>
      </c>
      <c r="N242" s="10" t="inlineStr">
        <is>
          <t>https://www.ezhunaonline.com/tamil-brahmic-charters-of-vel-eelam-recently-discovered-in-poonagri-region/</t>
        </is>
      </c>
    </row>
    <row r="243">
      <c r="A243" s="11" t="inlineStr">
        <is>
          <t>ALL-0242</t>
        </is>
      </c>
      <c r="B243" s="11" t="inlineStr">
        <is>
          <t>Magazines/Journals</t>
        </is>
      </c>
      <c r="C243" s="12" t="inlineStr">
        <is>
          <t>2024</t>
        </is>
      </c>
      <c r="D243" s="11" t="inlineStr">
        <is>
          <t>2024-10-15</t>
        </is>
      </c>
      <c r="E243" s="13" t="inlineStr">
        <is>
          <t>நாக மன்னன் பற்றியும், நாகக் கால்வாய் பற்றியும் குறிப்பிடும் இலங்கைத்துறை, கல்லடி நீலியம்மன் மலைக் கல்வெட்டுகள்</t>
        </is>
      </c>
      <c r="F243" s="13" t="inlineStr">
        <is>
          <t>N. K. S. Thiruchelvam</t>
        </is>
      </c>
      <c r="G243" s="13" t="inlineStr">
        <is>
          <t>Ezhuna (எழுநா)</t>
        </is>
      </c>
      <c r="H243" s="11" t="inlineStr">
        <is>
          <t>Online magazine article</t>
        </is>
      </c>
      <c r="I243" s="11" t="inlineStr">
        <is>
          <t>Tamil</t>
        </is>
      </c>
      <c r="J243" s="13" t="inlineStr">
        <is>
          <t>Inscriptions / கல்வெட்டு</t>
        </is>
      </c>
      <c r="K243" s="13" t="inlineStr">
        <is>
          <t>கல்வெட்டு; Ilankaithurai; Trincomalee</t>
        </is>
      </c>
      <c r="L243" s="11" t="inlineStr">
        <is>
          <t>Yes</t>
        </is>
      </c>
      <c r="M243" s="13" t="inlineStr">
        <is>
          <t>Series: Naga people in Sri Lankan Brahmi inscriptions</t>
        </is>
      </c>
      <c r="N243" s="14" t="inlineStr">
        <is>
          <t>https://www.ezhunaonline.com/kalladi-niliyamman-hill-inscriptions-sri-lanka-mentions-the-naga-king-and-the-naga-canal/</t>
        </is>
      </c>
    </row>
    <row r="244">
      <c r="A244" s="7" t="inlineStr">
        <is>
          <t>ALL-0243</t>
        </is>
      </c>
      <c r="B244" s="7" t="inlineStr">
        <is>
          <t>Magazines/Journals</t>
        </is>
      </c>
      <c r="C244" s="8" t="inlineStr">
        <is>
          <t>2024</t>
        </is>
      </c>
      <c r="D244" s="7" t="inlineStr">
        <is>
          <t>2024-10-27</t>
        </is>
      </c>
      <c r="E244" s="9" t="inlineStr">
        <is>
          <t>நாகர் பற்றிக் குறிப்பிடும் ரஜகல எனும் ராசமலைக் கல்வெட்டுகள்</t>
        </is>
      </c>
      <c r="F244" s="9" t="inlineStr">
        <is>
          <t>N. K. S. Thiruchelvam</t>
        </is>
      </c>
      <c r="G244" s="9" t="inlineStr">
        <is>
          <t>Ezhuna (எழுநா)</t>
        </is>
      </c>
      <c r="H244" s="7" t="inlineStr">
        <is>
          <t>Online magazine article</t>
        </is>
      </c>
      <c r="I244" s="7" t="inlineStr">
        <is>
          <t>Tamil</t>
        </is>
      </c>
      <c r="J244" s="9" t="inlineStr">
        <is>
          <t>Inscriptions / கல்வெட்டு</t>
        </is>
      </c>
      <c r="K244" s="9" t="inlineStr">
        <is>
          <t>கல்வெட்டு; Rajagala</t>
        </is>
      </c>
      <c r="L244" s="7" t="inlineStr">
        <is>
          <t>Yes</t>
        </is>
      </c>
      <c r="M244" s="9" t="inlineStr">
        <is>
          <t>Series: Naga people in Sri Lankan Brahmi inscriptions</t>
        </is>
      </c>
      <c r="N244" s="10" t="inlineStr">
        <is>
          <t>https://www.ezhunaonline.com/the-rajagala-inscriptions-refer-to-nagar/</t>
        </is>
      </c>
    </row>
    <row r="245">
      <c r="A245" s="11" t="inlineStr">
        <is>
          <t>ALL-0244</t>
        </is>
      </c>
      <c r="B245" s="11" t="inlineStr">
        <is>
          <t>Magazines/Journals</t>
        </is>
      </c>
      <c r="C245" s="12" t="inlineStr">
        <is>
          <t>2024</t>
        </is>
      </c>
      <c r="D245" s="11" t="inlineStr">
        <is>
          <t>2024-11-14</t>
        </is>
      </c>
      <c r="E245" s="13" t="inlineStr">
        <is>
          <t>கிராம அதிகாரி நாகன் பற்றிக் குறிப்பிடும் குடும்பிகல மலைக் கல்வெட்டு</t>
        </is>
      </c>
      <c r="F245" s="13" t="inlineStr">
        <is>
          <t>N. K. S. Thiruchelvam</t>
        </is>
      </c>
      <c r="G245" s="13" t="inlineStr">
        <is>
          <t>Ezhuna (எழுநா)</t>
        </is>
      </c>
      <c r="H245" s="11" t="inlineStr">
        <is>
          <t>Online magazine article</t>
        </is>
      </c>
      <c r="I245" s="11" t="inlineStr">
        <is>
          <t>Tamil</t>
        </is>
      </c>
      <c r="J245" s="13" t="inlineStr">
        <is>
          <t>Inscriptions / கல்வெட்டு</t>
        </is>
      </c>
      <c r="K245" s="13" t="inlineStr">
        <is>
          <t>கல்வெட்டு; Kudumbigala</t>
        </is>
      </c>
      <c r="L245" s="11" t="inlineStr">
        <is>
          <t>Yes</t>
        </is>
      </c>
      <c r="M245" s="13" t="inlineStr">
        <is>
          <t>Series: Naga people in Sri Lankan Brahmi inscriptions</t>
        </is>
      </c>
      <c r="N245" s="14" t="inlineStr">
        <is>
          <t>https://www.ezhunaonline.com/the-kudumbigala-hill-inscription-mentions-the-village-officer-nagan/</t>
        </is>
      </c>
    </row>
    <row r="246">
      <c r="A246" s="7" t="inlineStr">
        <is>
          <t>ALL-0245</t>
        </is>
      </c>
      <c r="B246" s="7" t="inlineStr">
        <is>
          <t>Magazines/Journals</t>
        </is>
      </c>
      <c r="C246" s="8" t="inlineStr">
        <is>
          <t>2024</t>
        </is>
      </c>
      <c r="D246" s="7" t="inlineStr">
        <is>
          <t>2024-11-15</t>
        </is>
      </c>
      <c r="E246" s="9" t="inlineStr">
        <is>
          <t>கீழைக்கரையில் சோழர்</t>
        </is>
      </c>
      <c r="F246" s="9" t="inlineStr">
        <is>
          <t>Vivekanantharaja Thulanchanan</t>
        </is>
      </c>
      <c r="G246" s="9" t="inlineStr">
        <is>
          <t>Ezhuna (எழுநா)</t>
        </is>
      </c>
      <c r="H246" s="7" t="inlineStr">
        <is>
          <t>Online magazine article</t>
        </is>
      </c>
      <c r="I246" s="7" t="inlineStr">
        <is>
          <t>Tamil</t>
        </is>
      </c>
      <c r="J246" s="9" t="inlineStr">
        <is>
          <t>Inscriptions / கல்வெட்டு</t>
        </is>
      </c>
      <c r="K246" s="9" t="inlineStr">
        <is>
          <t>Chola; East coast; inscriptions</t>
        </is>
      </c>
      <c r="L246" s="7" t="inlineStr">
        <is>
          <t>Yes</t>
        </is>
      </c>
      <c r="M246" s="9" t="inlineStr">
        <is>
          <t>Series: East coast of Sri Lanka - a historical perspective</t>
        </is>
      </c>
      <c r="N246" s="10" t="inlineStr">
        <is>
          <t>https://www.ezhunaonline.com/chola-in-keekhagarai/</t>
        </is>
      </c>
    </row>
    <row r="247">
      <c r="A247" s="11" t="inlineStr">
        <is>
          <t>ALL-0246</t>
        </is>
      </c>
      <c r="B247" s="11" t="inlineStr">
        <is>
          <t>Magazines/Journals</t>
        </is>
      </c>
      <c r="C247" s="12" t="inlineStr">
        <is>
          <t>2024</t>
        </is>
      </c>
      <c r="D247" s="11" t="inlineStr">
        <is>
          <t>2024-11-28</t>
        </is>
      </c>
      <c r="E247" s="13" t="inlineStr">
        <is>
          <t>நாகர் பற்றிக் குறிப்பிடும் முத்துக்கல் மலைக் கல்வெட்டுகள்</t>
        </is>
      </c>
      <c r="F247" s="13" t="inlineStr">
        <is>
          <t>N. K. S. Thiruchelvam</t>
        </is>
      </c>
      <c r="G247" s="13" t="inlineStr">
        <is>
          <t>Ezhuna (எழுநா)</t>
        </is>
      </c>
      <c r="H247" s="11" t="inlineStr">
        <is>
          <t>Online magazine article</t>
        </is>
      </c>
      <c r="I247" s="11" t="inlineStr">
        <is>
          <t>Tamil</t>
        </is>
      </c>
      <c r="J247" s="13" t="inlineStr">
        <is>
          <t>Inscriptions / கல்வெட்டு</t>
        </is>
      </c>
      <c r="K247" s="13" t="inlineStr">
        <is>
          <t>கல்வெட்டு; Naga; Muthukal</t>
        </is>
      </c>
      <c r="L247" s="11" t="inlineStr">
        <is>
          <t>Yes</t>
        </is>
      </c>
      <c r="M247" s="13" t="inlineStr">
        <is>
          <t>Series: Naga people in Sri Lankan Brahmi inscriptions</t>
        </is>
      </c>
      <c r="N247" s="14" t="inlineStr">
        <is>
          <t>https://www.ezhunaonline.com/muthukal-hill-inscriptions-mention-nagar/</t>
        </is>
      </c>
    </row>
    <row r="248">
      <c r="A248" s="7" t="inlineStr">
        <is>
          <t>ALL-0247</t>
        </is>
      </c>
      <c r="B248" s="7" t="inlineStr">
        <is>
          <t>Magazines/Journals</t>
        </is>
      </c>
      <c r="C248" s="8" t="inlineStr">
        <is>
          <t>2024</t>
        </is>
      </c>
      <c r="D248" s="7" t="inlineStr">
        <is>
          <t>2024-12-11</t>
        </is>
      </c>
      <c r="E248" s="9" t="inlineStr">
        <is>
          <t>கிழக்கிலங்கையின் துணை அரசன் சோணையன், அவனின் மகன் அமைச்சர் தேவநாகன் ஆகியோர் பற்றிய காயங்குடா – கூமாச்சோலை கல்வெட்டு</t>
        </is>
      </c>
      <c r="F248" s="9" t="inlineStr">
        <is>
          <t>N. K. S. Thiruchelvam</t>
        </is>
      </c>
      <c r="G248" s="9" t="inlineStr">
        <is>
          <t>Ezhuna (எழுநா)</t>
        </is>
      </c>
      <c r="H248" s="7" t="inlineStr">
        <is>
          <t>Online magazine article</t>
        </is>
      </c>
      <c r="I248" s="7" t="inlineStr">
        <is>
          <t>Tamil</t>
        </is>
      </c>
      <c r="J248" s="9" t="inlineStr">
        <is>
          <t>Inscriptions / கல்வெட்டு</t>
        </is>
      </c>
      <c r="K248" s="9" t="inlineStr">
        <is>
          <t>கல்வெட்டு; Kayankudah; Batticaloa</t>
        </is>
      </c>
      <c r="L248" s="7" t="inlineStr">
        <is>
          <t>Yes</t>
        </is>
      </c>
      <c r="M248" s="9" t="inlineStr">
        <is>
          <t>Series: Naga people in Sri Lankan Brahmi inscriptions</t>
        </is>
      </c>
      <c r="N248" s="10" t="inlineStr">
        <is>
          <t>https://www.ezhunaonline.com/kayanguda-kumacholai-inscription-of-eastern-ceylon-viceroy/</t>
        </is>
      </c>
    </row>
    <row r="249">
      <c r="A249" s="11" t="inlineStr">
        <is>
          <t>ALL-0248</t>
        </is>
      </c>
      <c r="B249" s="11" t="inlineStr">
        <is>
          <t>Magazines/Journals</t>
        </is>
      </c>
      <c r="C249" s="12" t="inlineStr">
        <is>
          <t>2024</t>
        </is>
      </c>
      <c r="D249" s="11" t="inlineStr">
        <is>
          <t>2024-12-27</t>
        </is>
      </c>
      <c r="E249" s="13" t="inlineStr">
        <is>
          <t>நாகர் பற்றிக் குறிப்பிடும் ஹந்தகல பிராமிக் கல்வெட்டுகள்</t>
        </is>
      </c>
      <c r="F249" s="13" t="inlineStr">
        <is>
          <t>N. K. S. Thiruchelvam</t>
        </is>
      </c>
      <c r="G249" s="13" t="inlineStr">
        <is>
          <t>Ezhuna (எழுநா)</t>
        </is>
      </c>
      <c r="H249" s="11" t="inlineStr">
        <is>
          <t>Online magazine article</t>
        </is>
      </c>
      <c r="I249" s="11" t="inlineStr">
        <is>
          <t>Tamil</t>
        </is>
      </c>
      <c r="J249" s="13" t="inlineStr">
        <is>
          <t>Inscriptions / கல்வெட்டு; Brahmi / பிராமி</t>
        </is>
      </c>
      <c r="K249" s="13" t="inlineStr">
        <is>
          <t>பிராமி; கல்வெட்டு; Handagala</t>
        </is>
      </c>
      <c r="L249" s="11" t="inlineStr">
        <is>
          <t>Yes</t>
        </is>
      </c>
      <c r="M249" s="13" t="inlineStr">
        <is>
          <t>Series: Naga people in Sri Lankan Brahmi inscriptions</t>
        </is>
      </c>
      <c r="N249" s="14" t="inlineStr">
        <is>
          <t>https://www.ezhunaonline.com/handagala-brahmic-inscriptions-refer-to-nagar/</t>
        </is>
      </c>
    </row>
    <row r="250">
      <c r="A250" s="7" t="inlineStr">
        <is>
          <t>ALL-0249</t>
        </is>
      </c>
      <c r="B250" s="7" t="inlineStr">
        <is>
          <t>Magazines/Journals</t>
        </is>
      </c>
      <c r="C250" s="8" t="inlineStr">
        <is>
          <t>2023</t>
        </is>
      </c>
      <c r="D250" s="7" t="inlineStr">
        <is>
          <t>2023-01-03</t>
        </is>
      </c>
      <c r="E250" s="9" t="inlineStr">
        <is>
          <t>தமிழ் இராச்சியத்தின் தோற்றம்பற்றிய முன்னைய வரலாற்றுப் பார்வையை மீள்வாசிப்பிற்கு உட்படுத்தும் அரிய தமிழ்க் கல்வெட்டு திருகோணமலையில் கண்டுபிடிப்பு</t>
        </is>
      </c>
      <c r="F250" s="9" t="inlineStr">
        <is>
          <t>பரமு புஷ்பரட்ணம்</t>
        </is>
      </c>
      <c r="G250" s="9" t="inlineStr">
        <is>
          <t>Ezhuna (எழுநா)</t>
        </is>
      </c>
      <c r="H250" s="7" t="inlineStr">
        <is>
          <t>Online magazine article</t>
        </is>
      </c>
      <c r="I250" s="7" t="inlineStr">
        <is>
          <t>Tamil</t>
        </is>
      </c>
      <c r="J250" s="9" t="inlineStr">
        <is>
          <t>Inscriptions / கல்வெட்டு</t>
        </is>
      </c>
      <c r="K250" s="9" t="inlineStr">
        <is>
          <t>கல்வெட்டு</t>
        </is>
      </c>
      <c r="L250" s="7" t="inlineStr">
        <is>
          <t>Yes</t>
        </is>
      </c>
      <c r="M250" s="9" t="inlineStr">
        <is>
          <t>Auto-collected 2026-10-14 (ezhuna); review.</t>
        </is>
      </c>
      <c r="N250" s="10" t="inlineStr">
        <is>
          <t>https://www.ezhunaonline.com/discovery-of-rare-tamil-inscription-in-trincomalee-re-examines-previous-historical-view-of-origin-of-tamil-kingdom/</t>
        </is>
      </c>
    </row>
    <row r="251">
      <c r="A251" s="11" t="inlineStr">
        <is>
          <t>ALL-0250</t>
        </is>
      </c>
      <c r="B251" s="11" t="inlineStr">
        <is>
          <t>Magazines/Journals</t>
        </is>
      </c>
      <c r="C251" s="12" t="inlineStr">
        <is>
          <t>2023</t>
        </is>
      </c>
      <c r="D251" s="11" t="inlineStr">
        <is>
          <t>2023-01-13</t>
        </is>
      </c>
      <c r="E251" s="13" t="inlineStr">
        <is>
          <t>தமிழர் பற்றிக் குறிப்பிடும் பிற்காலக் கல்வெட்டுக்கள் (சோழர் காலத்திற்கு முன்பு)</t>
        </is>
      </c>
      <c r="F251" s="13" t="inlineStr">
        <is>
          <t>N. K. S. Thiruchelvam</t>
        </is>
      </c>
      <c r="G251" s="13" t="inlineStr">
        <is>
          <t>Ezhuna (எழுநா)</t>
        </is>
      </c>
      <c r="H251" s="11" t="inlineStr">
        <is>
          <t>Online magazine article</t>
        </is>
      </c>
      <c r="I251" s="11" t="inlineStr">
        <is>
          <t>Tamil</t>
        </is>
      </c>
      <c r="J251" s="13" t="inlineStr">
        <is>
          <t>Inscriptions / கல்வெட்டு</t>
        </is>
      </c>
      <c r="K251" s="13" t="inlineStr">
        <is>
          <t>கல்வெட்டு; pre-Chola</t>
        </is>
      </c>
      <c r="L251" s="11" t="inlineStr">
        <is>
          <t>Yes</t>
        </is>
      </c>
      <c r="M251" s="13" t="inlineStr">
        <is>
          <t>Series: Tamils in Brahmi &amp; Sinhala inscriptions</t>
        </is>
      </c>
      <c r="N251" s="14" t="inlineStr">
        <is>
          <t>https://www.ezhunaonline.com/later-inscriptions-refer-to-tamils/</t>
        </is>
      </c>
    </row>
    <row r="252">
      <c r="A252" s="7" t="inlineStr">
        <is>
          <t>ALL-0251</t>
        </is>
      </c>
      <c r="B252" s="7" t="inlineStr">
        <is>
          <t>Magazines/Journals</t>
        </is>
      </c>
      <c r="C252" s="8" t="inlineStr">
        <is>
          <t>2023</t>
        </is>
      </c>
      <c r="D252" s="7" t="inlineStr">
        <is>
          <t>2023-01-16</t>
        </is>
      </c>
      <c r="E252" s="9" t="inlineStr">
        <is>
          <t>கிழார்களின் வம்ப வேந்தர்</t>
        </is>
      </c>
      <c r="F252" s="9" t="inlineStr">
        <is>
          <t>நடேசன் இரவீந்திரன்</t>
        </is>
      </c>
      <c r="G252" s="9" t="inlineStr">
        <is>
          <t>Ezhuna (எழுநா)</t>
        </is>
      </c>
      <c r="H252" s="7" t="inlineStr">
        <is>
          <t>Online magazine article</t>
        </is>
      </c>
      <c r="I252" s="7" t="inlineStr">
        <is>
          <t>Tamil</t>
        </is>
      </c>
      <c r="J252" s="9" t="n"/>
      <c r="K252" s="9" t="n"/>
      <c r="L252" s="7" t="inlineStr">
        <is>
          <t>Yes</t>
        </is>
      </c>
      <c r="M252" s="9" t="inlineStr">
        <is>
          <t>Auto-collected 2026-10-14 (ezhuna); review.</t>
        </is>
      </c>
      <c r="N252" s="10" t="inlineStr">
        <is>
          <t>https://www.ezhunaonline.com/kizhargalin-vampa-vendar/</t>
        </is>
      </c>
    </row>
    <row r="253">
      <c r="A253" s="11" t="inlineStr">
        <is>
          <t>ALL-0252</t>
        </is>
      </c>
      <c r="B253" s="11" t="inlineStr">
        <is>
          <t>Magazines/Journals</t>
        </is>
      </c>
      <c r="C253" s="12" t="inlineStr">
        <is>
          <t>2023</t>
        </is>
      </c>
      <c r="D253" s="11" t="inlineStr">
        <is>
          <t>2023-02-16</t>
        </is>
      </c>
      <c r="E253" s="13" t="inlineStr">
        <is>
          <t>தமிழ் அதிகாரி மகாசாத்தான் பற்றி குறிப்பிடும் தாமரவெவ தூண் கல்வெட்டு</t>
        </is>
      </c>
      <c r="F253" s="13" t="inlineStr">
        <is>
          <t>N. K. S. Thiruchelvam</t>
        </is>
      </c>
      <c r="G253" s="13" t="inlineStr">
        <is>
          <t>Ezhuna (எழுநா)</t>
        </is>
      </c>
      <c r="H253" s="11" t="inlineStr">
        <is>
          <t>Online magazine article</t>
        </is>
      </c>
      <c r="I253" s="11" t="inlineStr">
        <is>
          <t>Tamil</t>
        </is>
      </c>
      <c r="J253" s="13" t="inlineStr">
        <is>
          <t>Inscriptions / கல்வெட்டு</t>
        </is>
      </c>
      <c r="K253" s="13" t="inlineStr">
        <is>
          <t>கல்வெட்டு; Tamaravewa pillar</t>
        </is>
      </c>
      <c r="L253" s="11" t="inlineStr">
        <is>
          <t>Yes</t>
        </is>
      </c>
      <c r="M253" s="13" t="inlineStr">
        <is>
          <t>Series: Tamils in Brahmi &amp; Sinhala inscriptions</t>
        </is>
      </c>
      <c r="N253" s="14" t="inlineStr">
        <is>
          <t>https://www.ezhunaonline.com/tamaraveva-pillar-inscription-referring-to-the-tamil-official-mahasathan/</t>
        </is>
      </c>
    </row>
    <row r="254">
      <c r="A254" s="7" t="inlineStr">
        <is>
          <t>ALL-0253</t>
        </is>
      </c>
      <c r="B254" s="7" t="inlineStr">
        <is>
          <t>Magazines/Journals</t>
        </is>
      </c>
      <c r="C254" s="8" t="inlineStr">
        <is>
          <t>2023</t>
        </is>
      </c>
      <c r="D254" s="7" t="inlineStr">
        <is>
          <t>2023-03-10</t>
        </is>
      </c>
      <c r="E254" s="9" t="inlineStr">
        <is>
          <t>தமிழர்களுக்கு மாகாண தலைப்பட்டினத்தைக் கொடுக்கக் கூடாது எனக் குறிப்பிடும் பதுளைக் கல்வெட்டு</t>
        </is>
      </c>
      <c r="F254" s="9" t="inlineStr">
        <is>
          <t>N. K. S. Thiruchelvam</t>
        </is>
      </c>
      <c r="G254" s="9" t="inlineStr">
        <is>
          <t>Ezhuna (எழுநா)</t>
        </is>
      </c>
      <c r="H254" s="7" t="inlineStr">
        <is>
          <t>Online magazine article</t>
        </is>
      </c>
      <c r="I254" s="7" t="inlineStr">
        <is>
          <t>Tamil</t>
        </is>
      </c>
      <c r="J254" s="9" t="inlineStr">
        <is>
          <t>Inscriptions / கல்வெட்டு</t>
        </is>
      </c>
      <c r="K254" s="9" t="inlineStr">
        <is>
          <t>கல்வெட்டு; Badulla pillar</t>
        </is>
      </c>
      <c r="L254" s="7" t="inlineStr">
        <is>
          <t>Yes</t>
        </is>
      </c>
      <c r="M254" s="9" t="inlineStr">
        <is>
          <t>Series: Tamils in Brahmi &amp; Sinhala inscriptions</t>
        </is>
      </c>
      <c r="N254" s="10" t="inlineStr">
        <is>
          <t>https://www.ezhunaonline.com/badulla-inscription/</t>
        </is>
      </c>
    </row>
    <row r="255">
      <c r="A255" s="11" t="inlineStr">
        <is>
          <t>ALL-0254</t>
        </is>
      </c>
      <c r="B255" s="11" t="inlineStr">
        <is>
          <t>Magazines/Journals</t>
        </is>
      </c>
      <c r="C255" s="12" t="inlineStr">
        <is>
          <t>2023</t>
        </is>
      </c>
      <c r="D255" s="11" t="inlineStr">
        <is>
          <t>2023-03-31</t>
        </is>
      </c>
      <c r="E255" s="13" t="inlineStr">
        <is>
          <t>பல ஆண்டுகளுக்குப் பின்னர் வரலாற்று வெளிச்சத்திற்கு வந்திருக்கும் அரிய தமிழ்க் கல்வெட்டு தம்பலகாமத்தில் மீளவும் கண்டுபிடிப்பு</t>
        </is>
      </c>
      <c r="F255" s="13" t="inlineStr">
        <is>
          <t>பரமு புஷ்பரட்ணம்</t>
        </is>
      </c>
      <c r="G255" s="13" t="inlineStr">
        <is>
          <t>Ezhuna (எழுநா)</t>
        </is>
      </c>
      <c r="H255" s="11" t="inlineStr">
        <is>
          <t>Online magazine article</t>
        </is>
      </c>
      <c r="I255" s="11" t="inlineStr">
        <is>
          <t>Tamil</t>
        </is>
      </c>
      <c r="J255" s="13" t="inlineStr">
        <is>
          <t>Inscriptions / கல்வெட்டு</t>
        </is>
      </c>
      <c r="K255" s="13" t="inlineStr">
        <is>
          <t>கல்வெட்டு</t>
        </is>
      </c>
      <c r="L255" s="11" t="inlineStr">
        <is>
          <t>Yes</t>
        </is>
      </c>
      <c r="M255" s="13" t="inlineStr">
        <is>
          <t>Auto-collected 2026-10-14 (ezhuna); review.</t>
        </is>
      </c>
      <c r="N255" s="14" t="inlineStr">
        <is>
          <t>https://www.ezhunaonline.com/rediscovery-of-tamil-inscription-at-tambalagama/</t>
        </is>
      </c>
    </row>
    <row r="256">
      <c r="A256" s="7" t="inlineStr">
        <is>
          <t>ALL-0255</t>
        </is>
      </c>
      <c r="B256" s="7" t="inlineStr">
        <is>
          <t>Magazines/Journals</t>
        </is>
      </c>
      <c r="C256" s="8" t="inlineStr">
        <is>
          <t>2023</t>
        </is>
      </c>
      <c r="D256" s="7" t="inlineStr">
        <is>
          <t>2023-04-04</t>
        </is>
      </c>
      <c r="E256" s="9" t="inlineStr">
        <is>
          <t>தமிழர் கிராமங்கள் மற்றும் காணிகள் பற்றிக் கூறும் அநுராதபுரம் கல் தோணிக் கல்வெட்டு</t>
        </is>
      </c>
      <c r="F256" s="9" t="inlineStr">
        <is>
          <t>N. K. S. Thiruchelvam</t>
        </is>
      </c>
      <c r="G256" s="9" t="inlineStr">
        <is>
          <t>Ezhuna (எழுநா)</t>
        </is>
      </c>
      <c r="H256" s="7" t="inlineStr">
        <is>
          <t>Online magazine article</t>
        </is>
      </c>
      <c r="I256" s="7" t="inlineStr">
        <is>
          <t>Tamil</t>
        </is>
      </c>
      <c r="J256" s="9" t="inlineStr">
        <is>
          <t>Inscriptions / கல்வெட்டு</t>
        </is>
      </c>
      <c r="K256" s="9" t="inlineStr">
        <is>
          <t>கல்வெட்டு; Anuradhapura</t>
        </is>
      </c>
      <c r="L256" s="7" t="inlineStr">
        <is>
          <t>Yes</t>
        </is>
      </c>
      <c r="M256" s="9" t="inlineStr">
        <is>
          <t>Series: Tamils in Brahmi &amp; Sinhala inscriptions</t>
        </is>
      </c>
      <c r="N256" s="10" t="inlineStr">
        <is>
          <t>https://www.ezhunaonline.com/anuradhapura-inscription/</t>
        </is>
      </c>
    </row>
    <row r="257">
      <c r="A257" s="11" t="inlineStr">
        <is>
          <t>ALL-0256</t>
        </is>
      </c>
      <c r="B257" s="11" t="inlineStr">
        <is>
          <t>Magazines/Journals</t>
        </is>
      </c>
      <c r="C257" s="12" t="inlineStr">
        <is>
          <t>2023</t>
        </is>
      </c>
      <c r="D257" s="11" t="inlineStr">
        <is>
          <t>2023-04-15</t>
        </is>
      </c>
      <c r="E257" s="13" t="inlineStr">
        <is>
          <t>பிரித்தெடுக்கப்பட்ட தமிழரின் நிலம் பற்றிக் கூறும் ரன்கொத் விகாரை கல்வெட்டு</t>
        </is>
      </c>
      <c r="F257" s="13" t="inlineStr">
        <is>
          <t>N. K. S. Thiruchelvam</t>
        </is>
      </c>
      <c r="G257" s="13" t="inlineStr">
        <is>
          <t>Ezhuna (எழுநா)</t>
        </is>
      </c>
      <c r="H257" s="11" t="inlineStr">
        <is>
          <t>Online magazine article</t>
        </is>
      </c>
      <c r="I257" s="11" t="inlineStr">
        <is>
          <t>Tamil</t>
        </is>
      </c>
      <c r="J257" s="13" t="inlineStr">
        <is>
          <t>Inscriptions / கல்வெட்டு</t>
        </is>
      </c>
      <c r="K257" s="13" t="inlineStr">
        <is>
          <t>கல்வெட்டு; Rankoth Vihara</t>
        </is>
      </c>
      <c r="L257" s="11" t="inlineStr">
        <is>
          <t>Yes</t>
        </is>
      </c>
      <c r="M257" s="13" t="inlineStr">
        <is>
          <t>Series: Tamils in Brahmi &amp; Sinhala inscriptions</t>
        </is>
      </c>
      <c r="N257" s="14" t="inlineStr">
        <is>
          <t>https://www.ezhunaonline.com/rankoth-viharai-inscription/</t>
        </is>
      </c>
    </row>
    <row r="258">
      <c r="A258" s="7" t="inlineStr">
        <is>
          <t>ALL-0257</t>
        </is>
      </c>
      <c r="B258" s="7" t="inlineStr">
        <is>
          <t>Magazines/Journals</t>
        </is>
      </c>
      <c r="C258" s="8" t="inlineStr">
        <is>
          <t>2023</t>
        </is>
      </c>
      <c r="D258" s="7" t="inlineStr">
        <is>
          <t>2023-04-22</t>
        </is>
      </c>
      <c r="E258" s="9" t="inlineStr">
        <is>
          <t>தமிழரின் பெளத்தப் பள்ளி பற்றிக் கூறும் வெஸ்ஸகிரி கற்பலகைக் கல்வெட்டு</t>
        </is>
      </c>
      <c r="F258" s="9" t="inlineStr">
        <is>
          <t>N. K. S. Thiruchelvam</t>
        </is>
      </c>
      <c r="G258" s="9" t="inlineStr">
        <is>
          <t>Ezhuna (எழுநா)</t>
        </is>
      </c>
      <c r="H258" s="7" t="inlineStr">
        <is>
          <t>Online magazine article</t>
        </is>
      </c>
      <c r="I258" s="7" t="inlineStr">
        <is>
          <t>Tamil</t>
        </is>
      </c>
      <c r="J258" s="9" t="inlineStr">
        <is>
          <t>Inscriptions / கல்வெட்டு</t>
        </is>
      </c>
      <c r="K258" s="9" t="inlineStr">
        <is>
          <t>கல்வெட்டு; Vessagiri</t>
        </is>
      </c>
      <c r="L258" s="7" t="inlineStr">
        <is>
          <t>Yes</t>
        </is>
      </c>
      <c r="M258" s="9" t="inlineStr">
        <is>
          <t>Series: Tamils in Brahmi &amp; Sinhala inscriptions</t>
        </is>
      </c>
      <c r="N258" s="10" t="inlineStr">
        <is>
          <t>https://www.ezhunaonline.com/wessagiri-inscription/</t>
        </is>
      </c>
    </row>
    <row r="259">
      <c r="A259" s="11" t="inlineStr">
        <is>
          <t>ALL-0258</t>
        </is>
      </c>
      <c r="B259" s="11" t="inlineStr">
        <is>
          <t>Magazines/Journals</t>
        </is>
      </c>
      <c r="C259" s="12" t="inlineStr">
        <is>
          <t>2023</t>
        </is>
      </c>
      <c r="D259" s="11" t="inlineStr">
        <is>
          <t>2023-04-25</t>
        </is>
      </c>
      <c r="E259" s="13" t="inlineStr">
        <is>
          <t>கீழைக்கரைக்கான எழுத்துச் சான்றுகள் : நாடுகாட்டுப் பரவணிக் கல்வெட்டு III</t>
        </is>
      </c>
      <c r="F259" s="13" t="inlineStr">
        <is>
          <t>Vivekanantharaja Thulanchanan</t>
        </is>
      </c>
      <c r="G259" s="13" t="inlineStr">
        <is>
          <t>Ezhuna (எழுநா)</t>
        </is>
      </c>
      <c r="H259" s="11" t="inlineStr">
        <is>
          <t>Online magazine article</t>
        </is>
      </c>
      <c r="I259" s="11" t="inlineStr">
        <is>
          <t>Tamil</t>
        </is>
      </c>
      <c r="J259" s="13" t="inlineStr">
        <is>
          <t>Inscriptions / கல்வெட்டு</t>
        </is>
      </c>
      <c r="K259" s="13" t="inlineStr">
        <is>
          <t>கல்வெட்டு; Nadukadu Paravani</t>
        </is>
      </c>
      <c r="L259" s="11" t="inlineStr">
        <is>
          <t>Yes</t>
        </is>
      </c>
      <c r="M259" s="13" t="inlineStr">
        <is>
          <t>Series: East coast of Sri Lanka - a historical perspective</t>
        </is>
      </c>
      <c r="N259" s="14" t="inlineStr">
        <is>
          <t>https://www.ezhunaonline.com/keekhakarai-paravani-inscriptioniii/</t>
        </is>
      </c>
    </row>
    <row r="260">
      <c r="A260" s="7" t="inlineStr">
        <is>
          <t>ALL-0259</t>
        </is>
      </c>
      <c r="B260" s="7" t="inlineStr">
        <is>
          <t>Magazines/Journals</t>
        </is>
      </c>
      <c r="C260" s="8" t="inlineStr">
        <is>
          <t>2023</t>
        </is>
      </c>
      <c r="D260" s="7" t="inlineStr">
        <is>
          <t>2023-05-18</t>
        </is>
      </c>
      <c r="E260" s="9" t="inlineStr">
        <is>
          <t>வன்னியில் வெளிச்சத்திற்கு வராத மிகப்பிரமாண்டமான சுற்றுலாத்தலம்</t>
        </is>
      </c>
      <c r="F260" s="9" t="inlineStr">
        <is>
          <t>பரமு புஷ்பரட்ணம்</t>
        </is>
      </c>
      <c r="G260" s="9" t="inlineStr">
        <is>
          <t>Ezhuna (எழுநா)</t>
        </is>
      </c>
      <c r="H260" s="7" t="inlineStr">
        <is>
          <t>Online magazine article</t>
        </is>
      </c>
      <c r="I260" s="7" t="inlineStr">
        <is>
          <t>Tamil</t>
        </is>
      </c>
      <c r="J260" s="9" t="n"/>
      <c r="K260" s="9" t="n"/>
      <c r="L260" s="7" t="inlineStr">
        <is>
          <t>Yes</t>
        </is>
      </c>
      <c r="M260" s="9" t="inlineStr">
        <is>
          <t>Auto-collected 2026-10-14 (ezhuna); review.</t>
        </is>
      </c>
      <c r="N260" s="10" t="inlineStr">
        <is>
          <t>https://www.ezhunaonline.com/the-biggest-undiscovered-tourist-destination-in-vanni/</t>
        </is>
      </c>
    </row>
    <row r="261">
      <c r="A261" s="11" t="inlineStr">
        <is>
          <t>ALL-0260</t>
        </is>
      </c>
      <c r="B261" s="11" t="inlineStr">
        <is>
          <t>Magazines/Journals</t>
        </is>
      </c>
      <c r="C261" s="12" t="inlineStr">
        <is>
          <t>2023</t>
        </is>
      </c>
      <c r="D261" s="11" t="inlineStr">
        <is>
          <t>2023-06-23</t>
        </is>
      </c>
      <c r="E261" s="13" t="inlineStr">
        <is>
          <t>யாழ்ப்பாணக் கோட்டையின் அண்மைக்காலத் தொல்லியல் ஆய்வுகள் – ஒரு புதிய பார்வை – பகுதி 3</t>
        </is>
      </c>
      <c r="F261" s="13" t="inlineStr">
        <is>
          <t>பரமு புஷ்பரட்ணம்</t>
        </is>
      </c>
      <c r="G261" s="13" t="inlineStr">
        <is>
          <t>Ezhuna (எழுநா)</t>
        </is>
      </c>
      <c r="H261" s="11" t="inlineStr">
        <is>
          <t>Online magazine article</t>
        </is>
      </c>
      <c r="I261" s="11" t="inlineStr">
        <is>
          <t>Tamil</t>
        </is>
      </c>
      <c r="J261" s="13" t="inlineStr">
        <is>
          <t>Archaeology / தொல்லியல்</t>
        </is>
      </c>
      <c r="K261" s="13" t="inlineStr">
        <is>
          <t>தொல்லியல்</t>
        </is>
      </c>
      <c r="L261" s="11" t="inlineStr">
        <is>
          <t>Yes</t>
        </is>
      </c>
      <c r="M261" s="13" t="inlineStr">
        <is>
          <t>Auto-collected 2026-10-14 (ezhuna); review.</t>
        </is>
      </c>
      <c r="N261" s="14" t="inlineStr">
        <is>
          <t>https://www.ezhunaonline.com/jaffna-fort-3/</t>
        </is>
      </c>
    </row>
    <row r="262">
      <c r="A262" s="7" t="inlineStr">
        <is>
          <t>ALL-0261</t>
        </is>
      </c>
      <c r="B262" s="7" t="inlineStr">
        <is>
          <t>Magazines/Journals</t>
        </is>
      </c>
      <c r="C262" s="8" t="inlineStr">
        <is>
          <t>2023</t>
        </is>
      </c>
      <c r="D262" s="7" t="inlineStr">
        <is>
          <t>2023-07-05</t>
        </is>
      </c>
      <c r="E262" s="9" t="inlineStr">
        <is>
          <t>யாழ்ப்பாண நகரம் தோன்றிய காலத்தை மீளாய்வு செய்யும் யாழ்ப்பாணக் கோட்டை அகழ்வாய்வு</t>
        </is>
      </c>
      <c r="F262" s="9" t="inlineStr">
        <is>
          <t>பரமு புஷ்பரட்ணம்</t>
        </is>
      </c>
      <c r="G262" s="9" t="inlineStr">
        <is>
          <t>Ezhuna (எழுநா)</t>
        </is>
      </c>
      <c r="H262" s="7" t="inlineStr">
        <is>
          <t>Online magazine article</t>
        </is>
      </c>
      <c r="I262" s="7" t="inlineStr">
        <is>
          <t>Tamil</t>
        </is>
      </c>
      <c r="J262" s="9" t="inlineStr">
        <is>
          <t>Archaeology / தொல்லியல்</t>
        </is>
      </c>
      <c r="K262" s="9" t="inlineStr">
        <is>
          <t>அகழ்வாய்வு</t>
        </is>
      </c>
      <c r="L262" s="7" t="inlineStr">
        <is>
          <t>Yes</t>
        </is>
      </c>
      <c r="M262" s="9" t="inlineStr">
        <is>
          <t>Auto-collected 2026-10-14 (ezhuna); review.</t>
        </is>
      </c>
      <c r="N262" s="10" t="inlineStr">
        <is>
          <t>https://www.ezhunaonline.com/archaeological-research-of-jaffna-fort/</t>
        </is>
      </c>
    </row>
    <row r="263">
      <c r="A263" s="11" t="inlineStr">
        <is>
          <t>ALL-0262</t>
        </is>
      </c>
      <c r="B263" s="11" t="inlineStr">
        <is>
          <t>Magazines/Journals</t>
        </is>
      </c>
      <c r="C263" s="12" t="inlineStr">
        <is>
          <t>2023</t>
        </is>
      </c>
      <c r="D263" s="11" t="inlineStr">
        <is>
          <t>2023-08-16</t>
        </is>
      </c>
      <c r="E263" s="13" t="inlineStr">
        <is>
          <t>யாழ்ப்பாண அரசில் ஆட்சிபுரிந்த புவனேகபாகு வெளியிட்ட முருகப் பெருமானைக் குறிக்கும் அரிய நாணயங்கள்</t>
        </is>
      </c>
      <c r="F263" s="13" t="inlineStr">
        <is>
          <t>பரமு புஷ்பரட்ணம்</t>
        </is>
      </c>
      <c r="G263" s="13" t="inlineStr">
        <is>
          <t>Ezhuna (எழுநா)</t>
        </is>
      </c>
      <c r="H263" s="11" t="inlineStr">
        <is>
          <t>Online magazine article</t>
        </is>
      </c>
      <c r="I263" s="11" t="inlineStr">
        <is>
          <t>Tamil</t>
        </is>
      </c>
      <c r="J263" s="13" t="inlineStr">
        <is>
          <t>Coins / நாணயம்</t>
        </is>
      </c>
      <c r="K263" s="13" t="n"/>
      <c r="L263" s="11" t="inlineStr">
        <is>
          <t>Yes</t>
        </is>
      </c>
      <c r="M263" s="13" t="inlineStr">
        <is>
          <t>Auto-collected 2026-10-14 (ezhuna); review.</t>
        </is>
      </c>
      <c r="N263" s="14" t="inlineStr">
        <is>
          <t>https://www.ezhunaonline.com/the-coins-of-bhuvanaikabahu/</t>
        </is>
      </c>
    </row>
    <row r="264">
      <c r="A264" s="7" t="inlineStr">
        <is>
          <t>ALL-0263</t>
        </is>
      </c>
      <c r="B264" s="7" t="inlineStr">
        <is>
          <t>Magazines/Journals</t>
        </is>
      </c>
      <c r="C264" s="8" t="inlineStr">
        <is>
          <t>2023</t>
        </is>
      </c>
      <c r="D264" s="7" t="inlineStr">
        <is>
          <t>2023-08-31</t>
        </is>
      </c>
      <c r="E264" s="9" t="inlineStr">
        <is>
          <t>கீழைக்கரைக்கான எழுத்துச் சான்றுகள் : மட்டக்களப்புப் பூர்வ சரித்திரம் III</t>
        </is>
      </c>
      <c r="F264" s="9" t="inlineStr">
        <is>
          <t>Vivekanantharaja Thulanchanan</t>
        </is>
      </c>
      <c r="G264" s="9" t="inlineStr">
        <is>
          <t>Ezhuna (எழுநா)</t>
        </is>
      </c>
      <c r="H264" s="7" t="inlineStr">
        <is>
          <t>Online magazine article</t>
        </is>
      </c>
      <c r="I264" s="7" t="inlineStr">
        <is>
          <t>Tamil</t>
        </is>
      </c>
      <c r="J264" s="9" t="n"/>
      <c r="K264" s="9" t="inlineStr">
        <is>
          <t>Batticaloa; sources</t>
        </is>
      </c>
      <c r="L264" s="7" t="inlineStr">
        <is>
          <t>Yes</t>
        </is>
      </c>
      <c r="M264" s="9" t="inlineStr">
        <is>
          <t>Series: East coast of Sri Lanka - a historical perspective</t>
        </is>
      </c>
      <c r="N264" s="10" t="inlineStr">
        <is>
          <t>https://www.ezhunaonline.com/batticaloa-history-iii/</t>
        </is>
      </c>
    </row>
    <row r="265">
      <c r="A265" s="11" t="inlineStr">
        <is>
          <t>ALL-0264</t>
        </is>
      </c>
      <c r="B265" s="11" t="inlineStr">
        <is>
          <t>Magazines/Journals</t>
        </is>
      </c>
      <c r="C265" s="12" t="inlineStr">
        <is>
          <t>2023</t>
        </is>
      </c>
      <c r="D265" s="11" t="inlineStr">
        <is>
          <t>2023-09-06</t>
        </is>
      </c>
      <c r="E265" s="13" t="inlineStr">
        <is>
          <t>அநுராதபுர இராசதானி காலத்தில் எல்லாள மன்னன் வெளியிட்ட தமிழ் நாணயம்</t>
        </is>
      </c>
      <c r="F265" s="13" t="inlineStr">
        <is>
          <t>பரமு புஷ்பரட்ணம்</t>
        </is>
      </c>
      <c r="G265" s="13" t="inlineStr">
        <is>
          <t>Ezhuna (எழுநா)</t>
        </is>
      </c>
      <c r="H265" s="11" t="inlineStr">
        <is>
          <t>Online magazine article</t>
        </is>
      </c>
      <c r="I265" s="11" t="inlineStr">
        <is>
          <t>Tamil</t>
        </is>
      </c>
      <c r="J265" s="13" t="inlineStr">
        <is>
          <t>Coins / நாணயம்</t>
        </is>
      </c>
      <c r="K265" s="13" t="inlineStr">
        <is>
          <t>நாணயம்</t>
        </is>
      </c>
      <c r="L265" s="11" t="inlineStr">
        <is>
          <t>Yes</t>
        </is>
      </c>
      <c r="M265" s="13" t="inlineStr">
        <is>
          <t>Auto-collected 2026-10-14 (ezhuna); review.</t>
        </is>
      </c>
      <c r="N265" s="14" t="inlineStr">
        <is>
          <t>https://www.ezhunaonline.com/tamil-coin-of-ellalan/</t>
        </is>
      </c>
    </row>
    <row r="266">
      <c r="A266" s="7" t="inlineStr">
        <is>
          <t>ALL-0265</t>
        </is>
      </c>
      <c r="B266" s="7" t="inlineStr">
        <is>
          <t>Magazines/Journals</t>
        </is>
      </c>
      <c r="C266" s="8" t="inlineStr">
        <is>
          <t>2023</t>
        </is>
      </c>
      <c r="D266" s="7" t="inlineStr">
        <is>
          <t>2023-10-04</t>
        </is>
      </c>
      <c r="E266" s="9" t="inlineStr">
        <is>
          <t>பெரிய புளியங்குளம் தமிழ்க் கல்வெட்டும் முள்ளியான் குடிமனை அழிபாடுகளும்</t>
        </is>
      </c>
      <c r="F266" s="9" t="inlineStr">
        <is>
          <t>பரமு புஷ்பரட்ணம்</t>
        </is>
      </c>
      <c r="G266" s="9" t="inlineStr">
        <is>
          <t>Ezhuna (எழுநா)</t>
        </is>
      </c>
      <c r="H266" s="7" t="inlineStr">
        <is>
          <t>Online magazine article</t>
        </is>
      </c>
      <c r="I266" s="7" t="inlineStr">
        <is>
          <t>Tamil</t>
        </is>
      </c>
      <c r="J266" s="9" t="inlineStr">
        <is>
          <t>Inscriptions / கல்வெட்டு</t>
        </is>
      </c>
      <c r="K266" s="9" t="inlineStr">
        <is>
          <t>கல்வெட்டு</t>
        </is>
      </c>
      <c r="L266" s="7" t="inlineStr">
        <is>
          <t>Yes</t>
        </is>
      </c>
      <c r="M266" s="9" t="inlineStr">
        <is>
          <t>Auto-collected 2026-10-14 (ezhuna); review.</t>
        </is>
      </c>
      <c r="N266" s="10" t="inlineStr">
        <is>
          <t>https://www.ezhunaonline.com/an-inscription-and-a-ruined-house-in-vanni/</t>
        </is>
      </c>
    </row>
    <row r="267">
      <c r="A267" s="11" t="inlineStr">
        <is>
          <t>ALL-0266</t>
        </is>
      </c>
      <c r="B267" s="11" t="inlineStr">
        <is>
          <t>Magazines/Journals</t>
        </is>
      </c>
      <c r="C267" s="12" t="inlineStr">
        <is>
          <t>2023</t>
        </is>
      </c>
      <c r="D267" s="11" t="inlineStr">
        <is>
          <t>2023-10-20</t>
        </is>
      </c>
      <c r="E267" s="13" t="inlineStr">
        <is>
          <t>கீழைக்கரைக்கான வேறு தொன்மச் சான்றுகள் II</t>
        </is>
      </c>
      <c r="F267" s="13" t="inlineStr">
        <is>
          <t>Vivekanantharaja Thulanchanan</t>
        </is>
      </c>
      <c r="G267" s="13" t="inlineStr">
        <is>
          <t>Ezhuna (எழுநா)</t>
        </is>
      </c>
      <c r="H267" s="11" t="inlineStr">
        <is>
          <t>Online magazine article</t>
        </is>
      </c>
      <c r="I267" s="11" t="inlineStr">
        <is>
          <t>Tamil</t>
        </is>
      </c>
      <c r="J267" s="13" t="n"/>
      <c r="K267" s="13" t="inlineStr">
        <is>
          <t>Batticaloa; myths</t>
        </is>
      </c>
      <c r="L267" s="11" t="inlineStr">
        <is>
          <t>Yes</t>
        </is>
      </c>
      <c r="M267" s="13" t="inlineStr">
        <is>
          <t>Series: East coast of Sri Lanka - a historical perspective</t>
        </is>
      </c>
      <c r="N267" s="14" t="inlineStr">
        <is>
          <t>https://www.ezhunaonline.com/the-other-myths-of-batticaloa-2/</t>
        </is>
      </c>
    </row>
    <row r="268">
      <c r="A268" s="7" t="inlineStr">
        <is>
          <t>ALL-0267</t>
        </is>
      </c>
      <c r="B268" s="7" t="inlineStr">
        <is>
          <t>Magazines/Journals</t>
        </is>
      </c>
      <c r="C268" s="8" t="inlineStr">
        <is>
          <t>2023</t>
        </is>
      </c>
      <c r="D268" s="7" t="inlineStr">
        <is>
          <t>2023-11-22</t>
        </is>
      </c>
      <c r="E268" s="9" t="inlineStr">
        <is>
          <t>வரலாற்றுக்கு முற்பட்ட இலங்கை</t>
        </is>
      </c>
      <c r="F268" s="9" t="inlineStr">
        <is>
          <t>Vivekanantharaja Thulanchanan</t>
        </is>
      </c>
      <c r="G268" s="9" t="inlineStr">
        <is>
          <t>Ezhuna (எழுநா)</t>
        </is>
      </c>
      <c r="H268" s="7" t="inlineStr">
        <is>
          <t>Online magazine article</t>
        </is>
      </c>
      <c r="I268" s="7" t="inlineStr">
        <is>
          <t>Tamil</t>
        </is>
      </c>
      <c r="J268" s="9" t="n"/>
      <c r="K268" s="9" t="inlineStr">
        <is>
          <t>prehistory</t>
        </is>
      </c>
      <c r="L268" s="7" t="inlineStr">
        <is>
          <t>Yes</t>
        </is>
      </c>
      <c r="M268" s="9" t="inlineStr">
        <is>
          <t>Series: East coast of Sri Lanka - a historical perspective</t>
        </is>
      </c>
      <c r="N268" s="10" t="inlineStr">
        <is>
          <t>https://www.ezhunaonline.com/timeline-of-sri-lankan-pre-history/</t>
        </is>
      </c>
    </row>
    <row r="269">
      <c r="A269" s="11" t="inlineStr">
        <is>
          <t>ALL-0268</t>
        </is>
      </c>
      <c r="B269" s="11" t="inlineStr">
        <is>
          <t>Magazines/Journals</t>
        </is>
      </c>
      <c r="C269" s="12" t="inlineStr">
        <is>
          <t>2023</t>
        </is>
      </c>
      <c r="D269" s="11" t="inlineStr">
        <is>
          <t>2023-12-31</t>
        </is>
      </c>
      <c r="E269" s="13" t="inlineStr">
        <is>
          <t>இயக்கர் அல்லது பத்தர் : இலங்கை வரலாற்றுக் காலத்தின் துவக்கம்</t>
        </is>
      </c>
      <c r="F269" s="13" t="inlineStr">
        <is>
          <t>Vivekanantharaja Thulanchanan</t>
        </is>
      </c>
      <c r="G269" s="13" t="inlineStr">
        <is>
          <t>Ezhuna (எழுநா)</t>
        </is>
      </c>
      <c r="H269" s="11" t="inlineStr">
        <is>
          <t>Online magazine article</t>
        </is>
      </c>
      <c r="I269" s="11" t="inlineStr">
        <is>
          <t>Tamil</t>
        </is>
      </c>
      <c r="J269" s="13" t="n"/>
      <c r="K269" s="13" t="inlineStr">
        <is>
          <t>early history</t>
        </is>
      </c>
      <c r="L269" s="11" t="inlineStr">
        <is>
          <t>Yes</t>
        </is>
      </c>
      <c r="M269" s="13" t="inlineStr">
        <is>
          <t>Series: East coast of Sri Lanka - a historical perspective</t>
        </is>
      </c>
      <c r="N269" s="14" t="inlineStr">
        <is>
          <t>https://www.ezhunaonline.com/the-initial-stage-of-sri-lankan-history-period/</t>
        </is>
      </c>
    </row>
    <row r="270">
      <c r="A270" s="7" t="inlineStr">
        <is>
          <t>ALL-0269</t>
        </is>
      </c>
      <c r="B270" s="7" t="inlineStr">
        <is>
          <t>Magazines/Journals</t>
        </is>
      </c>
      <c r="C270" s="8" t="inlineStr">
        <is>
          <t>2022</t>
        </is>
      </c>
      <c r="D270" s="7" t="inlineStr">
        <is>
          <t>2022-05-04</t>
        </is>
      </c>
      <c r="E270" s="9" t="inlineStr">
        <is>
          <t>இலங்கையில் அகழ்வாய்வு ஒரு அறிவியல் ஒழுக்கமா?</t>
        </is>
      </c>
      <c r="F270" s="9" t="inlineStr">
        <is>
          <t>பாக்கியநாதன் அகிலன்</t>
        </is>
      </c>
      <c r="G270" s="9" t="inlineStr">
        <is>
          <t>Ezhuna (எழுநா)</t>
        </is>
      </c>
      <c r="H270" s="7" t="inlineStr">
        <is>
          <t>Online magazine article</t>
        </is>
      </c>
      <c r="I270" s="7" t="inlineStr">
        <is>
          <t>Tamil</t>
        </is>
      </c>
      <c r="J270" s="9" t="inlineStr">
        <is>
          <t>Archaeology / தொல்லியல்</t>
        </is>
      </c>
      <c r="K270" s="9" t="inlineStr">
        <is>
          <t>அகழ்வாய்வு</t>
        </is>
      </c>
      <c r="L270" s="7" t="inlineStr">
        <is>
          <t>Yes</t>
        </is>
      </c>
      <c r="M270" s="9" t="inlineStr">
        <is>
          <t>Auto-collected 2026-10-14 (ezhuna); review.</t>
        </is>
      </c>
      <c r="N270" s="10" t="inlineStr">
        <is>
          <t>https://www.ezhunaonline.com/%e0%ae%ae%e0%ae%b0%e0%ae%aa%e0%af%81%e0%ae%b0%e0%ae%bf%e0%ae%ae%e0%af%88%e0%ae%95%e0%ae%b3%e0%af%88%e0%ae%aa%e0%af%8d-%e0%ae%aa%e0%ae%b1%e0%af%88%e0%ae%a4%e0%ae%b2%e0%af%8d-%e0%ae%87%e0%ae%b2/</t>
        </is>
      </c>
    </row>
    <row r="271">
      <c r="A271" s="11" t="inlineStr">
        <is>
          <t>ALL-0270</t>
        </is>
      </c>
      <c r="B271" s="11" t="inlineStr">
        <is>
          <t>Magazines/Journals</t>
        </is>
      </c>
      <c r="C271" s="12" t="inlineStr">
        <is>
          <t>2022</t>
        </is>
      </c>
      <c r="D271" s="11" t="inlineStr">
        <is>
          <t>2022-09-28</t>
        </is>
      </c>
      <c r="E271" s="13" t="inlineStr">
        <is>
          <t>இலங்கையில் தமிழர் பற்றிய பிராமிக் கல்வெட்டுக்கள் – ஓர் அறிமுகம்</t>
        </is>
      </c>
      <c r="F271" s="13" t="inlineStr">
        <is>
          <t>N. K. S. Thiruchelvam</t>
        </is>
      </c>
      <c r="G271" s="13" t="inlineStr">
        <is>
          <t>Ezhuna (எழுநா)</t>
        </is>
      </c>
      <c r="H271" s="11" t="inlineStr">
        <is>
          <t>Online magazine article</t>
        </is>
      </c>
      <c r="I271" s="11" t="inlineStr">
        <is>
          <t>Tamil</t>
        </is>
      </c>
      <c r="J271" s="13" t="inlineStr">
        <is>
          <t>Inscriptions / கல்வெட்டு; Brahmi / பிராமி</t>
        </is>
      </c>
      <c r="K271" s="13" t="inlineStr">
        <is>
          <t>பிராமி; கல்வெட்டு; introduction</t>
        </is>
      </c>
      <c r="L271" s="11" t="inlineStr">
        <is>
          <t>Yes</t>
        </is>
      </c>
      <c r="M271" s="13" t="inlineStr">
        <is>
          <t>Series: Tamils in Brahmi &amp; Sinhala inscriptions</t>
        </is>
      </c>
      <c r="N271" s="14" t="inlineStr">
        <is>
          <t>https://www.ezhunaonline.com/brahmic-inscriptions-on-tamils-in-ceylon-an-introduction/</t>
        </is>
      </c>
    </row>
    <row r="272">
      <c r="A272" s="7" t="inlineStr">
        <is>
          <t>ALL-0271</t>
        </is>
      </c>
      <c r="B272" s="7" t="inlineStr">
        <is>
          <t>Magazines/Journals</t>
        </is>
      </c>
      <c r="C272" s="8" t="inlineStr">
        <is>
          <t>2022</t>
        </is>
      </c>
      <c r="D272" s="7" t="inlineStr">
        <is>
          <t>2022-10-05</t>
        </is>
      </c>
      <c r="E272" s="9" t="inlineStr">
        <is>
          <t>இலங்கைத் தமிழரின் பூர்வீக வரலாற்றையும், பண்பாட்டையும் அடையாளப்படுத்திக் காட்டும் கட்டுக்கரைத் தொல்லியல் அகழ்வாய்வுகள் – பகுதி 4</t>
        </is>
      </c>
      <c r="F272" s="9" t="inlineStr">
        <is>
          <t>பரமு புஷ்பரட்ணம்</t>
        </is>
      </c>
      <c r="G272" s="9" t="inlineStr">
        <is>
          <t>Ezhuna (எழுநா)</t>
        </is>
      </c>
      <c r="H272" s="7" t="inlineStr">
        <is>
          <t>Online magazine article</t>
        </is>
      </c>
      <c r="I272" s="7" t="inlineStr">
        <is>
          <t>Tamil</t>
        </is>
      </c>
      <c r="J272" s="9" t="inlineStr">
        <is>
          <t>Archaeology / தொல்லியல்</t>
        </is>
      </c>
      <c r="K272" s="9" t="inlineStr">
        <is>
          <t>தொல்லியல்; அகழ்வாய்வு</t>
        </is>
      </c>
      <c r="L272" s="7" t="inlineStr">
        <is>
          <t>Yes</t>
        </is>
      </c>
      <c r="M272" s="9" t="inlineStr">
        <is>
          <t>Auto-collected 2026-10-14 (ezhuna); review.</t>
        </is>
      </c>
      <c r="N272" s="10" t="inlineStr">
        <is>
          <t>https://www.ezhunaonline.com/paleolithic-culture-and-contemporary-tamil-culture/</t>
        </is>
      </c>
    </row>
    <row r="273">
      <c r="A273" s="11" t="inlineStr">
        <is>
          <t>ALL-0272</t>
        </is>
      </c>
      <c r="B273" s="11" t="inlineStr">
        <is>
          <t>Magazines/Journals</t>
        </is>
      </c>
      <c r="C273" s="12" t="inlineStr">
        <is>
          <t>2022</t>
        </is>
      </c>
      <c r="D273" s="11" t="inlineStr">
        <is>
          <t>2022-10-10</t>
        </is>
      </c>
      <c r="E273" s="13" t="inlineStr">
        <is>
          <t>தமிழர் தொடர்பாக பலரும் அறிந்திருந்த 5 பிராமிக் கல்வெட்டுக்கள்</t>
        </is>
      </c>
      <c r="F273" s="13" t="inlineStr">
        <is>
          <t>N. K. S. Thiruchelvam</t>
        </is>
      </c>
      <c r="G273" s="13" t="inlineStr">
        <is>
          <t>Ezhuna (எழுநா)</t>
        </is>
      </c>
      <c r="H273" s="11" t="inlineStr">
        <is>
          <t>Online magazine article</t>
        </is>
      </c>
      <c r="I273" s="11" t="inlineStr">
        <is>
          <t>Tamil</t>
        </is>
      </c>
      <c r="J273" s="13" t="inlineStr">
        <is>
          <t>Inscriptions / கல்வெட்டு; Brahmi / பிராமி</t>
        </is>
      </c>
      <c r="K273" s="13" t="inlineStr">
        <is>
          <t>பிராமி; கல்வெட்டு</t>
        </is>
      </c>
      <c r="L273" s="11" t="inlineStr">
        <is>
          <t>Yes</t>
        </is>
      </c>
      <c r="M273" s="13" t="inlineStr">
        <is>
          <t>Series: Tamils in Brahmi &amp; Sinhala inscriptions</t>
        </is>
      </c>
      <c r="N273" s="14" t="inlineStr">
        <is>
          <t>https://www.ezhunaonline.com/5brahmic-in-icriptions-tamils/</t>
        </is>
      </c>
    </row>
    <row r="274">
      <c r="A274" s="7" t="inlineStr">
        <is>
          <t>ALL-0273</t>
        </is>
      </c>
      <c r="B274" s="7" t="inlineStr">
        <is>
          <t>Magazines/Journals</t>
        </is>
      </c>
      <c r="C274" s="8" t="inlineStr">
        <is>
          <t>2022</t>
        </is>
      </c>
      <c r="D274" s="7" t="inlineStr">
        <is>
          <t>2022-10-26</t>
        </is>
      </c>
      <c r="E274" s="9" t="inlineStr">
        <is>
          <t>கீழைக்கரைக்கான வரலாற்றுச் சான்றுகள் : கல்வெட்டுக்களும் பொறிப்புகளும்</t>
        </is>
      </c>
      <c r="F274" s="9" t="inlineStr">
        <is>
          <t>விவேகானந்தராஜா துலாஞ்சனன்</t>
        </is>
      </c>
      <c r="G274" s="9" t="inlineStr">
        <is>
          <t>Ezhuna (எழுநா)</t>
        </is>
      </c>
      <c r="H274" s="7" t="inlineStr">
        <is>
          <t>Online magazine article</t>
        </is>
      </c>
      <c r="I274" s="7" t="inlineStr">
        <is>
          <t>Tamil</t>
        </is>
      </c>
      <c r="J274" s="9" t="inlineStr">
        <is>
          <t>Inscriptions / கல்வெட்டு</t>
        </is>
      </c>
      <c r="K274" s="9" t="inlineStr">
        <is>
          <t>கல்வெட்டு</t>
        </is>
      </c>
      <c r="L274" s="7" t="inlineStr">
        <is>
          <t>Yes</t>
        </is>
      </c>
      <c r="M274" s="9" t="inlineStr">
        <is>
          <t>Auto-collected 2026-10-14 (ezhuna); review.</t>
        </is>
      </c>
      <c r="N274" s="10" t="inlineStr">
        <is>
          <t>https://www.ezhunaonline.com/historical-evidence-of-keekhakarai/</t>
        </is>
      </c>
    </row>
    <row r="275">
      <c r="A275" s="11" t="inlineStr">
        <is>
          <t>ALL-0274</t>
        </is>
      </c>
      <c r="B275" s="11" t="inlineStr">
        <is>
          <t>Magazines/Journals</t>
        </is>
      </c>
      <c r="C275" s="12" t="inlineStr">
        <is>
          <t>2022</t>
        </is>
      </c>
      <c r="D275" s="11" t="inlineStr">
        <is>
          <t>2022-11-07</t>
        </is>
      </c>
      <c r="E275" s="13" t="inlineStr">
        <is>
          <t>தமிழ் வணிகன் பற்றிக் கூறும் பெரிய புளியங்குளம் கல்வெட்டுக்கள்</t>
        </is>
      </c>
      <c r="F275" s="13" t="inlineStr">
        <is>
          <t>N. K. S. Thiruchelvam</t>
        </is>
      </c>
      <c r="G275" s="13" t="inlineStr">
        <is>
          <t>Ezhuna (எழுநா)</t>
        </is>
      </c>
      <c r="H275" s="11" t="inlineStr">
        <is>
          <t>Online magazine article</t>
        </is>
      </c>
      <c r="I275" s="11" t="inlineStr">
        <is>
          <t>Tamil</t>
        </is>
      </c>
      <c r="J275" s="13" t="inlineStr">
        <is>
          <t>Inscriptions / கல்வெட்டு</t>
        </is>
      </c>
      <c r="K275" s="13" t="inlineStr">
        <is>
          <t>கல்வெட்டு; Periya Puliyankulam</t>
        </is>
      </c>
      <c r="L275" s="11" t="inlineStr">
        <is>
          <t>Yes</t>
        </is>
      </c>
      <c r="M275" s="13" t="inlineStr">
        <is>
          <t>Series: Tamils in Brahmi &amp; Sinhala inscriptions</t>
        </is>
      </c>
      <c r="N275" s="14" t="inlineStr">
        <is>
          <t>https://www.ezhunaonline.com/tamil-vanikan-puliankulam-inscriptions/</t>
        </is>
      </c>
    </row>
    <row r="276">
      <c r="A276" s="7" t="inlineStr">
        <is>
          <t>ALL-0275</t>
        </is>
      </c>
      <c r="B276" s="7" t="inlineStr">
        <is>
          <t>Magazines/Journals</t>
        </is>
      </c>
      <c r="C276" s="8" t="inlineStr">
        <is>
          <t>2022</t>
        </is>
      </c>
      <c r="D276" s="7" t="inlineStr">
        <is>
          <t>2022-11-28</t>
        </is>
      </c>
      <c r="E276" s="9" t="inlineStr">
        <is>
          <t>தமிழ் குடும்பத் தலைவன் குட்டன் பற்றிய சேருவில கல்வெட்டு</t>
        </is>
      </c>
      <c r="F276" s="9" t="inlineStr">
        <is>
          <t>N. K. S. Thiruchelvam</t>
        </is>
      </c>
      <c r="G276" s="9" t="inlineStr">
        <is>
          <t>Ezhuna (எழுநா)</t>
        </is>
      </c>
      <c r="H276" s="7" t="inlineStr">
        <is>
          <t>Online magazine article</t>
        </is>
      </c>
      <c r="I276" s="7" t="inlineStr">
        <is>
          <t>Tamil</t>
        </is>
      </c>
      <c r="J276" s="9" t="inlineStr">
        <is>
          <t>Inscriptions / கல்வெட்டு</t>
        </is>
      </c>
      <c r="K276" s="9" t="inlineStr">
        <is>
          <t>கல்வெட்டு; Seruvila</t>
        </is>
      </c>
      <c r="L276" s="7" t="inlineStr">
        <is>
          <t>Yes</t>
        </is>
      </c>
      <c r="M276" s="9" t="inlineStr">
        <is>
          <t>Series: Tamils in Brahmi &amp; Sinhala inscriptions</t>
        </is>
      </c>
      <c r="N276" s="10" t="inlineStr">
        <is>
          <t>https://www.ezhunaonline.com/seruvila-inscription-on-tamil-family-leader-guttan/</t>
        </is>
      </c>
    </row>
    <row r="277">
      <c r="A277" s="11" t="inlineStr">
        <is>
          <t>ALL-0276</t>
        </is>
      </c>
      <c r="B277" s="11" t="inlineStr">
        <is>
          <t>Magazines/Journals</t>
        </is>
      </c>
      <c r="C277" s="12" t="inlineStr">
        <is>
          <t>2022</t>
        </is>
      </c>
      <c r="D277" s="11" t="inlineStr">
        <is>
          <t>2022-12-15</t>
        </is>
      </c>
      <c r="E277" s="13" t="inlineStr">
        <is>
          <t>வன்னிப் பெருநிலப்பரப்பில் மீண்டும் அரியதொரு தமிழ்க் கல்வெட்டு கண்டுபிடிப்பு</t>
        </is>
      </c>
      <c r="F277" s="13" t="inlineStr">
        <is>
          <t>பரமு புஷ்பரட்ணம்</t>
        </is>
      </c>
      <c r="G277" s="13" t="inlineStr">
        <is>
          <t>Ezhuna (எழுநா)</t>
        </is>
      </c>
      <c r="H277" s="11" t="inlineStr">
        <is>
          <t>Online magazine article</t>
        </is>
      </c>
      <c r="I277" s="11" t="inlineStr">
        <is>
          <t>Tamil</t>
        </is>
      </c>
      <c r="J277" s="13" t="inlineStr">
        <is>
          <t>Inscriptions / கல்வெட்டு</t>
        </is>
      </c>
      <c r="K277" s="13" t="inlineStr">
        <is>
          <t>கல்வெட்டு</t>
        </is>
      </c>
      <c r="L277" s="11" t="inlineStr">
        <is>
          <t>Yes</t>
        </is>
      </c>
      <c r="M277" s="13" t="inlineStr">
        <is>
          <t>Auto-collected 2026-10-14 (ezhuna); review.</t>
        </is>
      </c>
      <c r="N277" s="14" t="inlineStr">
        <is>
          <t>https://www.ezhunaonline.com/tamil-inscription-found-in-the-vanni/</t>
        </is>
      </c>
    </row>
    <row r="278">
      <c r="A278" s="7" t="inlineStr">
        <is>
          <t>ALL-0277</t>
        </is>
      </c>
      <c r="B278" s="7" t="inlineStr">
        <is>
          <t>Magazines/Journals</t>
        </is>
      </c>
      <c r="C278" s="8" t="inlineStr">
        <is>
          <t>2022</t>
        </is>
      </c>
      <c r="D278" s="7" t="inlineStr">
        <is>
          <t>2022-12-19</t>
        </is>
      </c>
      <c r="E278" s="9" t="inlineStr">
        <is>
          <t>தீகவாபியின் குடிமகனான தமிழ் வணிகன் பற்றிய குடிவில் கல்வெட்டு</t>
        </is>
      </c>
      <c r="F278" s="9" t="inlineStr">
        <is>
          <t>N. K. S. Thiruchelvam</t>
        </is>
      </c>
      <c r="G278" s="9" t="inlineStr">
        <is>
          <t>Ezhuna (எழுநா)</t>
        </is>
      </c>
      <c r="H278" s="7" t="inlineStr">
        <is>
          <t>Online magazine article</t>
        </is>
      </c>
      <c r="I278" s="7" t="inlineStr">
        <is>
          <t>Tamil</t>
        </is>
      </c>
      <c r="J278" s="9" t="inlineStr">
        <is>
          <t>Inscriptions / கல்வெட்டு</t>
        </is>
      </c>
      <c r="K278" s="9" t="inlineStr">
        <is>
          <t>கல்வெட்டு; Kudivil; merchant</t>
        </is>
      </c>
      <c r="L278" s="7" t="inlineStr">
        <is>
          <t>Yes</t>
        </is>
      </c>
      <c r="M278" s="9" t="inlineStr">
        <is>
          <t>Series: Tamils in Brahmi &amp; Sinhala inscriptions</t>
        </is>
      </c>
      <c r="N278" s="10" t="inlineStr">
        <is>
          <t>https://www.ezhunaonline.com/gudvil-inscription-about-a-tamil-merchant-who-was-a-resident-of-dikavapi/</t>
        </is>
      </c>
    </row>
    <row r="279">
      <c r="A279" s="11" t="inlineStr">
        <is>
          <t>ALL-0278</t>
        </is>
      </c>
      <c r="B279" s="11" t="inlineStr">
        <is>
          <t>Magazines/Journals</t>
        </is>
      </c>
      <c r="C279" s="12" t="inlineStr">
        <is>
          <t>2022</t>
        </is>
      </c>
      <c r="D279" s="11" t="inlineStr">
        <is>
          <t>2022-12-28</t>
        </is>
      </c>
      <c r="E279" s="13" t="inlineStr">
        <is>
          <t>கீழைக்கரைக்கான எழுத்துச் சான்றுகள் : தமிழ் இலக்கியங்கள்</t>
        </is>
      </c>
      <c r="F279" s="13" t="inlineStr">
        <is>
          <t>Vivekanantharaja Thulanchanan</t>
        </is>
      </c>
      <c r="G279" s="13" t="inlineStr">
        <is>
          <t>Ezhuna (எழுநா)</t>
        </is>
      </c>
      <c r="H279" s="11" t="inlineStr">
        <is>
          <t>Online magazine article</t>
        </is>
      </c>
      <c r="I279" s="11" t="inlineStr">
        <is>
          <t>Tamil</t>
        </is>
      </c>
      <c r="J279" s="13" t="n"/>
      <c r="K279" s="13" t="inlineStr">
        <is>
          <t>East coast; sources</t>
        </is>
      </c>
      <c r="L279" s="11" t="inlineStr">
        <is>
          <t>Yes</t>
        </is>
      </c>
      <c r="M279" s="13" t="inlineStr">
        <is>
          <t>Series: East coast of Sri Lanka - a historical perspective</t>
        </is>
      </c>
      <c r="N279" s="14" t="inlineStr">
        <is>
          <t>https://www.ezhunaonline.com/evidence-for-keekhakarai-tamil-literature/</t>
        </is>
      </c>
    </row>
    <row r="280">
      <c r="A280" s="7" t="inlineStr">
        <is>
          <t>ALL-0279</t>
        </is>
      </c>
      <c r="B280" s="7" t="inlineStr">
        <is>
          <t>Magazines/Journals</t>
        </is>
      </c>
      <c r="C280" s="8" t="inlineStr">
        <is>
          <t>2021</t>
        </is>
      </c>
      <c r="D280" s="7" t="n"/>
      <c r="E280" s="9" t="inlineStr">
        <is>
          <t>Sankiliyatital Archaeological Site in Jaffna</t>
        </is>
      </c>
      <c r="F280" s="9" t="inlineStr">
        <is>
          <t>Nishan Weerasooriya</t>
        </is>
      </c>
      <c r="G280" s="9" t="inlineStr">
        <is>
          <t>AmazingLanka.com</t>
        </is>
      </c>
      <c r="H280" s="7" t="inlineStr">
        <is>
          <t>Web article</t>
        </is>
      </c>
      <c r="I280" s="7" t="inlineStr">
        <is>
          <t>English</t>
        </is>
      </c>
      <c r="J280" s="9" t="inlineStr">
        <is>
          <t>Archaeology / தொல்லியல்</t>
        </is>
      </c>
      <c r="K280" s="9" t="inlineStr">
        <is>
          <t>தொல்லியல்; Jaffna</t>
        </is>
      </c>
      <c r="L280" s="7" t="inlineStr">
        <is>
          <t>Yes</t>
        </is>
      </c>
      <c r="M280" s="9" t="n"/>
      <c r="N280" s="10" t="inlineStr">
        <is>
          <t>https://amazinglanka.com/wp/sankiliyatital/</t>
        </is>
      </c>
    </row>
    <row r="281">
      <c r="A281" s="11" t="inlineStr">
        <is>
          <t>ALL-0280</t>
        </is>
      </c>
      <c r="B281" s="11" t="inlineStr">
        <is>
          <t>Magazines/Journals</t>
        </is>
      </c>
      <c r="C281" s="12" t="inlineStr">
        <is>
          <t>2021</t>
        </is>
      </c>
      <c r="D281" s="11" t="inlineStr">
        <is>
          <t>2021-01-29</t>
        </is>
      </c>
      <c r="E281" s="13" t="inlineStr">
        <is>
          <t>அழிந்துவரும் மரபுரிமைச் சின்னங்கள்</t>
        </is>
      </c>
      <c r="F281" s="13" t="inlineStr">
        <is>
          <t>இரத்தினவேலுப்பிள்ளை மயூரநாதன்</t>
        </is>
      </c>
      <c r="G281" s="13" t="inlineStr">
        <is>
          <t>Ezhuna (எழுநா)</t>
        </is>
      </c>
      <c r="H281" s="11" t="inlineStr">
        <is>
          <t>Online magazine article</t>
        </is>
      </c>
      <c r="I281" s="11" t="inlineStr">
        <is>
          <t>Tamil</t>
        </is>
      </c>
      <c r="J281" s="13" t="n"/>
      <c r="K281" s="13" t="n"/>
      <c r="L281" s="11" t="inlineStr">
        <is>
          <t>Yes</t>
        </is>
      </c>
      <c r="M281" s="13" t="inlineStr">
        <is>
          <t>Auto-collected 2026-10-14 (ezhuna); review.</t>
        </is>
      </c>
      <c r="N281" s="14" t="inlineStr">
        <is>
          <t>https://www.ezhunaonline.com/alinthu-varum-maraburimai-sinnangal/</t>
        </is>
      </c>
    </row>
    <row r="282">
      <c r="A282" s="7" t="inlineStr">
        <is>
          <t>ALL-0281</t>
        </is>
      </c>
      <c r="B282" s="7" t="inlineStr">
        <is>
          <t>Magazines/Journals</t>
        </is>
      </c>
      <c r="C282" s="8" t="inlineStr">
        <is>
          <t>2021</t>
        </is>
      </c>
      <c r="D282" s="7" t="inlineStr">
        <is>
          <t>2021-01-29</t>
        </is>
      </c>
      <c r="E282" s="9" t="inlineStr">
        <is>
          <t>யாழ்ப்பாண நகருக்கு முந்திய தலைநகரங்கள்</t>
        </is>
      </c>
      <c r="F282" s="9" t="inlineStr">
        <is>
          <t>இரத்தினவேலுப்பிள்ளை மயூரநாதன்</t>
        </is>
      </c>
      <c r="G282" s="9" t="inlineStr">
        <is>
          <t>Ezhuna (எழுநா)</t>
        </is>
      </c>
      <c r="H282" s="7" t="inlineStr">
        <is>
          <t>Online magazine article</t>
        </is>
      </c>
      <c r="I282" s="7" t="inlineStr">
        <is>
          <t>Tamil</t>
        </is>
      </c>
      <c r="J282" s="9" t="n"/>
      <c r="K282" s="9" t="n"/>
      <c r="L282" s="7" t="inlineStr">
        <is>
          <t>Yes</t>
        </is>
      </c>
      <c r="M282" s="9" t="inlineStr">
        <is>
          <t>Auto-collected 2026-10-14 (ezhuna); review.</t>
        </is>
      </c>
      <c r="N282" s="10" t="inlineStr">
        <is>
          <t>https://www.ezhunaonline.com/yaalpana-nagarukku-mundhiya-thalainagarangal/</t>
        </is>
      </c>
    </row>
    <row r="283">
      <c r="A283" s="11" t="inlineStr">
        <is>
          <t>ALL-0282</t>
        </is>
      </c>
      <c r="B283" s="11" t="inlineStr">
        <is>
          <t>Magazines/Journals</t>
        </is>
      </c>
      <c r="C283" s="12" t="inlineStr">
        <is>
          <t>2020</t>
        </is>
      </c>
      <c r="D283" s="11" t="inlineStr">
        <is>
          <t>2020-04</t>
        </is>
      </c>
      <c r="E283" s="13" t="inlineStr">
        <is>
          <t>Tamil Inscriptions in Sri Lanka (list)</t>
        </is>
      </c>
      <c r="F283" s="13" t="inlineStr">
        <is>
          <t>Lanka Pradeepa</t>
        </is>
      </c>
      <c r="G283" s="13" t="inlineStr">
        <is>
          <t>Lanka Pradeepa (lankapradeepa.com)</t>
        </is>
      </c>
      <c r="H283" s="11" t="inlineStr">
        <is>
          <t>Web article</t>
        </is>
      </c>
      <c r="I283" s="11" t="inlineStr">
        <is>
          <t>English</t>
        </is>
      </c>
      <c r="J283" s="13" t="inlineStr">
        <is>
          <t>Inscriptions / கல்வெட்டு</t>
        </is>
      </c>
      <c r="K283" s="13" t="inlineStr">
        <is>
          <t>கல்வெட்டு; list; bibliography</t>
        </is>
      </c>
      <c r="L283" s="11" t="inlineStr">
        <is>
          <t>Yes</t>
        </is>
      </c>
      <c r="M283" s="13" t="inlineStr">
        <is>
          <t>Updated May 2023; 27 references</t>
        </is>
      </c>
      <c r="N283" s="14" t="inlineStr">
        <is>
          <t>https://www.lankapradeepa.com/2020/04/tamil-inscriptions-in-sri-lanka_16.html</t>
        </is>
      </c>
    </row>
    <row r="284">
      <c r="A284" s="7" t="inlineStr">
        <is>
          <t>ALL-0283</t>
        </is>
      </c>
      <c r="B284" s="7" t="inlineStr">
        <is>
          <t>Magazines/Journals</t>
        </is>
      </c>
      <c r="C284" s="8" t="inlineStr">
        <is>
          <t>2012</t>
        </is>
      </c>
      <c r="D284" s="7" t="n"/>
      <c r="E284" s="9" t="inlineStr">
        <is>
          <t>The Avuranchchi Stones and Resting Stones (Sumaithankikkal) in the Cultural Life of Tamils</t>
        </is>
      </c>
      <c r="F284" s="9" t="inlineStr">
        <is>
          <t>S. Sajitharan</t>
        </is>
      </c>
      <c r="G284" s="9" t="inlineStr">
        <is>
          <t>Life Style of Jaffna, Express Newspapers (Ceylon)</t>
        </is>
      </c>
      <c r="H284" s="7" t="inlineStr">
        <is>
          <t>Book chapter</t>
        </is>
      </c>
      <c r="I284" s="7" t="inlineStr">
        <is>
          <t>Tamil</t>
        </is>
      </c>
      <c r="J284" s="9" t="n"/>
      <c r="K284" s="9" t="inlineStr">
        <is>
          <t>stones; material culture</t>
        </is>
      </c>
      <c r="L284" s="7" t="inlineStr">
        <is>
          <t>Yes</t>
        </is>
      </c>
      <c r="M284" s="9" t="n"/>
      <c r="N284" s="10" t="inlineStr">
        <is>
          <t>https://www.his.jfn.ac.lk/?p=791</t>
        </is>
      </c>
    </row>
    <row r="285">
      <c r="A285" s="11" t="inlineStr">
        <is>
          <t>ALL-0284</t>
        </is>
      </c>
      <c r="B285" s="11" t="inlineStr">
        <is>
          <t>Magazines/Journals</t>
        </is>
      </c>
      <c r="C285" s="12" t="inlineStr">
        <is>
          <t>2012</t>
        </is>
      </c>
      <c r="D285" s="11" t="n"/>
      <c r="E285" s="13" t="inlineStr">
        <is>
          <t>The Dutch Church of Chankanai: one of the most important archaeological sites in the Jaffna Peninsula</t>
        </is>
      </c>
      <c r="F285" s="13" t="inlineStr">
        <is>
          <t>S. Sajitharan</t>
        </is>
      </c>
      <c r="G285" s="13" t="inlineStr">
        <is>
          <t>Kalasurapi (Historical Society journal)</t>
        </is>
      </c>
      <c r="H285" s="11" t="inlineStr">
        <is>
          <t>Magazine article</t>
        </is>
      </c>
      <c r="I285" s="11" t="inlineStr">
        <is>
          <t>Tamil</t>
        </is>
      </c>
      <c r="J285" s="13" t="inlineStr">
        <is>
          <t>Archaeology / தொல்லியல்</t>
        </is>
      </c>
      <c r="K285" s="13" t="inlineStr">
        <is>
          <t>archaeology; heritage</t>
        </is>
      </c>
      <c r="L285" s="11" t="inlineStr">
        <is>
          <t>Yes</t>
        </is>
      </c>
      <c r="M285" s="13" t="n"/>
      <c r="N285" s="14" t="inlineStr">
        <is>
          <t>https://www.his.jfn.ac.lk/?p=791</t>
        </is>
      </c>
    </row>
    <row r="286">
      <c r="A286" s="7" t="inlineStr">
        <is>
          <t>ALL-0285</t>
        </is>
      </c>
      <c r="B286" s="7" t="inlineStr">
        <is>
          <t>Magazines/Journals</t>
        </is>
      </c>
      <c r="C286" s="8" t="inlineStr">
        <is>
          <t>2008</t>
        </is>
      </c>
      <c r="D286" s="7" t="n"/>
      <c r="E286" s="9" t="inlineStr">
        <is>
          <t>Amazing Discovery of Archaeological Artifact by Dept. of Archaeology, Tamil University, Thanjavur</t>
        </is>
      </c>
      <c r="F286" s="9" t="inlineStr">
        <is>
          <t>S. Sajitharan</t>
        </is>
      </c>
      <c r="G286" s="9" t="inlineStr">
        <is>
          <t>Thedal (Archaeological Study Circle, Dept. of History, University of Jaffna)</t>
        </is>
      </c>
      <c r="H286" s="7" t="inlineStr">
        <is>
          <t>Magazine article</t>
        </is>
      </c>
      <c r="I286" s="7" t="inlineStr">
        <is>
          <t>Tamil</t>
        </is>
      </c>
      <c r="J286" s="9" t="inlineStr">
        <is>
          <t>Archaeology / தொல்லியல்</t>
        </is>
      </c>
      <c r="K286" s="9" t="inlineStr">
        <is>
          <t>தொல்லியல்</t>
        </is>
      </c>
      <c r="L286" s="7" t="inlineStr">
        <is>
          <t>Yes</t>
        </is>
      </c>
      <c r="M286" s="9" t="n"/>
      <c r="N286" s="10" t="inlineStr">
        <is>
          <t>https://www.his.jfn.ac.lk/?p=791</t>
        </is>
      </c>
    </row>
    <row r="287">
      <c r="A287" s="11" t="inlineStr">
        <is>
          <t>ALL-0286</t>
        </is>
      </c>
      <c r="B287" s="11" t="inlineStr">
        <is>
          <t>Magazines/Journals</t>
        </is>
      </c>
      <c r="C287" s="12" t="inlineStr">
        <is>
          <t>2003</t>
        </is>
      </c>
      <c r="D287" s="11" t="inlineStr">
        <is>
          <t>2003-04-11</t>
        </is>
      </c>
      <c r="E287" s="13" t="inlineStr">
        <is>
          <t>A magnum opus on Tamil-Brahmi inscriptions</t>
        </is>
      </c>
      <c r="F287" s="13" t="inlineStr">
        <is>
          <t>R. Champakalakshmi</t>
        </is>
      </c>
      <c r="G287" s="13" t="inlineStr">
        <is>
          <t>Frontline</t>
        </is>
      </c>
      <c r="H287" s="11" t="inlineStr">
        <is>
          <t>Book review</t>
        </is>
      </c>
      <c r="I287" s="11" t="inlineStr">
        <is>
          <t>English</t>
        </is>
      </c>
      <c r="J287" s="13" t="inlineStr">
        <is>
          <t>Inscriptions / கல்வெட்டு; Brahmi / பிராமி</t>
        </is>
      </c>
      <c r="K287" s="13" t="inlineStr">
        <is>
          <t>Tamil Brahmi; Mahadevan; Sinhala Brahmi</t>
        </is>
      </c>
      <c r="L287" s="11" t="inlineStr">
        <is>
          <t>Yes</t>
        </is>
      </c>
      <c r="M287" s="13" t="n"/>
      <c r="N287" s="14" t="inlineStr">
        <is>
          <t>https://www.worldgenweb.org/lkawgw/tamil-brahmi.htm</t>
        </is>
      </c>
    </row>
    <row r="288">
      <c r="A288" s="7" t="inlineStr">
        <is>
          <t>ALL-0287</t>
        </is>
      </c>
      <c r="B288" s="7" t="inlineStr">
        <is>
          <t>Magazines/Journals</t>
        </is>
      </c>
      <c r="C288" s="8" t="n"/>
      <c r="D288" s="7" t="n"/>
      <c r="E288" s="9" t="inlineStr">
        <is>
          <t>Ancient Buddhist Shrines in Batticaloa and Ampara Districts</t>
        </is>
      </c>
      <c r="F288" s="9" t="n"/>
      <c r="G288" s="9" t="inlineStr">
        <is>
          <t>AmazingLanka.com</t>
        </is>
      </c>
      <c r="H288" s="7" t="inlineStr">
        <is>
          <t>Web article</t>
        </is>
      </c>
      <c r="I288" s="7" t="inlineStr">
        <is>
          <t>English</t>
        </is>
      </c>
      <c r="J288" s="9" t="inlineStr">
        <is>
          <t>Archaeology / தொல்லியல்</t>
        </is>
      </c>
      <c r="K288" s="9" t="inlineStr">
        <is>
          <t>archaeology; East</t>
        </is>
      </c>
      <c r="L288" s="7" t="inlineStr">
        <is>
          <t>Unknown</t>
        </is>
      </c>
      <c r="M288" s="9" t="n"/>
      <c r="N288" s="10" t="inlineStr">
        <is>
          <t>https://amazinglanka.com/wp/buddhist-shrines-in-batticaloa-and-ampara/</t>
        </is>
      </c>
    </row>
    <row r="289">
      <c r="A289" s="11" t="inlineStr">
        <is>
          <t>ALL-0288</t>
        </is>
      </c>
      <c r="B289" s="11" t="inlineStr">
        <is>
          <t>Magazines/Journals</t>
        </is>
      </c>
      <c r="C289" s="12" t="n"/>
      <c r="D289" s="11" t="n"/>
      <c r="E289" s="13" t="inlineStr">
        <is>
          <t>Buddhist Remains in the Jaffna Peninsula</t>
        </is>
      </c>
      <c r="F289" s="13" t="n"/>
      <c r="G289" s="13" t="inlineStr">
        <is>
          <t>AmazingLanka.com</t>
        </is>
      </c>
      <c r="H289" s="11" t="inlineStr">
        <is>
          <t>Web article</t>
        </is>
      </c>
      <c r="I289" s="11" t="inlineStr">
        <is>
          <t>English</t>
        </is>
      </c>
      <c r="J289" s="13" t="inlineStr">
        <is>
          <t>Archaeology / தொல்லியல்</t>
        </is>
      </c>
      <c r="K289" s="13" t="inlineStr">
        <is>
          <t>தொல்லியல்; Jaffna</t>
        </is>
      </c>
      <c r="L289" s="11" t="inlineStr">
        <is>
          <t>Unknown</t>
        </is>
      </c>
      <c r="M289" s="13" t="n"/>
      <c r="N289" s="14" t="inlineStr">
        <is>
          <t>https://amazinglanka.com/wp/jaffna/</t>
        </is>
      </c>
    </row>
    <row r="290">
      <c r="A290" s="7" t="inlineStr">
        <is>
          <t>ALL-0289</t>
        </is>
      </c>
      <c r="B290" s="7" t="inlineStr">
        <is>
          <t>Magazines/Journals</t>
        </is>
      </c>
      <c r="C290" s="8" t="n"/>
      <c r="D290" s="7" t="n"/>
      <c r="E290" s="9" t="inlineStr">
        <is>
          <t>Buddhist Ruins at Tikali in Pungudutivu Island in Jaffna</t>
        </is>
      </c>
      <c r="F290" s="9" t="n"/>
      <c r="G290" s="9" t="inlineStr">
        <is>
          <t>AmazingLanka.com</t>
        </is>
      </c>
      <c r="H290" s="7" t="inlineStr">
        <is>
          <t>Web article</t>
        </is>
      </c>
      <c r="I290" s="7" t="inlineStr">
        <is>
          <t>English</t>
        </is>
      </c>
      <c r="J290" s="9" t="inlineStr">
        <is>
          <t>Archaeology / தொல்லியல்</t>
        </is>
      </c>
      <c r="K290" s="9" t="inlineStr">
        <is>
          <t>தொல்லியல்; Pungudutivu</t>
        </is>
      </c>
      <c r="L290" s="7" t="inlineStr">
        <is>
          <t>Unknown</t>
        </is>
      </c>
      <c r="M290" s="9" t="n"/>
      <c r="N290" s="10" t="inlineStr">
        <is>
          <t>https://amazinglanka.com/wp/tikali/</t>
        </is>
      </c>
    </row>
    <row r="291">
      <c r="A291" s="11" t="inlineStr">
        <is>
          <t>ALL-0290</t>
        </is>
      </c>
      <c r="B291" s="11" t="inlineStr">
        <is>
          <t>Magazines/Journals</t>
        </is>
      </c>
      <c r="C291" s="12" t="n"/>
      <c r="D291" s="11" t="n"/>
      <c r="E291" s="13" t="inlineStr">
        <is>
          <t>Manniththalai Sand Bar Ancient Settlement and Archaeological Sites</t>
        </is>
      </c>
      <c r="F291" s="13" t="n"/>
      <c r="G291" s="13" t="inlineStr">
        <is>
          <t>AmazingLanka.com</t>
        </is>
      </c>
      <c r="H291" s="11" t="inlineStr">
        <is>
          <t>Web article</t>
        </is>
      </c>
      <c r="I291" s="11" t="inlineStr">
        <is>
          <t>English</t>
        </is>
      </c>
      <c r="J291" s="13" t="inlineStr">
        <is>
          <t>Archaeology / தொல்லியல்</t>
        </is>
      </c>
      <c r="K291" s="13" t="inlineStr">
        <is>
          <t>தொல்லியல்; settlement</t>
        </is>
      </c>
      <c r="L291" s="11" t="inlineStr">
        <is>
          <t>Unknown</t>
        </is>
      </c>
      <c r="M291" s="13" t="n"/>
      <c r="N291" s="14" t="inlineStr">
        <is>
          <t>https://amazinglanka.com/wp/manniththalai-settlements/</t>
        </is>
      </c>
    </row>
    <row r="292">
      <c r="A292" s="7" t="inlineStr">
        <is>
          <t>ALL-0291</t>
        </is>
      </c>
      <c r="B292" s="7" t="inlineStr">
        <is>
          <t>Magazines/Journals</t>
        </is>
      </c>
      <c r="C292" s="8" t="n"/>
      <c r="D292" s="7" t="n"/>
      <c r="E292" s="9" t="inlineStr">
        <is>
          <t>Vanni Bandara Stone Memorial in Oddusuddan: A Legacy of Resistance</t>
        </is>
      </c>
      <c r="F292" s="9" t="n"/>
      <c r="G292" s="9" t="inlineStr">
        <is>
          <t>AmazingLanka.com</t>
        </is>
      </c>
      <c r="H292" s="7" t="inlineStr">
        <is>
          <t>Web article</t>
        </is>
      </c>
      <c r="I292" s="7" t="inlineStr">
        <is>
          <t>English</t>
        </is>
      </c>
      <c r="J292" s="9" t="inlineStr">
        <is>
          <t>Hero stones / நடுகல்</t>
        </is>
      </c>
      <c r="K292" s="9" t="inlineStr">
        <is>
          <t>memorial stone; Vanni</t>
        </is>
      </c>
      <c r="L292" s="7" t="inlineStr">
        <is>
          <t>Unknown</t>
        </is>
      </c>
      <c r="M292" s="9" t="n"/>
      <c r="N292" s="10" t="inlineStr">
        <is>
          <t>https://amazinglanka.com/wp/vanni-bandara-en/</t>
        </is>
      </c>
    </row>
    <row r="293">
      <c r="A293" s="11" t="inlineStr">
        <is>
          <t>ALL-0292</t>
        </is>
      </c>
      <c r="B293" s="11" t="inlineStr">
        <is>
          <t>Magazines/Journals</t>
        </is>
      </c>
      <c r="C293" s="12" t="n"/>
      <c r="D293" s="11" t="n"/>
      <c r="E293" s="13" t="inlineStr">
        <is>
          <t>இலங்கைத் தமிழ்க் கல்வெட்டுகளில் பிராமணரும் பிரமதேயமும்</t>
        </is>
      </c>
      <c r="F293" s="13" t="n"/>
      <c r="G293" s="13" t="inlineStr">
        <is>
          <t>Ezhuna (எழுநா)</t>
        </is>
      </c>
      <c r="H293" s="11" t="inlineStr">
        <is>
          <t>Online magazine article</t>
        </is>
      </c>
      <c r="I293" s="11" t="inlineStr">
        <is>
          <t>Tamil</t>
        </is>
      </c>
      <c r="J293" s="13" t="inlineStr">
        <is>
          <t>Inscriptions / கல்வெட்டு</t>
        </is>
      </c>
      <c r="K293" s="13" t="inlineStr">
        <is>
          <t>கல்வெட்டு; Brahmadeya</t>
        </is>
      </c>
      <c r="L293" s="11" t="inlineStr">
        <is>
          <t>Unknown</t>
        </is>
      </c>
      <c r="M293" s="13" t="n"/>
      <c r="N293" s="14" t="inlineStr">
        <is>
          <t>https://www.ezhunaonline.com/article/brahmin-and-brahmatheya-in-sri-lankan-tamil-inscriptions/</t>
        </is>
      </c>
    </row>
    <row r="294">
      <c r="A294" s="7" t="inlineStr">
        <is>
          <t>ALL-0293</t>
        </is>
      </c>
      <c r="B294" s="7" t="inlineStr">
        <is>
          <t>Magazines/Journals</t>
        </is>
      </c>
      <c r="C294" s="8" t="n"/>
      <c r="D294" s="7" t="n"/>
      <c r="E294" s="9" t="inlineStr">
        <is>
          <t>இலங்கைப் பிராமிக் கல்வெட்டுக்களில் சங்ககால வேள்</t>
        </is>
      </c>
      <c r="F294" s="9" t="inlineStr">
        <is>
          <t>N. K. S. Thiruchelvam</t>
        </is>
      </c>
      <c r="G294" s="9" t="inlineStr">
        <is>
          <t>Ezhuna (எழுநா)</t>
        </is>
      </c>
      <c r="H294" s="7" t="inlineStr">
        <is>
          <t>Online magazine article</t>
        </is>
      </c>
      <c r="I294" s="7" t="inlineStr">
        <is>
          <t>Tamil</t>
        </is>
      </c>
      <c r="J294" s="9" t="inlineStr">
        <is>
          <t>Inscriptions / கல்வெட்டு; Brahmi / பிராமி</t>
        </is>
      </c>
      <c r="K294" s="9" t="inlineStr">
        <is>
          <t>பிராமி; Sangam; Vel</t>
        </is>
      </c>
      <c r="L294" s="7" t="inlineStr">
        <is>
          <t>Unknown</t>
        </is>
      </c>
      <c r="M294" s="9" t="n"/>
      <c r="N294" s="10" t="inlineStr">
        <is>
          <t>https://www.ezhunaonline.com/sangam-age-in-sri-lankan-brahmic-inscriptions/</t>
        </is>
      </c>
    </row>
    <row r="295">
      <c r="A295" s="11" t="inlineStr">
        <is>
          <t>ALL-0294</t>
        </is>
      </c>
      <c r="B295" s="11" t="inlineStr">
        <is>
          <t>Magazines/Journals</t>
        </is>
      </c>
      <c r="C295" s="12" t="n"/>
      <c r="D295" s="11" t="n"/>
      <c r="E295" s="13" t="inlineStr">
        <is>
          <t>இலங்கையில் கண்ணகி வழிபாடு புகுந்த முறை</t>
        </is>
      </c>
      <c r="F295" s="13" t="n"/>
      <c r="G295" s="13" t="inlineStr">
        <is>
          <t>Ezhuna (எழுநா)</t>
        </is>
      </c>
      <c r="H295" s="11" t="inlineStr">
        <is>
          <t>Online magazine article</t>
        </is>
      </c>
      <c r="I295" s="11" t="inlineStr">
        <is>
          <t>Tamil</t>
        </is>
      </c>
      <c r="J295" s="13" t="n"/>
      <c r="K295" s="13" t="inlineStr">
        <is>
          <t>Kannagi worship</t>
        </is>
      </c>
      <c r="L295" s="11" t="inlineStr">
        <is>
          <t>Unknown</t>
        </is>
      </c>
      <c r="M295" s="13" t="n"/>
      <c r="N295" s="14" t="inlineStr">
        <is>
          <t>https://www.ezhunaonline.com/how-kannagi-worship-entered-sri-lanka/</t>
        </is>
      </c>
    </row>
    <row r="296">
      <c r="A296" s="7" t="inlineStr">
        <is>
          <t>ALL-0295</t>
        </is>
      </c>
      <c r="B296" s="7" t="inlineStr">
        <is>
          <t>Magazines/Journals</t>
        </is>
      </c>
      <c r="C296" s="8" t="n"/>
      <c r="D296" s="7" t="n"/>
      <c r="E296" s="9" t="inlineStr">
        <is>
          <t>கல்லஞ்சிய பாறைக் கல்வெட்டு கூறும் நாக மன்னன்</t>
        </is>
      </c>
      <c r="F296" s="9" t="inlineStr">
        <is>
          <t>N. K. S. Thiruchelvam</t>
        </is>
      </c>
      <c r="G296" s="9" t="inlineStr">
        <is>
          <t>Ezhuna (எழுநா)</t>
        </is>
      </c>
      <c r="H296" s="7" t="inlineStr">
        <is>
          <t>Online magazine article</t>
        </is>
      </c>
      <c r="I296" s="7" t="inlineStr">
        <is>
          <t>Tamil</t>
        </is>
      </c>
      <c r="J296" s="9" t="inlineStr">
        <is>
          <t>Inscriptions / கல்வெட்டு</t>
        </is>
      </c>
      <c r="K296" s="9" t="inlineStr">
        <is>
          <t>கல்வெட்டு; Naga</t>
        </is>
      </c>
      <c r="L296" s="7" t="inlineStr">
        <is>
          <t>Unknown</t>
        </is>
      </c>
      <c r="M296" s="9" t="inlineStr">
        <is>
          <t>Series: Naga people in Brahmi inscriptions</t>
        </is>
      </c>
      <c r="N296" s="10" t="inlineStr">
        <is>
          <t>https://www.ezhunaonline.com/the-kallanchiya-rock-inscription-tells-of-king-nagan/</t>
        </is>
      </c>
    </row>
    <row r="297">
      <c r="A297" s="11" t="inlineStr">
        <is>
          <t>ALL-0296</t>
        </is>
      </c>
      <c r="B297" s="11" t="inlineStr">
        <is>
          <t>Magazines/Journals</t>
        </is>
      </c>
      <c r="C297" s="12" t="n"/>
      <c r="D297" s="11" t="n"/>
      <c r="E297" s="13" t="inlineStr">
        <is>
          <t>செட்டிகுளம் : தமிழரின் பூர்வீக வரலாற்றை வெளிச்சத்திற்கு கொண்டுவரும் சில தொல்லியற் சான்றுகள்</t>
        </is>
      </c>
      <c r="F297" s="13" t="n"/>
      <c r="G297" s="13" t="inlineStr">
        <is>
          <t>Ezhuna (எழுநா)</t>
        </is>
      </c>
      <c r="H297" s="11" t="inlineStr">
        <is>
          <t>Online magazine article</t>
        </is>
      </c>
      <c r="I297" s="11" t="inlineStr">
        <is>
          <t>Tamil</t>
        </is>
      </c>
      <c r="J297" s="13" t="inlineStr">
        <is>
          <t>Archaeology / தொல்லியல்</t>
        </is>
      </c>
      <c r="K297" s="13" t="inlineStr">
        <is>
          <t>தொல்லியல்; Cheddikulam</t>
        </is>
      </c>
      <c r="L297" s="11" t="inlineStr">
        <is>
          <t>Unknown</t>
        </is>
      </c>
      <c r="M297" s="13" t="n"/>
      <c r="N297" s="14" t="inlineStr">
        <is>
          <t>https://www.ezhunaonline.com/the-archaeological-value-of-cheddikulam/</t>
        </is>
      </c>
    </row>
    <row r="298">
      <c r="A298" s="7" t="inlineStr">
        <is>
          <t>ALL-0297</t>
        </is>
      </c>
      <c r="B298" s="7" t="inlineStr">
        <is>
          <t>Magazines/Journals</t>
        </is>
      </c>
      <c r="C298" s="8" t="n"/>
      <c r="D298" s="7" t="n"/>
      <c r="E298" s="9" t="inlineStr">
        <is>
          <t>நாட்டார் சமயங்களும் இந்து மதமும்</t>
        </is>
      </c>
      <c r="F298" s="9" t="n"/>
      <c r="G298" s="9" t="inlineStr">
        <is>
          <t>Ezhuna (எழுநா)</t>
        </is>
      </c>
      <c r="H298" s="7" t="inlineStr">
        <is>
          <t>Online magazine article</t>
        </is>
      </c>
      <c r="I298" s="7" t="inlineStr">
        <is>
          <t>Tamil</t>
        </is>
      </c>
      <c r="J298" s="9" t="inlineStr">
        <is>
          <t>Hero stones / நடுகல்</t>
        </is>
      </c>
      <c r="K298" s="9" t="inlineStr">
        <is>
          <t>folk religion; நடுகல்</t>
        </is>
      </c>
      <c r="L298" s="7" t="inlineStr">
        <is>
          <t>Unknown</t>
        </is>
      </c>
      <c r="M298" s="9" t="n"/>
      <c r="N298" s="10" t="inlineStr">
        <is>
          <t>https://www.ezhunaonline.com/folk-religion-and-hinduism/</t>
        </is>
      </c>
    </row>
    <row r="299">
      <c r="A299" s="11" t="inlineStr">
        <is>
          <t>ALL-0298</t>
        </is>
      </c>
      <c r="B299" s="11" t="inlineStr">
        <is>
          <t>Magazines/Journals</t>
        </is>
      </c>
      <c r="C299" s="12" t="n"/>
      <c r="D299" s="11" t="n"/>
      <c r="E299" s="13" t="inlineStr">
        <is>
          <t>பண்டைத் தமிழர் வழிபாட்டு மரபில் கண்ணகி</t>
        </is>
      </c>
      <c r="F299" s="13" t="n"/>
      <c r="G299" s="13" t="inlineStr">
        <is>
          <t>Ezhuna (எழுநா)</t>
        </is>
      </c>
      <c r="H299" s="11" t="inlineStr">
        <is>
          <t>Online magazine article</t>
        </is>
      </c>
      <c r="I299" s="11" t="inlineStr">
        <is>
          <t>Tamil</t>
        </is>
      </c>
      <c r="J299" s="13" t="n"/>
      <c r="K299" s="13" t="inlineStr">
        <is>
          <t>Kannagi worship</t>
        </is>
      </c>
      <c r="L299" s="11" t="inlineStr">
        <is>
          <t>Unknown</t>
        </is>
      </c>
      <c r="M299" s="13" t="n"/>
      <c r="N299" s="14" t="inlineStr">
        <is>
          <t>https://www.ezhunaonline.com/kanaki-worship-in-ancient-tamil-culture/</t>
        </is>
      </c>
    </row>
    <row r="300">
      <c r="A300" s="7" t="inlineStr">
        <is>
          <t>ALL-0299</t>
        </is>
      </c>
      <c r="B300" s="7" t="inlineStr">
        <is>
          <t>Magazines/Journals</t>
        </is>
      </c>
      <c r="C300" s="8" t="n"/>
      <c r="D300" s="7" t="n"/>
      <c r="E300" s="9" t="inlineStr">
        <is>
          <t>பிராமி எழுத்து வடிவமும் தொடக்ககால எழுத்தறிவும்</t>
        </is>
      </c>
      <c r="F300" s="9" t="n"/>
      <c r="G300" s="9" t="inlineStr">
        <is>
          <t>Ezhuna (எழுநா)</t>
        </is>
      </c>
      <c r="H300" s="7" t="inlineStr">
        <is>
          <t>Online magazine article</t>
        </is>
      </c>
      <c r="I300" s="7" t="inlineStr">
        <is>
          <t>Tamil</t>
        </is>
      </c>
      <c r="J300" s="9" t="inlineStr">
        <is>
          <t>Brahmi / பிராமி</t>
        </is>
      </c>
      <c r="K300" s="9" t="inlineStr">
        <is>
          <t>பிராமி; literacy</t>
        </is>
      </c>
      <c r="L300" s="7" t="inlineStr">
        <is>
          <t>Unknown</t>
        </is>
      </c>
      <c r="M300" s="9" t="n"/>
      <c r="N300" s="10" t="inlineStr">
        <is>
          <t>https://www.ezhunaonline.com/article/brahmi-script-and-early-literacy/</t>
        </is>
      </c>
    </row>
    <row r="301">
      <c r="A301" s="11" t="inlineStr">
        <is>
          <t>ALL-0300</t>
        </is>
      </c>
      <c r="B301" s="11" t="inlineStr">
        <is>
          <t>Magazines/Journals</t>
        </is>
      </c>
      <c r="C301" s="12" t="n"/>
      <c r="D301" s="11" t="n"/>
      <c r="E301" s="13" t="inlineStr">
        <is>
          <t>பெருங்கற்பண்பாட்டுக் கால இலங்கையில் தமிழரும் பௌத்தமும்</t>
        </is>
      </c>
      <c r="F301" s="13" t="n"/>
      <c r="G301" s="13" t="inlineStr">
        <is>
          <t>Ezhuna (எழுநா)</t>
        </is>
      </c>
      <c r="H301" s="11" t="inlineStr">
        <is>
          <t>Online magazine article</t>
        </is>
      </c>
      <c r="I301" s="11" t="inlineStr">
        <is>
          <t>Tamil</t>
        </is>
      </c>
      <c r="J301" s="13" t="inlineStr">
        <is>
          <t>Archaeology / தொல்லியல்</t>
        </is>
      </c>
      <c r="K301" s="13" t="inlineStr">
        <is>
          <t>megalithic; Buddhism; Tamils</t>
        </is>
      </c>
      <c r="L301" s="11" t="inlineStr">
        <is>
          <t>Unknown</t>
        </is>
      </c>
      <c r="M301" s="13" t="n"/>
      <c r="N301" s="14" t="inlineStr">
        <is>
          <t>https://www.ezhunaonline.com/compilation/buddhism-and-tamils-during-megalith-of-srilanka/</t>
        </is>
      </c>
    </row>
    <row r="302">
      <c r="A302" s="7" t="inlineStr">
        <is>
          <t>ALL-0301</t>
        </is>
      </c>
      <c r="B302" s="7" t="inlineStr">
        <is>
          <t>Magazines/Journals</t>
        </is>
      </c>
      <c r="C302" s="8" t="n"/>
      <c r="D302" s="7" t="n"/>
      <c r="E302" s="9" t="inlineStr">
        <is>
          <t>மீளுருவாக்கப்பட்ட ஆரியகுளமும் ஆரியச்சக்கரவர்த்திகளும்</t>
        </is>
      </c>
      <c r="F302" s="9" t="n"/>
      <c r="G302" s="9" t="inlineStr">
        <is>
          <t>Ezhuna (எழுநா)</t>
        </is>
      </c>
      <c r="H302" s="7" t="inlineStr">
        <is>
          <t>Online magazine article</t>
        </is>
      </c>
      <c r="I302" s="7" t="inlineStr">
        <is>
          <t>Tamil</t>
        </is>
      </c>
      <c r="J302" s="9" t="n"/>
      <c r="K302" s="9" t="inlineStr">
        <is>
          <t>history; Jaffna kingdom</t>
        </is>
      </c>
      <c r="L302" s="7" t="inlineStr">
        <is>
          <t>Unknown</t>
        </is>
      </c>
      <c r="M302" s="9" t="n"/>
      <c r="N302" s="10" t="inlineStr">
        <is>
          <t>https://www.ezhunaonline.com/history-of-ariya-kulam-jaffna/</t>
        </is>
      </c>
    </row>
    <row r="303">
      <c r="A303" s="11" t="inlineStr">
        <is>
          <t>ALL-0302</t>
        </is>
      </c>
      <c r="B303" s="11" t="inlineStr">
        <is>
          <t>Magazines/Journals</t>
        </is>
      </c>
      <c r="C303" s="12" t="n"/>
      <c r="D303" s="11" t="n"/>
      <c r="E303" s="13" t="inlineStr">
        <is>
          <t>யாழ்ப்பாணஅரசு தோன்ற முன்னர் வன்னிப் பெருநிலப்பரப்பில் தமிழ் இராசதானி இருந்ததை உறுதிப்படுத்தும் குருந்தன்குள ஆலய அழிபாடுகள்</t>
        </is>
      </c>
      <c r="F303" s="13" t="n"/>
      <c r="G303" s="13" t="inlineStr">
        <is>
          <t>Ezhuna (எழுநா)</t>
        </is>
      </c>
      <c r="H303" s="11" t="inlineStr">
        <is>
          <t>Online magazine article</t>
        </is>
      </c>
      <c r="I303" s="11" t="inlineStr">
        <is>
          <t>Tamil</t>
        </is>
      </c>
      <c r="J303" s="13" t="inlineStr">
        <is>
          <t>Archaeology / தொல்லியல்</t>
        </is>
      </c>
      <c r="K303" s="13" t="inlineStr">
        <is>
          <t>தொல்லியல்; Kurundankulam; Vanni</t>
        </is>
      </c>
      <c r="L303" s="11" t="inlineStr">
        <is>
          <t>Unknown</t>
        </is>
      </c>
      <c r="M303" s="13" t="n"/>
      <c r="N303" s="14" t="inlineStr">
        <is>
          <t>https://www.ezhunaonline.com/tamil-rasathani-in-vanni-kurundankula-temple/</t>
        </is>
      </c>
    </row>
    <row r="304">
      <c r="A304" s="7" t="inlineStr">
        <is>
          <t>ALL-0303</t>
        </is>
      </c>
      <c r="B304" s="7" t="inlineStr">
        <is>
          <t>Magazines/Journals</t>
        </is>
      </c>
      <c r="C304" s="8" t="n"/>
      <c r="D304" s="7" t="n"/>
      <c r="E304" s="9" t="inlineStr">
        <is>
          <t>வேலணை, சாட்டியில் பெருங்கற்காலப் பண்பாடு</t>
        </is>
      </c>
      <c r="F304" s="9" t="n"/>
      <c r="G304" s="9" t="inlineStr">
        <is>
          <t>Ezhuna (எழுநா)</t>
        </is>
      </c>
      <c r="H304" s="7" t="inlineStr">
        <is>
          <t>Online magazine article</t>
        </is>
      </c>
      <c r="I304" s="7" t="inlineStr">
        <is>
          <t>Tamil</t>
        </is>
      </c>
      <c r="J304" s="9" t="inlineStr">
        <is>
          <t>Archaeology / தொல்லியல்</t>
        </is>
      </c>
      <c r="K304" s="9" t="inlineStr">
        <is>
          <t>தொல்லியல்; megalithic; Chatti</t>
        </is>
      </c>
      <c r="L304" s="7" t="inlineStr">
        <is>
          <t>Unknown</t>
        </is>
      </c>
      <c r="M304" s="9" t="n"/>
      <c r="N304" s="10" t="inlineStr">
        <is>
          <t>https://www.ezhunaonline.com/velana-palaeolithic-culture-at-chatti/</t>
        </is>
      </c>
    </row>
  </sheetData>
  <autoFilter ref="A1:N304"/>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weekly scraper that appends new items to data/raw/auto_*.tsv and rebuilds this workbook.</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2026-10-14T07:35:05Z</dcterms:created>
  <dcterms:modified xsi:type="dcterms:W3CDTF">2026-10-14T07:35:06Z</dcterms:modified>
</cp:coreProperties>
</file>