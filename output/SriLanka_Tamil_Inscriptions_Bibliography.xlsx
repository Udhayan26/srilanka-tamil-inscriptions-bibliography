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Books" sheetId="2" state="visible" r:id="rId4"/>
    <sheet name="Research Papers" sheetId="3" state="visible" r:id="rId5"/>
    <sheet name="Newspaper Articles" sheetId="4" state="visible" r:id="rId6"/>
    <sheet name="Magazines &amp; Journals" sheetId="5" state="visible" r:id="rId7"/>
    <sheet name="All Records" sheetId="6" state="visible" r:id="rId8"/>
    <sheet name="Sources &amp; Method" sheetId="7" state="visible" r:id="rId9"/>
  </sheets>
  <definedNames>
    <definedName function="false" hidden="true" localSheetId="5" name="_xlnm._FilterDatabase" vbProcedure="false">'All Records'!$A$1:$N$231</definedName>
    <definedName function="false" hidden="true" localSheetId="1" name="_xlnm._FilterDatabase" vbProcedure="false">Books!$A$1:$M$32</definedName>
    <definedName function="false" hidden="true" localSheetId="4" name="_xlnm._FilterDatabase" vbProcedure="false">'Magazines &amp; Journals'!$A$1:$M$95</definedName>
    <definedName function="false" hidden="true" localSheetId="3" name="_xlnm._FilterDatabase" vbProcedure="false">'Newspaper Articles'!$A$1:$M$32</definedName>
    <definedName function="false" hidden="true" localSheetId="2" name="_xlnm._FilterDatabase" vbProcedure="false">'Research Papers'!$A$1:$M$75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<sst xmlns="http://schemas.openxmlformats.org/spreadsheetml/2006/main" count="5551" uniqueCount="1483">
  <si>
    <t xml:space="preserve">Sri Lankan Tamil Inscriptions, Archaeology, Hero Stones &amp; Rock Art: Bibliography</t>
  </si>
  <si>
    <t xml:space="preserve">Books, research papers, newspaper and magazine articles, 1996-2026 (plus key earlier references). Compiled 2026-10-14. Counts below are live formulas over the 'All Records' sheet.</t>
  </si>
  <si>
    <t xml:space="preserve">Keywords: கல்வெட்டு, கல்வெட்டுகள், தமிழ், தொல்லியல், நடுகல், பாறை ஓவியம் / inscription, epigraphy, Tamil, archaeology, hero stone, rock art, Brahmi, coins</t>
  </si>
  <si>
    <t xml:space="preserve">Category</t>
  </si>
  <si>
    <t xml:space="preserve">Records</t>
  </si>
  <si>
    <t xml:space="preserve">Within 1996-2026</t>
  </si>
  <si>
    <t xml:space="preserve">Books</t>
  </si>
  <si>
    <t xml:space="preserve">Research Papers</t>
  </si>
  <si>
    <t xml:space="preserve">Newspaper Articles</t>
  </si>
  <si>
    <t xml:space="preserve">Magazines/Journals</t>
  </si>
  <si>
    <t xml:space="preserve">Total</t>
  </si>
  <si>
    <t xml:space="preserve">Theme</t>
  </si>
  <si>
    <t xml:space="preserve">Inscriptions / கல்வெட்டு</t>
  </si>
  <si>
    <t xml:space="preserve">Brahmi / பிராமி</t>
  </si>
  <si>
    <t xml:space="preserve">Archaeology / தொல்லியல்</t>
  </si>
  <si>
    <t xml:space="preserve">Hero stones / நடுகல்</t>
  </si>
  <si>
    <t xml:space="preserve">Rock art / பாறை ஓவியம்</t>
  </si>
  <si>
    <t xml:space="preserve">Coins / நாணயம்</t>
  </si>
  <si>
    <t xml:space="preserve">A record can carry several themes, so theme counts add up to more than the total.</t>
  </si>
  <si>
    <t xml:space="preserve">Period</t>
  </si>
  <si>
    <t xml:space="preserve">All</t>
  </si>
  <si>
    <t xml:space="preserve">1996-2000</t>
  </si>
  <si>
    <t xml:space="preserve">2001-2005</t>
  </si>
  <si>
    <t xml:space="preserve">2006-2010</t>
  </si>
  <si>
    <t xml:space="preserve">2011-2015</t>
  </si>
  <si>
    <t xml:space="preserve">2016-2020</t>
  </si>
  <si>
    <t xml:space="preserve">2021-2026</t>
  </si>
  <si>
    <t xml:space="preserve">Records with no year yet are counted in the category totals but not in this period table.</t>
  </si>
  <si>
    <t xml:space="preserve">ID</t>
  </si>
  <si>
    <t xml:space="preserve">Year</t>
  </si>
  <si>
    <t xml:space="preserve">Date</t>
  </si>
  <si>
    <t xml:space="preserve">Title</t>
  </si>
  <si>
    <t xml:space="preserve">Author / Editor</t>
  </si>
  <si>
    <t xml:space="preserve">Publisher / Source</t>
  </si>
  <si>
    <t xml:space="preserve">Type</t>
  </si>
  <si>
    <t xml:space="preserve">Language</t>
  </si>
  <si>
    <t xml:space="preserve">Themes</t>
  </si>
  <si>
    <t xml:space="preserve">Keywords</t>
  </si>
  <si>
    <t xml:space="preserve">Notes</t>
  </si>
  <si>
    <t xml:space="preserve">URL</t>
  </si>
  <si>
    <t xml:space="preserve">BK-0001</t>
  </si>
  <si>
    <t xml:space="preserve">2026</t>
  </si>
  <si>
    <t xml:space="preserve">2026-04-11</t>
  </si>
  <si>
    <t xml:space="preserve">Glimpses of an Ancient Civilisation: Society and Culture in Jaffna (300 BC to AD 500)</t>
  </si>
  <si>
    <t xml:space="preserve">S. Pathmanathan</t>
  </si>
  <si>
    <t xml:space="preserve">Book</t>
  </si>
  <si>
    <t xml:space="preserve">English</t>
  </si>
  <si>
    <t xml:space="preserve">Brahmi / பிராமி; Archaeology / தொல்லியல்; Coins / நாணயம்</t>
  </si>
  <si>
    <t xml:space="preserve">Tamil-Brahmi; Vallipuram gold plate; Roman coins; archaeology</t>
  </si>
  <si>
    <t xml:space="preserve">Yes</t>
  </si>
  <si>
    <t xml:space="preserve">Launched 11 Apr 2026</t>
  </si>
  <si>
    <t xml:space="preserve">https://www.tamilguardian.com/content/prof-pathmanathans-new-book-sheds-light-early-jaffna-civilisation</t>
  </si>
  <si>
    <t xml:space="preserve">BK-0002</t>
  </si>
  <si>
    <t xml:space="preserve">2025</t>
  </si>
  <si>
    <t xml:space="preserve">இலங்கையின் பிராமி மற்றும் சிங்களக் கல்வெட்டுகளில் தமிழர் (Tamils in the Brahmi and Sinhala Inscriptions of Sri Lanka)</t>
  </si>
  <si>
    <t xml:space="preserve">N. K. S. Thiruchelvam</t>
  </si>
  <si>
    <t xml:space="preserve">Ezhuna</t>
  </si>
  <si>
    <t xml:space="preserve">Tamil</t>
  </si>
  <si>
    <t xml:space="preserve">Inscriptions / கல்வெட்டு; Brahmi / பிராமி</t>
  </si>
  <si>
    <t xml:space="preserve">Brahmi; கல்வெட்டு; Tamils</t>
  </si>
  <si>
    <t xml:space="preserve">Book launch 26 Jul 2025, Trincomalee</t>
  </si>
  <si>
    <t xml:space="preserve">https://www.ezhunaonline.com/books/tamils-in-the-inscriptions-of-brahmi-and-sinhala/</t>
  </si>
  <si>
    <t xml:space="preserve">BK-0003</t>
  </si>
  <si>
    <t xml:space="preserve">2022</t>
  </si>
  <si>
    <t xml:space="preserve">Ancient Sri Lanka: Glimpses of the Past</t>
  </si>
  <si>
    <t xml:space="preserve">K. Indrapala</t>
  </si>
  <si>
    <t xml:space="preserve">Ohm Books Publishing</t>
  </si>
  <si>
    <t xml:space="preserve">archaeology; history</t>
  </si>
  <si>
    <t xml:space="preserve">https://en.wikipedia.org/wiki/K._Indrapala</t>
  </si>
  <si>
    <t xml:space="preserve">BK-0004</t>
  </si>
  <si>
    <t xml:space="preserve">2014</t>
  </si>
  <si>
    <t xml:space="preserve">Collection of Historical Articles of Prof. V. Sivasamy</t>
  </si>
  <si>
    <t xml:space="preserve">K. Arunthavarajah (ed.)</t>
  </si>
  <si>
    <t xml:space="preserve">Anchu Publication, Nallur</t>
  </si>
  <si>
    <t xml:space="preserve">Edited volume</t>
  </si>
  <si>
    <t xml:space="preserve">history; epigraphy</t>
  </si>
  <si>
    <t xml:space="preserve">https://www.his.jfn.ac.lk/index.php/profkarunthavarajah/</t>
  </si>
  <si>
    <t xml:space="preserve">BK-0005</t>
  </si>
  <si>
    <t xml:space="preserve">2012</t>
  </si>
  <si>
    <t xml:space="preserve">Life Style of Jaffna</t>
  </si>
  <si>
    <t xml:space="preserve">K. Arunthavarajah (managing ed.)</t>
  </si>
  <si>
    <t xml:space="preserve">Department of History, University of Jaffna, with Veerakesari</t>
  </si>
  <si>
    <t xml:space="preserve">material culture; heritage</t>
  </si>
  <si>
    <t xml:space="preserve">BK-0006</t>
  </si>
  <si>
    <t xml:space="preserve">2010</t>
  </si>
  <si>
    <t xml:space="preserve">Spolia Zeylanica Vol. 47: Tamil Inscriptions in the Colombo National Museum</t>
  </si>
  <si>
    <t xml:space="preserve">Department of National Museums</t>
  </si>
  <si>
    <t xml:space="preserve">Department of National Museums, Colombo</t>
  </si>
  <si>
    <t xml:space="preserve">Tamil inscriptions; museum catalogue</t>
  </si>
  <si>
    <t xml:space="preserve">ISBN 9789555780278</t>
  </si>
  <si>
    <t xml:space="preserve">https://opac.busl.ac.lk/bib/14671</t>
  </si>
  <si>
    <t xml:space="preserve">BK-0007</t>
  </si>
  <si>
    <t xml:space="preserve">2006</t>
  </si>
  <si>
    <t xml:space="preserve">Ilankait Tamilc Cacanankal c. AD 800-1300 (Tamil Inscriptions of Sri Lanka)</t>
  </si>
  <si>
    <t xml:space="preserve">Department of Hindu Religious and Cultural Affairs</t>
  </si>
  <si>
    <t xml:space="preserve">கல்வெட்டு; inscriptions corpus</t>
  </si>
  <si>
    <t xml:space="preserve">Same as entry from Wikipedia; fuller title</t>
  </si>
  <si>
    <t xml:space="preserve">https://jfn.ac.lk/prof-s-pathmanathan/</t>
  </si>
  <si>
    <t xml:space="preserve">BK-0008</t>
  </si>
  <si>
    <t xml:space="preserve">இலங்கைத் தமிழ்ச் சாசனங்கள் (Tamil Inscriptions in Sri Lanka)</t>
  </si>
  <si>
    <t xml:space="preserve">Department of Hindu Religious &amp; Cultural Affairs, Colombo</t>
  </si>
  <si>
    <t xml:space="preserve">inscriptions; கல்வெட்டு</t>
  </si>
  <si>
    <t xml:space="preserve">https://en.wikipedia.org/wiki/S._Pathmanathan</t>
  </si>
  <si>
    <t xml:space="preserve">BK-0009</t>
  </si>
  <si>
    <t xml:space="preserve">2005</t>
  </si>
  <si>
    <t xml:space="preserve">Hindu Encyclopaedia (Tamil), Parts I-IX (1992-2008)</t>
  </si>
  <si>
    <t xml:space="preserve">S. Pathmanathan (ed.-in-chief)</t>
  </si>
  <si>
    <t xml:space="preserve">Encyclopaedia</t>
  </si>
  <si>
    <t xml:space="preserve">encyclopaedia; temples</t>
  </si>
  <si>
    <t xml:space="preserve">Parts: III 1996, IV 1998, V 2001, VI 2003, VII 2005, VIII 2006, IX 2008</t>
  </si>
  <si>
    <t xml:space="preserve">BK-0010</t>
  </si>
  <si>
    <t xml:space="preserve">The Evolution of an Ethnic Identity: The Tamils of Sri Lanka c. 300 BCE to c. 1200 CE</t>
  </si>
  <si>
    <t xml:space="preserve">MV Publications (Sydney); reissued Vijitha Yapa 2007, Ohm Books 2015</t>
  </si>
  <si>
    <t xml:space="preserve">Tamil Brahmi; inscriptions; ethnic history</t>
  </si>
  <si>
    <t xml:space="preserve">BK-0011</t>
  </si>
  <si>
    <t xml:space="preserve">2004</t>
  </si>
  <si>
    <t xml:space="preserve">A Study of the Language of the Tamil Inscriptions of the 7th and 8th Centuries A.D.</t>
  </si>
  <si>
    <t xml:space="preserve">K. Kanapathypillai</t>
  </si>
  <si>
    <t xml:space="preserve">Kumaran Book House, Colombo-Chennai</t>
  </si>
  <si>
    <t xml:space="preserve">Tamil inscriptions; epigraphy</t>
  </si>
  <si>
    <t xml:space="preserve">1st edition 2004 (reprint)</t>
  </si>
  <si>
    <t xml:space="preserve">https://unioncatalogue.dlp.gov.lk/Record/batt.35119/Similar</t>
  </si>
  <si>
    <t xml:space="preserve">BK-0012</t>
  </si>
  <si>
    <t xml:space="preserve">Ilankaiyil Intu Camayam (Hinduism in Sri Lanka)</t>
  </si>
  <si>
    <t xml:space="preserve">Hinduism; history</t>
  </si>
  <si>
    <t xml:space="preserve">BK-0013</t>
  </si>
  <si>
    <t xml:space="preserve">Tamil Literature and Historical Traditions in Sri Lanka</t>
  </si>
  <si>
    <t xml:space="preserve">Kumaran Press</t>
  </si>
  <si>
    <t xml:space="preserve">history</t>
  </si>
  <si>
    <t xml:space="preserve">BK-0014</t>
  </si>
  <si>
    <t xml:space="preserve">2003</t>
  </si>
  <si>
    <t xml:space="preserve">Early Tamil Epigraphy: From the Earliest Times to the Sixth Century A.D.</t>
  </si>
  <si>
    <t xml:space="preserve">Iravatham Mahadevan</t>
  </si>
  <si>
    <t xml:space="preserve">Cre-A, Chennai &amp; Harvard University</t>
  </si>
  <si>
    <t xml:space="preserve">Tamil Brahmi; epigraphy; Sri Lanka parallels</t>
  </si>
  <si>
    <t xml:space="preserve">Discusses Sri Lankan Brahmi</t>
  </si>
  <si>
    <t xml:space="preserve">https://vedamsbooks.com/books/early_tamil_epigraphy_from_the_earliest_times_to_the_sixth_century_c_e_volume_1_tamil_brahmi_inscriptions</t>
  </si>
  <si>
    <t xml:space="preserve">BK-0015</t>
  </si>
  <si>
    <t xml:space="preserve">Glimpses of Hindu Heritage</t>
  </si>
  <si>
    <t xml:space="preserve">S. Pathmanathan (joint ed.)</t>
  </si>
  <si>
    <t xml:space="preserve">Ministry of Hindu Religious Affairs</t>
  </si>
  <si>
    <t xml:space="preserve">heritage; bronzes</t>
  </si>
  <si>
    <t xml:space="preserve">BK-0016</t>
  </si>
  <si>
    <t xml:space="preserve">2002</t>
  </si>
  <si>
    <t xml:space="preserve">Ancient Coins of Sri Lankan Tamil Rulers</t>
  </si>
  <si>
    <t xml:space="preserve">P. Pushparatnam</t>
  </si>
  <si>
    <t xml:space="preserve">Bavani Patippakam, Jaffna</t>
  </si>
  <si>
    <t xml:space="preserve">coins; Tamil Brahmi; archaeology</t>
  </si>
  <si>
    <t xml:space="preserve">192 pp.</t>
  </si>
  <si>
    <t xml:space="preserve">https://mannar.dlp.gov.lk/bib/9820</t>
  </si>
  <si>
    <t xml:space="preserve">BK-0017</t>
  </si>
  <si>
    <t xml:space="preserve">2001</t>
  </si>
  <si>
    <t xml:space="preserve">Hindu Culture in Sri Lanka, Vol. 1: Temple Art &amp; Architecture (ed.)</t>
  </si>
  <si>
    <t xml:space="preserve">S. Pathmanathan (ed.)</t>
  </si>
  <si>
    <t xml:space="preserve">Department of Hindu Religious &amp; Cultural Affairs</t>
  </si>
  <si>
    <t xml:space="preserve">temple architecture; archaeology</t>
  </si>
  <si>
    <t xml:space="preserve">BK-0018</t>
  </si>
  <si>
    <t xml:space="preserve">2000</t>
  </si>
  <si>
    <t xml:space="preserve">History and Archaeology of Sri Lanka, Vol. I: Reflections on a Heritage</t>
  </si>
  <si>
    <t xml:space="preserve">R.A.L.H. Gunawardana, S. Pathmanathan, M. Rohanadheera (eds.)</t>
  </si>
  <si>
    <t xml:space="preserve">Central Cultural Fund, Colombo</t>
  </si>
  <si>
    <t xml:space="preserve">BK-0019</t>
  </si>
  <si>
    <t xml:space="preserve">Temples of Siva in Sri Lanka</t>
  </si>
  <si>
    <t xml:space="preserve">S. Pathmanathan (chief ed.)</t>
  </si>
  <si>
    <t xml:space="preserve">Chinmaya Mission of Sri Lanka</t>
  </si>
  <si>
    <t xml:space="preserve">temples; inscriptions</t>
  </si>
  <si>
    <t xml:space="preserve">Page gives 1999/2000</t>
  </si>
  <si>
    <t xml:space="preserve">BK-0020</t>
  </si>
  <si>
    <t xml:space="preserve">1999</t>
  </si>
  <si>
    <t xml:space="preserve">Ancient Sri Lankan coins / trade at Tissamaharama (Bopearachchi &amp; Wickremesinhe)</t>
  </si>
  <si>
    <t xml:space="preserve">O. Bopearachchi, R. Wickremesinhe</t>
  </si>
  <si>
    <t xml:space="preserve">(Ruhuna: an ancient civilisation revisited)</t>
  </si>
  <si>
    <t xml:space="preserve">coins; Tissamaharama; trade</t>
  </si>
  <si>
    <t xml:space="preserve">Title to verify; reviewed Apr 2000</t>
  </si>
  <si>
    <t xml:space="preserve">https://www.sundaytimes.lk/000423/plus3.html</t>
  </si>
  <si>
    <t xml:space="preserve">BK-0021</t>
  </si>
  <si>
    <t xml:space="preserve">Studies in Sri Lankan Tamil Linguistics and Culture</t>
  </si>
  <si>
    <t xml:space="preserve">K. Balasubramaniyam, K. Ratnamalar, R. Subathini (eds.)</t>
  </si>
  <si>
    <t xml:space="preserve">Sri Lanka Offset Service, Chennai</t>
  </si>
  <si>
    <t xml:space="preserve">culture; linguistics</t>
  </si>
  <si>
    <t xml:space="preserve">454 pp.</t>
  </si>
  <si>
    <t xml:space="preserve">https://unioncatalogue.dlp.gov.lk/Record/poin.4050/Description</t>
  </si>
  <si>
    <t xml:space="preserve">BK-0022</t>
  </si>
  <si>
    <t xml:space="preserve">1994</t>
  </si>
  <si>
    <t xml:space="preserve">Epigraphia Zeylanica Vol. 3 (reprint)</t>
  </si>
  <si>
    <t xml:space="preserve">H. W. Codrington, S. Paranavitana</t>
  </si>
  <si>
    <t xml:space="preserve">Asian Educational Services</t>
  </si>
  <si>
    <t xml:space="preserve">inscriptions; epigraphy</t>
  </si>
  <si>
    <t xml:space="preserve">No (earlier reference)</t>
  </si>
  <si>
    <t xml:space="preserve">Noolaham No. 4227; reprint (outside 30-year window, kept as reference)</t>
  </si>
  <si>
    <t xml:space="preserve">https://noolaham.org/wiki/index.php/Epigraphia_Zeylanica_3</t>
  </si>
  <si>
    <t xml:space="preserve">BK-0023</t>
  </si>
  <si>
    <t xml:space="preserve">1993</t>
  </si>
  <si>
    <t xml:space="preserve">கோணேசர் கல்வெட்டு (Koneswara Inscription)</t>
  </si>
  <si>
    <t xml:space="preserve">I. Vadivel</t>
  </si>
  <si>
    <t xml:space="preserve">கல்வெட்டு; Koneswaram; Trincomalee</t>
  </si>
  <si>
    <t xml:space="preserve">Noolaham No. 4824; 136 pp.</t>
  </si>
  <si>
    <t xml:space="preserve">https://noolaham.org/wiki/index.php/%E0%AE%95%E0%AF%8B%E0%AE%A3%E0%AF%87%E0%AE%9A%E0%AE%B0%E0%AF%8D_%E0%AE%95%E0%AE%B2%E0%AF%8D%E0%AE%B5%E0%AF%86%E0%AE%9F%E0%AF%8D%E0%AE%9F%E0%AF%81</t>
  </si>
  <si>
    <t xml:space="preserve">BK-0024</t>
  </si>
  <si>
    <t xml:space="preserve">பூநகரி தொல்பொருளாய்வு (Poonakary Archaeological Survey)</t>
  </si>
  <si>
    <t xml:space="preserve">University of Jaffna</t>
  </si>
  <si>
    <t xml:space="preserve">Brahmi / பிராமி; Archaeology / தொல்லியல்</t>
  </si>
  <si>
    <t xml:space="preserve">தொல்லியல்; Poonakari; Tamil Brahmi; potsherds</t>
  </si>
  <si>
    <t xml:space="preserve">Noolaham No. 67260; 238 pp.</t>
  </si>
  <si>
    <t xml:space="preserve">https://noolaham.org/wiki/index.php/%E0%AE%AA%E0%AF%82%E0%AE%A8%E0%AE%95%E0%AE%B0%E0%AE%BF_%E0%AE%A4%E0%AF%8A%E0%AE%B2%E0%AF%8D%E0%AE%AA%E0%AF%8A%E0%AE%B0%E0%AF%81%E0%AE%B3%E0%AE%BE%E0%AE%AF%E0%AF%8D%E0%AE%B5%E0%AF%81</t>
  </si>
  <si>
    <t xml:space="preserve">BK-0025</t>
  </si>
  <si>
    <t xml:space="preserve">1987</t>
  </si>
  <si>
    <t xml:space="preserve">Early Settlements in Jaffna: An Archaeological Survey</t>
  </si>
  <si>
    <t xml:space="preserve">P. Ragupathy</t>
  </si>
  <si>
    <t xml:space="preserve">Thillimalar Ragupathy, Madras</t>
  </si>
  <si>
    <t xml:space="preserve">தொல்லியல்; Jaffna; settlements</t>
  </si>
  <si>
    <t xml:space="preserve">Pre-1996 reference</t>
  </si>
  <si>
    <t xml:space="preserve">https://noolaham.net/project/18/1733/1733.html</t>
  </si>
  <si>
    <t xml:space="preserve">BK-0026</t>
  </si>
  <si>
    <t xml:space="preserve">1971</t>
  </si>
  <si>
    <t xml:space="preserve">Ceylon Tamil Inscriptions, Parts I-II (1971-1972)</t>
  </si>
  <si>
    <t xml:space="preserve">A. Veluppillai</t>
  </si>
  <si>
    <t xml:space="preserve">Author, Peradeniya</t>
  </si>
  <si>
    <t xml:space="preserve">கல்வெட்டு; corpus</t>
  </si>
  <si>
    <t xml:space="preserve">https://find.library.upenn.edu/catalog/997779313503681</t>
  </si>
  <si>
    <t xml:space="preserve">BK-0027</t>
  </si>
  <si>
    <t xml:space="preserve">Epigraphia Tamilica, Vol. I, Part I</t>
  </si>
  <si>
    <t xml:space="preserve">K. Indrapala (ed.)</t>
  </si>
  <si>
    <t xml:space="preserve">Jaffna Archaeological Society</t>
  </si>
  <si>
    <t xml:space="preserve">https://www.lankapradeepa.com/2020/04/tamil-inscriptions-in-sri-lanka_16.html</t>
  </si>
  <si>
    <t xml:space="preserve">BK-0028</t>
  </si>
  <si>
    <t xml:space="preserve">Culture and Heritage of the Tamils</t>
  </si>
  <si>
    <t xml:space="preserve">Noolaham digital library</t>
  </si>
  <si>
    <t xml:space="preserve">heritage</t>
  </si>
  <si>
    <t xml:space="preserve">Unknown</t>
  </si>
  <si>
    <t xml:space="preserve">Details to verify</t>
  </si>
  <si>
    <t xml:space="preserve">https://noolaham.net/project/977/97628/97628.pdf</t>
  </si>
  <si>
    <t xml:space="preserve">BK-0029</t>
  </si>
  <si>
    <t xml:space="preserve">Nallur Rajadhani: City Layout</t>
  </si>
  <si>
    <t xml:space="preserve">V. N. Giritharan</t>
  </si>
  <si>
    <t xml:space="preserve">Nallur; Jaffna kingdom; archaeology</t>
  </si>
  <si>
    <t xml:space="preserve">Year to verify</t>
  </si>
  <si>
    <t xml:space="preserve">https://noolaham.net/project/1316/131542/131542.pdf</t>
  </si>
  <si>
    <t xml:space="preserve">BK-0030</t>
  </si>
  <si>
    <t xml:space="preserve">Sri Lanka at the Crossroads of History</t>
  </si>
  <si>
    <t xml:space="preserve">history; archaeology</t>
  </si>
  <si>
    <t xml:space="preserve">https://noolaham.net/project/810/80954/80954.pdf</t>
  </si>
  <si>
    <t xml:space="preserve">BK-0031</t>
  </si>
  <si>
    <t xml:space="preserve">The Untold Story of Ancient Tamils in Sri Lanka</t>
  </si>
  <si>
    <t xml:space="preserve">University of Vavuniya library catalogue</t>
  </si>
  <si>
    <t xml:space="preserve">ancient Tamils; archaeology</t>
  </si>
  <si>
    <t xml:space="preserve">Author/year to verify (K. Arunthavarajah?)</t>
  </si>
  <si>
    <t xml:space="preserve">http://lib.vau.jfn.ac.lk/cgi-bin/koha/opac-detail.pl?biblionumber=44042&amp;shelfbrowse_itemnumber=55269</t>
  </si>
  <si>
    <t xml:space="preserve">RP-0001</t>
  </si>
  <si>
    <t xml:space="preserve">Hindu Idols Revealing the Cultural Connections between Northern Sri Lanka and South India</t>
  </si>
  <si>
    <t xml:space="preserve">S. Aniththa, Ushanthy Arunpirasanth</t>
  </si>
  <si>
    <t xml:space="preserve">First International Conference in Saiva Siddhanta, University of Jaffna</t>
  </si>
  <si>
    <t xml:space="preserve">Conference paper</t>
  </si>
  <si>
    <t xml:space="preserve">sculpture; archaeology</t>
  </si>
  <si>
    <t xml:space="preserve">https://www.his.jfn.ac.lk/index.php/__trashed/</t>
  </si>
  <si>
    <t xml:space="preserve">RP-0002</t>
  </si>
  <si>
    <t xml:space="preserve">Investigation of Ancient Pre-colonial Monuments in Jaffna, Sri Lanka</t>
  </si>
  <si>
    <t xml:space="preserve">NIIBS Faculty of Humanities &amp; Social Sciences</t>
  </si>
  <si>
    <t xml:space="preserve">Journal article</t>
  </si>
  <si>
    <t xml:space="preserve">monuments; Jaffna</t>
  </si>
  <si>
    <t xml:space="preserve">Upload Feb 2025</t>
  </si>
  <si>
    <t xml:space="preserve">https://fhss.niibs.lk/wp-content/uploads/2025/02/Investigation-of-Ancient-Pre-colonial-Monuments-in-Jaffna-Sri-Lanka.pdf</t>
  </si>
  <si>
    <t xml:space="preserve">RP-0003</t>
  </si>
  <si>
    <t xml:space="preserve">The Chola Rule that Shed Light on the History of Sri Lankan Tamils: A Historical Perspective</t>
  </si>
  <si>
    <t xml:space="preserve">S. Aniththa</t>
  </si>
  <si>
    <t xml:space="preserve">International Archaeological Conference 2025, International Tamizhkkalvi Research Institute, Tamil Nadu</t>
  </si>
  <si>
    <t xml:space="preserve">Chola; inscriptions</t>
  </si>
  <si>
    <t xml:space="preserve">RP-0004</t>
  </si>
  <si>
    <t xml:space="preserve">2025-03-08</t>
  </si>
  <si>
    <t xml:space="preserve">Palimpsests: Material Religion and Political Archaeology at Kurunthaloor Vihara, Sri Lanka</t>
  </si>
  <si>
    <t xml:space="preserve">A. Suganthan</t>
  </si>
  <si>
    <t xml:space="preserve">AAR Southeast Regional Conference (AARSE 2025), Florida</t>
  </si>
  <si>
    <t xml:space="preserve">Kurunthurmalai; political archaeology</t>
  </si>
  <si>
    <t xml:space="preserve">https://www.his.jfn.ac.lk/index.php/mrs-ajiththa-suganthan/</t>
  </si>
  <si>
    <t xml:space="preserve">RP-0005</t>
  </si>
  <si>
    <t xml:space="preserve">2025-07-15</t>
  </si>
  <si>
    <t xml:space="preserve">(Zenodo record on hero stones)</t>
  </si>
  <si>
    <t xml:space="preserve">Zenodo</t>
  </si>
  <si>
    <t xml:space="preserve">Dataset/Article</t>
  </si>
  <si>
    <t xml:space="preserve">hero stone</t>
  </si>
  <si>
    <t xml:space="preserve">Title to verify</t>
  </si>
  <si>
    <t xml:space="preserve">https://zenodo.org/records/16599990</t>
  </si>
  <si>
    <t xml:space="preserve">RP-0006</t>
  </si>
  <si>
    <t xml:space="preserve">2024</t>
  </si>
  <si>
    <t xml:space="preserve">Serpent Deities (Nagas) in Ancient Sri Lanka: Evidence from the Kaddukarai Excavation</t>
  </si>
  <si>
    <t xml:space="preserve">More-than-human Religion conference, Florida State University</t>
  </si>
  <si>
    <t xml:space="preserve">Naga; Kattukarai excavation</t>
  </si>
  <si>
    <t xml:space="preserve">RP-0007</t>
  </si>
  <si>
    <t xml:space="preserve">The Role of Tamil Language in Sinhala Kingdoms during the Early and Medieval Period of Sri Lanka</t>
  </si>
  <si>
    <t xml:space="preserve">12th International Symposium, South Eastern University of Sri Lanka</t>
  </si>
  <si>
    <t xml:space="preserve">Tamil inscriptions; language</t>
  </si>
  <si>
    <t xml:space="preserve">RP-0008</t>
  </si>
  <si>
    <t xml:space="preserve">2023</t>
  </si>
  <si>
    <t xml:space="preserve">'Thana' given by Sri Lankan women as reflected through literature and inscription sources</t>
  </si>
  <si>
    <t xml:space="preserve">National Conference on Historical Studies, University of Kelaniya</t>
  </si>
  <si>
    <t xml:space="preserve">inscriptions; donations</t>
  </si>
  <si>
    <t xml:space="preserve">RP-0009</t>
  </si>
  <si>
    <t xml:space="preserve">Integrative Approaches in Archaeology: The Imperative for Multidisciplinary Research</t>
  </si>
  <si>
    <t xml:space="preserve">A. Suganthan, P. Pushparatnam</t>
  </si>
  <si>
    <t xml:space="preserve">Nāgānanda International Journal of Humanities and Social Science, 1(1), pp. 1-13</t>
  </si>
  <si>
    <t xml:space="preserve">archaeology; methodology</t>
  </si>
  <si>
    <t xml:space="preserve">RP-0010</t>
  </si>
  <si>
    <t xml:space="preserve">Some considerations on Dutch colonial architecture: The Kruys church at Jaffna Fort</t>
  </si>
  <si>
    <t xml:space="preserve">Archaeology: South Asian Journal of Archaeology, University of Kelaniya</t>
  </si>
  <si>
    <t xml:space="preserve">archaeology; Jaffna Fort</t>
  </si>
  <si>
    <t xml:space="preserve">RP-0011</t>
  </si>
  <si>
    <t xml:space="preserve">Tevaratiyars (Women of Temples) in Sri Lanka: A Study Based on Epigraphy</t>
  </si>
  <si>
    <t xml:space="preserve">1st International Conference on Gender Studies, University of Sri Jayewardenepura</t>
  </si>
  <si>
    <t xml:space="preserve">epigraphy; கல்வெட்டு</t>
  </si>
  <si>
    <t xml:space="preserve">RP-0012</t>
  </si>
  <si>
    <t xml:space="preserve">The Role of Brahmins in the Sinhalese Monarchy: A Study Based on the Kingdom of Anuradhapura</t>
  </si>
  <si>
    <t xml:space="preserve">2nd National Research Symposium, Rajarata University of Sri Lanka</t>
  </si>
  <si>
    <t xml:space="preserve">Brahmins; inscriptions</t>
  </si>
  <si>
    <t xml:space="preserve">RP-0013</t>
  </si>
  <si>
    <t xml:space="preserve">The Role of Tamil Officers in Sinhalese Monarchy up to 13th Century A.D.: A Review</t>
  </si>
  <si>
    <t xml:space="preserve">11th International Symposium, South Eastern University of Sri Lanka</t>
  </si>
  <si>
    <t xml:space="preserve">inscriptions; officials</t>
  </si>
  <si>
    <t xml:space="preserve">RP-0014</t>
  </si>
  <si>
    <t xml:space="preserve">Ancient Ceylon No. 27 (Journal of the Department of Archaeology)</t>
  </si>
  <si>
    <t xml:space="preserve">Department of Archaeology</t>
  </si>
  <si>
    <t xml:space="preserve">Department of Archaeology, Sri Lanka</t>
  </si>
  <si>
    <t xml:space="preserve">Inscriptions / கல்வெட்டு; Archaeology / தொல்லியல்</t>
  </si>
  <si>
    <t xml:space="preserve">archaeology journal; inscriptions</t>
  </si>
  <si>
    <t xml:space="preserve">Upload date 2022</t>
  </si>
  <si>
    <t xml:space="preserve">https://archaeology.gov.lk/media/attachments/2022/09/07/ac27updated.pdf</t>
  </si>
  <si>
    <t xml:space="preserve">RP-0015</t>
  </si>
  <si>
    <t xml:space="preserve">Archaeological Surveys and Their Importance in Respect of Northern Sri Lanka</t>
  </si>
  <si>
    <t xml:space="preserve">S. Sajitharan</t>
  </si>
  <si>
    <t xml:space="preserve">IntSym 2022, South Eastern University of Sri Lanka</t>
  </si>
  <si>
    <t xml:space="preserve">archaeological survey</t>
  </si>
  <si>
    <t xml:space="preserve">https://www.his.jfn.ac.lk/?p=791</t>
  </si>
  <si>
    <t xml:space="preserve">RP-0016</t>
  </si>
  <si>
    <t xml:space="preserve">Pre-colonial Monuments in Jaffna, Sri Lanka</t>
  </si>
  <si>
    <t xml:space="preserve">Nagananda International Journal of Humanities &amp; Social Sciences</t>
  </si>
  <si>
    <t xml:space="preserve">RP-0017</t>
  </si>
  <si>
    <t xml:space="preserve">2021</t>
  </si>
  <si>
    <t xml:space="preserve">Archaeological Glories in Sri Lankan Museums</t>
  </si>
  <si>
    <t xml:space="preserve">S. Arulanantham</t>
  </si>
  <si>
    <t xml:space="preserve">Edited volume (ed. T. Mageswary)</t>
  </si>
  <si>
    <t xml:space="preserve">Book chapter</t>
  </si>
  <si>
    <t xml:space="preserve">museums; archaeology</t>
  </si>
  <si>
    <t xml:space="preserve">https://www.his.jfn.ac.lk/index.php/mrs-s-arulanantham/</t>
  </si>
  <si>
    <t xml:space="preserve">RP-0018</t>
  </si>
  <si>
    <t xml:space="preserve">Matrimonial Alliances between Tamil and Sinhala Royal Families in Sri Lanka: A Historical View</t>
  </si>
  <si>
    <t xml:space="preserve">Journal of Jaffna Science Association, Vol. 3, Issue I</t>
  </si>
  <si>
    <t xml:space="preserve">inscriptions; royal history</t>
  </si>
  <si>
    <t xml:space="preserve">RP-0019</t>
  </si>
  <si>
    <t xml:space="preserve">Tamil Inscription Issued by Sinhala Kings during the Period of Polonnaruwa Kingdom: A Multi Dimensions</t>
  </si>
  <si>
    <t xml:space="preserve">S. Aniththa, P. Pushparatnam</t>
  </si>
  <si>
    <t xml:space="preserve">Palkalai, Vol. 2, Issue IX, Faculty of Arts, University of Peradeniya</t>
  </si>
  <si>
    <t xml:space="preserve">கல்வெட்டு; Polonnaruwa</t>
  </si>
  <si>
    <t xml:space="preserve">RP-0020</t>
  </si>
  <si>
    <t xml:space="preserve">2020</t>
  </si>
  <si>
    <t xml:space="preserve">Amazing Discovery of Burials in Northern Sri Lanka</t>
  </si>
  <si>
    <t xml:space="preserve">Aran International e-Journal of Tamil Research, Vol. 2, Issue 7</t>
  </si>
  <si>
    <t xml:space="preserve">burials; megalithic</t>
  </si>
  <si>
    <t xml:space="preserve">RP-0021</t>
  </si>
  <si>
    <t xml:space="preserve">Archaeological Heritage of Buddhism: A Study Based on Jaffna Peninsula</t>
  </si>
  <si>
    <t xml:space="preserve">CINTANAI (University of Jaffna)</t>
  </si>
  <si>
    <t xml:space="preserve">archaeology; Buddhism</t>
  </si>
  <si>
    <t xml:space="preserve">RP-0022</t>
  </si>
  <si>
    <t xml:space="preserve">Painting and Its Special Preservation Activities - Based on Sigiriya Painting</t>
  </si>
  <si>
    <t xml:space="preserve">National Research Symposium, Swami Vipulananda Institute of Aesthetic Studies, Eastern University</t>
  </si>
  <si>
    <t xml:space="preserve">paintings; பாறை ஓவியம்; Sigiriya</t>
  </si>
  <si>
    <t xml:space="preserve">RP-0023</t>
  </si>
  <si>
    <t xml:space="preserve">2019</t>
  </si>
  <si>
    <t xml:space="preserve">Identifying the Archaeological Evidence Revealing Hero Stone Worship in Classical Tamil Literature and Thirukkural</t>
  </si>
  <si>
    <t xml:space="preserve">Thirukkural World Conference, Kuala Lumpur</t>
  </si>
  <si>
    <t xml:space="preserve">Archaeology / தொல்லியல்; Hero stones / நடுகல்</t>
  </si>
  <si>
    <t xml:space="preserve">நடுகல்; hero stone</t>
  </si>
  <si>
    <t xml:space="preserve">RP-0024</t>
  </si>
  <si>
    <t xml:space="preserve">The Ancestor Worship &amp; the Megalithic Burials - based on Thirukkural</t>
  </si>
  <si>
    <t xml:space="preserve">Thirukkural World Conference, Kuala Lumpur, pp. 237-245</t>
  </si>
  <si>
    <t xml:space="preserve">megalithic; burials</t>
  </si>
  <si>
    <t xml:space="preserve">RP-0025</t>
  </si>
  <si>
    <t xml:space="preserve">The Antiquity of Jaffna Fort: New Evidence from Post-Disaster Archaeological Investigations in Northern Sri Lanka</t>
  </si>
  <si>
    <t xml:space="preserve">R. Coningham, C. Davis, P. Pushparatnam et al.</t>
  </si>
  <si>
    <t xml:space="preserve">Antiquity (Cambridge University Press)</t>
  </si>
  <si>
    <t xml:space="preserve">தொல்லியல்; Jaffna Fort; excavation</t>
  </si>
  <si>
    <t xml:space="preserve">Authors to verify</t>
  </si>
  <si>
    <t xml:space="preserve">https://www.cambridge.org/core/services/aop-cambridge-core/content/view/C55CDA3934CC5C18EE40B903734C7215/S0003598X19000309a.pdf/the-antiquity-of-jaffna-fort-new-evidence-from-post-disaster-archaeological-investigations-in-northern-sri-lanka.pdf</t>
  </si>
  <si>
    <t xml:space="preserve">RP-0026</t>
  </si>
  <si>
    <t xml:space="preserve">The Chola-period Hindu Temples and Culture in the Rule of Sinhala Kings: Based on Polonnaruwa Period</t>
  </si>
  <si>
    <t xml:space="preserve">International Arts Research Symposium, South Eastern University</t>
  </si>
  <si>
    <t xml:space="preserve">Chola; temples; Polonnaruwa</t>
  </si>
  <si>
    <t xml:space="preserve">RP-0027</t>
  </si>
  <si>
    <t xml:space="preserve">The Creation of the King's Clan in Ilankai - An Analysis Based on Recent Archaeological Findings</t>
  </si>
  <si>
    <t xml:space="preserve">International Journal of Tamil Language and Literary Studies (IITS, Chennai), pp. 170-179</t>
  </si>
  <si>
    <t xml:space="preserve">Inscriptions / கல்வெட்டு; Archaeology / தொல்லியல்; Coins / நாணயம்</t>
  </si>
  <si>
    <t xml:space="preserve">archaeology; coins; seals</t>
  </si>
  <si>
    <t xml:space="preserve">RP-0028</t>
  </si>
  <si>
    <t xml:space="preserve">2018</t>
  </si>
  <si>
    <t xml:space="preserve">Hinduism in the Sinhala Monarchy of the Polonnaruwa Period</t>
  </si>
  <si>
    <t xml:space="preserve">International Seminar, World Tamil Research Institute</t>
  </si>
  <si>
    <t xml:space="preserve">Polonnaruwa; inscriptions</t>
  </si>
  <si>
    <t xml:space="preserve">RP-0029</t>
  </si>
  <si>
    <t xml:space="preserve">Naguleshwaram Temple - Myths and Historical Facts</t>
  </si>
  <si>
    <t xml:space="preserve">Palkalai, Faculty of Arts, University of Peradeniya</t>
  </si>
  <si>
    <t xml:space="preserve">temple; history</t>
  </si>
  <si>
    <t xml:space="preserve">RP-0030</t>
  </si>
  <si>
    <t xml:space="preserve">South Indian Influence in Jaffna Kingdom</t>
  </si>
  <si>
    <t xml:space="preserve">International Institute of Tamil Studies, Chennai</t>
  </si>
  <si>
    <t xml:space="preserve">Jaffna kingdom</t>
  </si>
  <si>
    <t xml:space="preserve">RP-0031</t>
  </si>
  <si>
    <t xml:space="preserve">The Challenges Faced in Protecting and Preserving Heritage Monuments: A Study Based on Jaffna</t>
  </si>
  <si>
    <t xml:space="preserve">CINTANAI, Vol. 2, pp. 63-77</t>
  </si>
  <si>
    <t xml:space="preserve">heritage; monuments</t>
  </si>
  <si>
    <t xml:space="preserve">RP-0032</t>
  </si>
  <si>
    <t xml:space="preserve">The Formation Period of Northern Sri Lanka - An Archaeological Survey Based on Rivers &amp; Ponds</t>
  </si>
  <si>
    <t xml:space="preserve">Sankara Publications, Kancheepuram</t>
  </si>
  <si>
    <t xml:space="preserve">RP-0033</t>
  </si>
  <si>
    <t xml:space="preserve">2017</t>
  </si>
  <si>
    <t xml:space="preserve">God Shiva in the Inscriptions of Cholas Found in Sri Lanka</t>
  </si>
  <si>
    <t xml:space="preserve">Second International Saiva Conference, University of Jaffna</t>
  </si>
  <si>
    <t xml:space="preserve">Chola inscriptions; கல்வெட்டு</t>
  </si>
  <si>
    <t xml:space="preserve">RP-0034</t>
  </si>
  <si>
    <t xml:space="preserve">Role and Significance in Preserving Manuscripts of Siddha Medicine Found during the Jaffna Kingdom Period</t>
  </si>
  <si>
    <t xml:space="preserve">National Archaeological Symposium</t>
  </si>
  <si>
    <t xml:space="preserve">manuscripts; Jaffna kingdom</t>
  </si>
  <si>
    <t xml:space="preserve">RP-0035</t>
  </si>
  <si>
    <t xml:space="preserve">The Megalithic Culture and the Classical Tamil Literatures: Comparative Research</t>
  </si>
  <si>
    <t xml:space="preserve">CINTANAI, Vol. 3, pp. 37-51</t>
  </si>
  <si>
    <t xml:space="preserve">megalithic</t>
  </si>
  <si>
    <t xml:space="preserve">RP-0036</t>
  </si>
  <si>
    <t xml:space="preserve">2015</t>
  </si>
  <si>
    <t xml:space="preserve">Relationship between Hindu-Islamic Culture via Copper Plates (Tamil Nadu)</t>
  </si>
  <si>
    <t xml:space="preserve">K. Arunthavarajah</t>
  </si>
  <si>
    <t xml:space="preserve">Second International Symposium, Faculty of Islamic Studies, South Eastern University</t>
  </si>
  <si>
    <t xml:space="preserve">copper plates; epigraphy</t>
  </si>
  <si>
    <t xml:space="preserve">Tamil Nadu focus</t>
  </si>
  <si>
    <t xml:space="preserve">RP-0037</t>
  </si>
  <si>
    <t xml:space="preserve">Religion in Sangam Literature and Archaeological Evidence</t>
  </si>
  <si>
    <t xml:space="preserve">Annual Research Conference, Dept. of Tamil, University of Peradeniya</t>
  </si>
  <si>
    <t xml:space="preserve">archaeology; Sangam</t>
  </si>
  <si>
    <t xml:space="preserve">RP-0038</t>
  </si>
  <si>
    <t xml:space="preserve">Tamil Brahmi Inscription Belonging to 2200 Years Ago, Discovered by German Archaeological Team in Southern Sri Lanka</t>
  </si>
  <si>
    <t xml:space="preserve">Jaffna University International Research Conference (JUICE 2014)</t>
  </si>
  <si>
    <t xml:space="preserve">Inscriptions / கல்வெட்டு; Brahmi / பிராமி; Archaeology / தொல்லியல்</t>
  </si>
  <si>
    <t xml:space="preserve">Tamil Brahmi; Tissamaharama; potsherd</t>
  </si>
  <si>
    <t xml:space="preserve">https://rer.jfn.ac.lk/items/cf7a95e0-fe51-4ae1-88aa-4842327beb59/full</t>
  </si>
  <si>
    <t xml:space="preserve">RP-0039</t>
  </si>
  <si>
    <t xml:space="preserve">The Heritage Monuments of Jaffna Peninsula and their Preservation</t>
  </si>
  <si>
    <t xml:space="preserve">Proceedings of the National Archaeological Symposium 2014, Department of Archaeology</t>
  </si>
  <si>
    <t xml:space="preserve">RP-0040</t>
  </si>
  <si>
    <t xml:space="preserve">2013</t>
  </si>
  <si>
    <t xml:space="preserve">Ancient Ports and their Cultural Influences in Northern Sri Lanka</t>
  </si>
  <si>
    <t xml:space="preserve">2nd Annual Research Conference, South Eastern University</t>
  </si>
  <si>
    <t xml:space="preserve">ports; archaeology</t>
  </si>
  <si>
    <t xml:space="preserve">RP-0041</t>
  </si>
  <si>
    <t xml:space="preserve">2011</t>
  </si>
  <si>
    <t xml:space="preserve">South India-Sri Lanka Political Relations up to the Chola Period</t>
  </si>
  <si>
    <t xml:space="preserve">International Conference, Manonmaniam Sundaranar University</t>
  </si>
  <si>
    <t xml:space="preserve">Chola; relations</t>
  </si>
  <si>
    <t xml:space="preserve">RP-0042</t>
  </si>
  <si>
    <t xml:space="preserve">The Antiquity of Sri Lankan Tamils</t>
  </si>
  <si>
    <t xml:space="preserve">9th World Conference, Thiruvaiyaru</t>
  </si>
  <si>
    <t xml:space="preserve">antiquity; Tamils</t>
  </si>
  <si>
    <t xml:space="preserve">RP-0043</t>
  </si>
  <si>
    <t xml:space="preserve">Chola Military Expeditions on Sri Lanka</t>
  </si>
  <si>
    <t xml:space="preserve">ICHR National Seminar, Madurai</t>
  </si>
  <si>
    <t xml:space="preserve">Chola</t>
  </si>
  <si>
    <t xml:space="preserve">RP-0044</t>
  </si>
  <si>
    <t xml:space="preserve">Nallur Kandasamy Temple as the Symbol of Traditional Tamil Culture - Historical and Archaeological Perspective</t>
  </si>
  <si>
    <t xml:space="preserve">Varalarulla, Jaffna</t>
  </si>
  <si>
    <t xml:space="preserve">archaeology; Nallur</t>
  </si>
  <si>
    <t xml:space="preserve">RP-0045</t>
  </si>
  <si>
    <t xml:space="preserve">Was the German reading of the Tissamaharama Brahmi inscription a scholarly misdirection? (in Sinhala)</t>
  </si>
  <si>
    <t xml:space="preserve">R. Somadeva</t>
  </si>
  <si>
    <t xml:space="preserve">Dinithi, Vol. 1, Part IV, pp. 2-5</t>
  </si>
  <si>
    <t xml:space="preserve">Sinhala</t>
  </si>
  <si>
    <t xml:space="preserve">Tissamaharama; Tamil Brahmi debate</t>
  </si>
  <si>
    <t xml:space="preserve">ISSN 2012-7189</t>
  </si>
  <si>
    <t xml:space="preserve">RP-0046</t>
  </si>
  <si>
    <t xml:space="preserve">Hindu and Buddhist Architecture in Sri Lanka</t>
  </si>
  <si>
    <t xml:space="preserve">Sangam: Essays in Honour of Dr R. Krishnamurthy, Chennai</t>
  </si>
  <si>
    <t xml:space="preserve">architecture</t>
  </si>
  <si>
    <t xml:space="preserve">RP-0047</t>
  </si>
  <si>
    <t xml:space="preserve">The Kingdom of Jaffna before the Portuguese Conquest</t>
  </si>
  <si>
    <t xml:space="preserve">For Such a Time As This, American Ceylon Mission Press</t>
  </si>
  <si>
    <t xml:space="preserve">RP-0048</t>
  </si>
  <si>
    <t xml:space="preserve">New Light on the Decline of Polonnaruwa (1196-1215): The Tamil Pillar Inscription from Rankot Vihara</t>
  </si>
  <si>
    <t xml:space="preserve">Proceedings of the Peradeniya University Research Sessions, Vol. 9, p. 31</t>
  </si>
  <si>
    <t xml:space="preserve">கல்வெட்டு; Rankot Vihara; Polonnaruwa</t>
  </si>
  <si>
    <t xml:space="preserve">Cited in Lanka Pradeepa list</t>
  </si>
  <si>
    <t xml:space="preserve">RP-0049</t>
  </si>
  <si>
    <t xml:space="preserve">Hindu Bronzes of the Polonnaruva Period</t>
  </si>
  <si>
    <t xml:space="preserve">2nd World Hindu Conference Souvenir</t>
  </si>
  <si>
    <t xml:space="preserve">bronzes; Polonnaruwa</t>
  </si>
  <si>
    <t xml:space="preserve">RP-0050</t>
  </si>
  <si>
    <t xml:space="preserve">Some Bronzes from the Jetavanarama Site</t>
  </si>
  <si>
    <t xml:space="preserve">bronzes; archaeology</t>
  </si>
  <si>
    <t xml:space="preserve">RP-0051</t>
  </si>
  <si>
    <t xml:space="preserve">Buddhism in Nakapattinam (and related inscription studies)</t>
  </si>
  <si>
    <t xml:space="preserve">Buddhism among Tamils in Pre-Colonial Tamilakam and Ilam, Uppsala</t>
  </si>
  <si>
    <t xml:space="preserve">Buddhism; inscriptions</t>
  </si>
  <si>
    <t xml:space="preserve">RP-0052</t>
  </si>
  <si>
    <t xml:space="preserve">The Lankatilaka Temple: Inscriptions of a Merchant Community</t>
  </si>
  <si>
    <t xml:space="preserve">Taisho University Project Report (ed. N. Karashima)</t>
  </si>
  <si>
    <t xml:space="preserve">inscriptions; merchant community</t>
  </si>
  <si>
    <t xml:space="preserve">RP-0053</t>
  </si>
  <si>
    <t xml:space="preserve">The Nakaram of the Nanadesis: The Tanmacakarappattinam at Viharehinna</t>
  </si>
  <si>
    <t xml:space="preserve">Sri Lanka Journal of the Humanities, Vols. XXIV-XXV (1998-99)</t>
  </si>
  <si>
    <t xml:space="preserve">merchant guild; inscription; Nanadesi</t>
  </si>
  <si>
    <t xml:space="preserve">RP-0054</t>
  </si>
  <si>
    <t xml:space="preserve">Trade and Urbanization in Medieval Sri Lanka</t>
  </si>
  <si>
    <t xml:space="preserve">Reflections on a Heritage, Central Cultural Fund</t>
  </si>
  <si>
    <t xml:space="preserve">trade; inscriptions</t>
  </si>
  <si>
    <t xml:space="preserve">RP-0055</t>
  </si>
  <si>
    <t xml:space="preserve">1998</t>
  </si>
  <si>
    <t xml:space="preserve">The Annaikoddai Seal: Beyond the Homelands Approach (in Sinhala)</t>
  </si>
  <si>
    <t xml:space="preserve">In P. Gunawardhana et al. (eds.), Sarasavi, pp. 39-49</t>
  </si>
  <si>
    <t xml:space="preserve">Anaikoddai seal; Tamil Brahmi</t>
  </si>
  <si>
    <t xml:space="preserve">ISBN 955-96402-0-3</t>
  </si>
  <si>
    <t xml:space="preserve">RP-0056</t>
  </si>
  <si>
    <t xml:space="preserve">1997</t>
  </si>
  <si>
    <t xml:space="preserve">The Akkacalaip-perumpalli at Nakapattinam</t>
  </si>
  <si>
    <t xml:space="preserve">Sri Lanka Journal of the Humanities, Vol. XXIII</t>
  </si>
  <si>
    <t xml:space="preserve">inscriptions; Buddhism; Tamil</t>
  </si>
  <si>
    <t xml:space="preserve">RP-0057</t>
  </si>
  <si>
    <t xml:space="preserve">1995</t>
  </si>
  <si>
    <t xml:space="preserve">The Tamil Pillar Inscription from Mankanay</t>
  </si>
  <si>
    <t xml:space="preserve">The Sri Lanka Journal of the Humanities, Vol. 21, No. 1-2, pp. 31-41 (University of Peradeniya)</t>
  </si>
  <si>
    <t xml:space="preserve">pillar inscription; Mankanay</t>
  </si>
  <si>
    <t xml:space="preserve">Just before 30-yr window; kept</t>
  </si>
  <si>
    <t xml:space="preserve">https://ir.lib.pdn.ac.lk/handle/20.500.14444/3809</t>
  </si>
  <si>
    <t xml:space="preserve">RP-0058</t>
  </si>
  <si>
    <t xml:space="preserve">The Tamil Slab Inscription of the Virakkoti at Budumuttawa, Nikaweratiya</t>
  </si>
  <si>
    <t xml:space="preserve">Urbanization at Magala, pp. 15-30</t>
  </si>
  <si>
    <t xml:space="preserve">கல்வெட்டு; merchant guild</t>
  </si>
  <si>
    <t xml:space="preserve">Year from Lanka Pradeepa list</t>
  </si>
  <si>
    <t xml:space="preserve">https://ir.lib.pdn.ac.lk/items/583155fd-b49e-4398-8b04-51776c4dbf8f/full</t>
  </si>
  <si>
    <t xml:space="preserve">RP-0059</t>
  </si>
  <si>
    <t xml:space="preserve">1991</t>
  </si>
  <si>
    <t xml:space="preserve">Inscription No. 2 from Fort Hammenhiel, Kayts</t>
  </si>
  <si>
    <t xml:space="preserve">Epigraphia Zeylanica, Vol. VI, Part II, pp. 154-160</t>
  </si>
  <si>
    <t xml:space="preserve">கல்வெட்டு; Kayts</t>
  </si>
  <si>
    <t xml:space="preserve">RP-0060</t>
  </si>
  <si>
    <t xml:space="preserve">1990</t>
  </si>
  <si>
    <t xml:space="preserve">The Bronze Seal of the Nanadesis from Hambantota</t>
  </si>
  <si>
    <t xml:space="preserve">Asian Panorama, Satguru Publications</t>
  </si>
  <si>
    <t xml:space="preserve">seal; merchant guild</t>
  </si>
  <si>
    <t xml:space="preserve">RP-0061</t>
  </si>
  <si>
    <t xml:space="preserve">1975</t>
  </si>
  <si>
    <t xml:space="preserve">A Tamil Slab Inscription at Nilaveli</t>
  </si>
  <si>
    <t xml:space="preserve">S. Gunasingam</t>
  </si>
  <si>
    <t xml:space="preserve">The Ceylon Journal of the Humanities, pp. 61-71</t>
  </si>
  <si>
    <t xml:space="preserve">கல்வெட்டு; Nilaveli</t>
  </si>
  <si>
    <t xml:space="preserve">RP-0062</t>
  </si>
  <si>
    <t xml:space="preserve">The Munnesvaram Inscription of Parakramabahu VI</t>
  </si>
  <si>
    <t xml:space="preserve">JRAS Ceylon Branch, Vol. XVIII</t>
  </si>
  <si>
    <t xml:space="preserve">கல்வெட்டு; Munneswaram</t>
  </si>
  <si>
    <t xml:space="preserve">RP-0063</t>
  </si>
  <si>
    <t xml:space="preserve">1963</t>
  </si>
  <si>
    <t xml:space="preserve">The Nainativu Tamil Inscription of Parakramabahu I</t>
  </si>
  <si>
    <t xml:space="preserve">University of Ceylon Review, Vol. XXI, No. 1, pp. 63-70</t>
  </si>
  <si>
    <t xml:space="preserve">கல்வெட்டு; Nainativu</t>
  </si>
  <si>
    <t xml:space="preserve">https://siddham.network/tag/kayts/</t>
  </si>
  <si>
    <t xml:space="preserve">RP-0064</t>
  </si>
  <si>
    <t xml:space="preserve">An Archaeological Study of Prehistoric Paintings Found in Veherayaya</t>
  </si>
  <si>
    <t xml:space="preserve">University of Peradeniya repository</t>
  </si>
  <si>
    <t xml:space="preserve">Archaeology / தொல்லியல்; Rock art / பாறை ஓவியம்</t>
  </si>
  <si>
    <t xml:space="preserve">rock paintings; பாறை ஓவியம்; prehistoric</t>
  </si>
  <si>
    <t xml:space="preserve">Year/author to verify</t>
  </si>
  <si>
    <t xml:space="preserve">https://ir.lib.pdn.ac.lk/handle/20.500.14444/5038</t>
  </si>
  <si>
    <t xml:space="preserve">RP-0065</t>
  </si>
  <si>
    <t xml:space="preserve">Annaikottai Seal: Is it Tamil Brahmi?</t>
  </si>
  <si>
    <t xml:space="preserve">Academia.edu</t>
  </si>
  <si>
    <t xml:space="preserve">Article</t>
  </si>
  <si>
    <t xml:space="preserve">https://www.academia.edu/44307643/Annaikottai_Seal_Is_it_Tamil_Brahmi</t>
  </si>
  <si>
    <t xml:space="preserve">RP-0066</t>
  </si>
  <si>
    <t xml:space="preserve">Dr. Siran Deraniyagala: The Archaeologist who Connected North and South Sri Lanka</t>
  </si>
  <si>
    <t xml:space="preserve">Mount Royal University journal (ANLK)</t>
  </si>
  <si>
    <t xml:space="preserve">archaeology; Jaffna</t>
  </si>
  <si>
    <t xml:space="preserve">https://mrujs.mtroyal.ca/index.php/anlk/article/view/634</t>
  </si>
  <si>
    <t xml:space="preserve">RP-0067</t>
  </si>
  <si>
    <t xml:space="preserve">Hero stones (nadukal) study</t>
  </si>
  <si>
    <t xml:space="preserve">International Research Journal of Tamil (IRJT)</t>
  </si>
  <si>
    <t xml:space="preserve">Title/year to verify</t>
  </si>
  <si>
    <t xml:space="preserve">https://irjt.iorpress.org/index.php/irjt/article/download/2607/2111/4821</t>
  </si>
  <si>
    <t xml:space="preserve">RP-0068</t>
  </si>
  <si>
    <t xml:space="preserve">Highlights of Archaeological Studies in Jaffna Peninsula since 2010</t>
  </si>
  <si>
    <t xml:space="preserve">University of Jaffna repository</t>
  </si>
  <si>
    <t xml:space="preserve">https://rer.jfn.ac.lk/items/69679e68-fe61-4cd9-a9de-ccff08422aac/full</t>
  </si>
  <si>
    <t xml:space="preserve">RP-0069</t>
  </si>
  <si>
    <t xml:space="preserve">Making Lanka the Tamil way: a temple history at the crossroads of landscapes &amp; watersheds</t>
  </si>
  <si>
    <t xml:space="preserve">temple history; landscape</t>
  </si>
  <si>
    <t xml:space="preserve">https://www.academia.edu/47759409/Making_Lanka_the_Tamil_way_a_temple_history_at_the_crossroads_of_landscapes_and_watersheds</t>
  </si>
  <si>
    <t xml:space="preserve">RP-0070</t>
  </si>
  <si>
    <t xml:space="preserve">Recent Excavations and Survey at Jaffna Fort in 2017 and Reflections on the Antiquity of Indian Ocean Trade</t>
  </si>
  <si>
    <t xml:space="preserve">C. Davis et al.</t>
  </si>
  <si>
    <t xml:space="preserve">Durham Research Online</t>
  </si>
  <si>
    <t xml:space="preserve">excavation; Jaffna Fort; trade</t>
  </si>
  <si>
    <t xml:space="preserve">https://durham-repository.worktribe.com/output/1656993/recent-excavations-and-survey-at-jaffna-fort-in-2017-and-reflections-on-the-antiquity-of-indian-ocean-trade</t>
  </si>
  <si>
    <t xml:space="preserve">RP-0071</t>
  </si>
  <si>
    <t xml:space="preserve">The Impact of Tamil Language on Sinhala Inscriptions in Ancient Sri Lanka</t>
  </si>
  <si>
    <t xml:space="preserve">inscriptions; language contact</t>
  </si>
  <si>
    <t xml:space="preserve">https://rer.jfn.ac.lk/items/fc0f248b-470f-449c-a7c6-8b8ec38517f0</t>
  </si>
  <si>
    <t xml:space="preserve">RP-0072</t>
  </si>
  <si>
    <t xml:space="preserve">The Peopling of Sri Lanka from Prehistoric to Historic Times: Biological and Archaeological Evidence</t>
  </si>
  <si>
    <t xml:space="preserve">ResearchGate</t>
  </si>
  <si>
    <t xml:space="preserve">prehistory; archaeology</t>
  </si>
  <si>
    <t xml:space="preserve">https://www.researchgate.net/publication/301336596_The_Peopling_of_Sri_Lanka_from_Prehistoric_to_Historic_Times_Biological_and_Archaeological_Evidence</t>
  </si>
  <si>
    <t xml:space="preserve">RP-0073</t>
  </si>
  <si>
    <t xml:space="preserve">சிங்கள மன்னராட்சியில் சோழர்கால இந்துக்கோயில்களும், பண்பாடும் : பொலன்னறுவை இராசதானியை அடிப்படையாகக் கொண்ட ஆய்வு</t>
  </si>
  <si>
    <t xml:space="preserve">South Eastern University of Sri Lanka repository</t>
  </si>
  <si>
    <t xml:space="preserve">Thesis</t>
  </si>
  <si>
    <t xml:space="preserve">Chola; Polonnaruwa; temples</t>
  </si>
  <si>
    <t xml:space="preserve">https://dspace.lib.seu.ac.lk/items/2bce5ebf-dc84-4b9c-a7ed-ca9bf13f1e7a/full</t>
  </si>
  <si>
    <t xml:space="preserve">RP-0074</t>
  </si>
  <si>
    <t xml:space="preserve">வட இலங்கையின் தொல்லியல் மரபுரிமை சின்னங்களும், அவற்றின் முகாமைத்துவமும் (யாழ் குடாநாட்டினை அடிப்படையாகக் கொண்ட ஆய்வு)</t>
  </si>
  <si>
    <t xml:space="preserve">தொல்லியல்; heritage management</t>
  </si>
  <si>
    <t xml:space="preserve">https://dspace.lib.seu.ac.lk/items/d9c75f55-5065-4c9d-9c54-98ec1717f8d1</t>
  </si>
  <si>
    <t xml:space="preserve">NW-0001</t>
  </si>
  <si>
    <t xml:space="preserve">2026-01-13</t>
  </si>
  <si>
    <t xml:space="preserve">A Historian In Focus: The Dark Side Of S Pathmanathan</t>
  </si>
  <si>
    <t xml:space="preserve">Darshanie Ratnawalli</t>
  </si>
  <si>
    <t xml:space="preserve">Colombo Telegraph</t>
  </si>
  <si>
    <t xml:space="preserve">Opinion</t>
  </si>
  <si>
    <t xml:space="preserve">Brahmi; Pathmanathan; debate</t>
  </si>
  <si>
    <t xml:space="preserve">https://www.colombotelegraph.com/index.php/a-historian-in-focus-the-dark-side-of-s-pathmanathan/</t>
  </si>
  <si>
    <t xml:space="preserve">NW-0002</t>
  </si>
  <si>
    <t xml:space="preserve">2026-04-18</t>
  </si>
  <si>
    <t xml:space="preserve">New book by Tamil historian re-examines early Jaffna civilisation through inscriptions and archaeology</t>
  </si>
  <si>
    <t xml:space="preserve">Tamil Guardian</t>
  </si>
  <si>
    <t xml:space="preserve">News</t>
  </si>
  <si>
    <t xml:space="preserve">Pathmanathan; book launch; inscriptions</t>
  </si>
  <si>
    <t xml:space="preserve">NW-0003</t>
  </si>
  <si>
    <t xml:space="preserve">இலங்கையில் கண்டுபிடிக்கப்பட்ட நிலக்கீழ் நகரம்</t>
  </si>
  <si>
    <t xml:space="preserve">IBC Tamil</t>
  </si>
  <si>
    <t xml:space="preserve">தொல்லியல்; Polonnaruwa</t>
  </si>
  <si>
    <t xml:space="preserve">URL timestamp Feb 2024</t>
  </si>
  <si>
    <t xml:space="preserve">https://ibctamil.com/article/an-underground-city-discovered-in-polonnaruwa-sl-1708747886</t>
  </si>
  <si>
    <t xml:space="preserve">NW-0004</t>
  </si>
  <si>
    <t xml:space="preserve">2018-02-11</t>
  </si>
  <si>
    <t xml:space="preserve">Head to the East for a feast of archaeological sites</t>
  </si>
  <si>
    <t xml:space="preserve">Sunday Times (Sri Lanka)</t>
  </si>
  <si>
    <t xml:space="preserve">Feature</t>
  </si>
  <si>
    <t xml:space="preserve">archaeology; Eastern Province</t>
  </si>
  <si>
    <t xml:space="preserve">https://www.sundaytimes.lk/180211/plus/head-to-the-east-for-a-feast-of-archaeological-sites-281129.html</t>
  </si>
  <si>
    <t xml:space="preserve">NW-0005</t>
  </si>
  <si>
    <t xml:space="preserve">2017-01-04</t>
  </si>
  <si>
    <t xml:space="preserve">Standing the test of time</t>
  </si>
  <si>
    <t xml:space="preserve">Daily News (Sri Lanka)</t>
  </si>
  <si>
    <t xml:space="preserve">archaeology</t>
  </si>
  <si>
    <t xml:space="preserve">Relevance to verify</t>
  </si>
  <si>
    <t xml:space="preserve">https://archives1.dailynews.lk/2017/01/04/features/103659</t>
  </si>
  <si>
    <t xml:space="preserve">NW-0006</t>
  </si>
  <si>
    <t xml:space="preserve">2013-03-10</t>
  </si>
  <si>
    <t xml:space="preserve">(Rock painting feature)</t>
  </si>
  <si>
    <t xml:space="preserve">Sunday Observer</t>
  </si>
  <si>
    <t xml:space="preserve">rock paintings</t>
  </si>
  <si>
    <t xml:space="preserve">https://archives.sundayobserver.lk/2013/03/10/mon13.asp</t>
  </si>
  <si>
    <t xml:space="preserve">NW-0007</t>
  </si>
  <si>
    <t xml:space="preserve">2012-10-30</t>
  </si>
  <si>
    <t xml:space="preserve">Tamil went to Oman 20 centuries ago</t>
  </si>
  <si>
    <t xml:space="preserve">TamilNet</t>
  </si>
  <si>
    <t xml:space="preserve">Tamil Brahmi; overseas</t>
  </si>
  <si>
    <t xml:space="preserve">https://tamilnet.com/art.html?artid=35707&amp;catid=79</t>
  </si>
  <si>
    <t xml:space="preserve">NW-0008</t>
  </si>
  <si>
    <t xml:space="preserve">Would the heritage monuments which characterize our culture be considered during road development?</t>
  </si>
  <si>
    <t xml:space="preserve">Sunday Yarl Thinakkural</t>
  </si>
  <si>
    <t xml:space="preserve">NW-0009</t>
  </si>
  <si>
    <t xml:space="preserve">2011-02-15</t>
  </si>
  <si>
    <t xml:space="preserve">அழிந்த சிவன் கோயிலின் எச்சங்கள்</t>
  </si>
  <si>
    <t xml:space="preserve">Thinakaran</t>
  </si>
  <si>
    <t xml:space="preserve">தொல்லியல்; temple ruins</t>
  </si>
  <si>
    <t xml:space="preserve">https://archives.thinakaran.lk/2011/02/15/?fn=i1102155&amp;p=1</t>
  </si>
  <si>
    <t xml:space="preserve">NW-0010</t>
  </si>
  <si>
    <t xml:space="preserve">2010-06-27</t>
  </si>
  <si>
    <t xml:space="preserve">Tamil Brahmi inscription found in Tissamaharama</t>
  </si>
  <si>
    <t xml:space="preserve">Tamil Brahmi; Tissamaharama</t>
  </si>
  <si>
    <t xml:space="preserve">https://tamilnet.com/art.html?artid=32063&amp;catid=79</t>
  </si>
  <si>
    <t xml:space="preserve">NW-0011</t>
  </si>
  <si>
    <t xml:space="preserve">2010-07-28</t>
  </si>
  <si>
    <t xml:space="preserve">Tissamaharama potsherd evidences ordinary early Tamils among population</t>
  </si>
  <si>
    <t xml:space="preserve">Tamil Brahmi; potsherd</t>
  </si>
  <si>
    <t xml:space="preserve">https://www.tamilnet.com/art.html?artid=32303&amp;catid=79</t>
  </si>
  <si>
    <t xml:space="preserve">NW-0012</t>
  </si>
  <si>
    <t xml:space="preserve">2010-10-21</t>
  </si>
  <si>
    <t xml:space="preserve">Tissamaharama Tamil Brahmi inscription missing</t>
  </si>
  <si>
    <t xml:space="preserve">https://tamilnet.com/art.html?artid=32843&amp;catid=79</t>
  </si>
  <si>
    <t xml:space="preserve">NW-0013</t>
  </si>
  <si>
    <t xml:space="preserve">2010-10-23</t>
  </si>
  <si>
    <t xml:space="preserve">Millennium old Tamil inscription found in Trincomalee</t>
  </si>
  <si>
    <t xml:space="preserve">Tamil inscription; Trincomalee</t>
  </si>
  <si>
    <t xml:space="preserve">https://www.tamilnet.com/art.html?artid=32850&amp;catid=13</t>
  </si>
  <si>
    <t xml:space="preserve">NW-0014</t>
  </si>
  <si>
    <t xml:space="preserve">2000-04-23</t>
  </si>
  <si>
    <t xml:space="preserve">Coins of history</t>
  </si>
  <si>
    <t xml:space="preserve">D. C. Ranatunga</t>
  </si>
  <si>
    <t xml:space="preserve">Book review</t>
  </si>
  <si>
    <t xml:space="preserve">coins; Tissamaharama</t>
  </si>
  <si>
    <t xml:space="preserve">NW-0015</t>
  </si>
  <si>
    <t xml:space="preserve">2,000-year-old Tamil-Brahmi inscriptions discovered in Egypt's Valley of the Kings</t>
  </si>
  <si>
    <t xml:space="preserve">Context item (not Sri Lanka)</t>
  </si>
  <si>
    <t xml:space="preserve">https://www.tamilguardian.com/content/2000-year-old-tamil-brahmi-inscriptions-discovered-egypts-valley-kings</t>
  </si>
  <si>
    <t xml:space="preserve">NW-0016</t>
  </si>
  <si>
    <t xml:space="preserve">3,400 year old human remains discovered in Velanai, Jaffna</t>
  </si>
  <si>
    <t xml:space="preserve">archaeology; Velanai; megalithic</t>
  </si>
  <si>
    <t xml:space="preserve">https://www.tamilguardian.com/content/3400-year-old-human-remains-discovered-velanai-jaffna</t>
  </si>
  <si>
    <t xml:space="preserve">NW-0017</t>
  </si>
  <si>
    <t xml:space="preserve">Ancient Pandyan coins bring intrigue and dispute in Sri Lanka</t>
  </si>
  <si>
    <t xml:space="preserve">coins; Pandya</t>
  </si>
  <si>
    <t xml:space="preserve">https://www.tamilguardian.com/content/ancient-pandyan-coins-bring-intrigue-and-dispute-sri-lanka</t>
  </si>
  <si>
    <t xml:space="preserve">NW-0018</t>
  </si>
  <si>
    <t xml:space="preserve">Book Review: The Historian As Bridge</t>
  </si>
  <si>
    <t xml:space="preserve">Review</t>
  </si>
  <si>
    <t xml:space="preserve">book review</t>
  </si>
  <si>
    <t xml:space="preserve">https://www.colombotelegraph.com/index.php/book-review-the-historian-as-bridge/</t>
  </si>
  <si>
    <t xml:space="preserve">NW-0019</t>
  </si>
  <si>
    <t xml:space="preserve">C V Wigneswaran on Pathmanathan's book</t>
  </si>
  <si>
    <t xml:space="preserve">book review; Pathmanathan</t>
  </si>
  <si>
    <t xml:space="preserve">https://archives1.sundayobserver.lk/node/26758</t>
  </si>
  <si>
    <t xml:space="preserve">NW-0020</t>
  </si>
  <si>
    <t xml:space="preserve">Little known facets of Sri Lankan history: a Chola princess and the old name for Jaffna</t>
  </si>
  <si>
    <t xml:space="preserve">The Island</t>
  </si>
  <si>
    <t xml:space="preserve">Chola; Jaffna</t>
  </si>
  <si>
    <t xml:space="preserve">https://island.lk/little-known-facets-of-sri-lankan-historya-chola-princess-and-the-old-name-for-jaffna/</t>
  </si>
  <si>
    <t xml:space="preserve">NW-0021</t>
  </si>
  <si>
    <t xml:space="preserve">Reptiles in rock and time: unveiling Sri Lanka's ancient herpetological art</t>
  </si>
  <si>
    <t xml:space="preserve">rock art; பாறை ஓவியம்</t>
  </si>
  <si>
    <t xml:space="preserve">https://island.lk/reptiles-in-rock-and-time-unveiling-sri-lankas-ancient-herpetological-art/</t>
  </si>
  <si>
    <t xml:space="preserve">NW-0022</t>
  </si>
  <si>
    <t xml:space="preserve">Scripts in ancient Sri Lanka</t>
  </si>
  <si>
    <t xml:space="preserve">Brahmi; Tamil Brahmi</t>
  </si>
  <si>
    <t xml:space="preserve">https://archives1.sundayobserver.lk/node/44600</t>
  </si>
  <si>
    <t xml:space="preserve">NW-0023</t>
  </si>
  <si>
    <t xml:space="preserve">Sri Lanka threatens legal action over Hindu worship at Kurunthur Malai</t>
  </si>
  <si>
    <t xml:space="preserve">Kurunthurmalai; archaeology department</t>
  </si>
  <si>
    <t xml:space="preserve">https://www.tamilguardian.com/index.php/node/955066</t>
  </si>
  <si>
    <t xml:space="preserve">NW-0024</t>
  </si>
  <si>
    <t xml:space="preserve">Sri Lanka's Role In South Asia's Earliest Writing Controversy</t>
  </si>
  <si>
    <t xml:space="preserve">Brahmi; early writing</t>
  </si>
  <si>
    <t xml:space="preserve">https://www.colombotelegraph.com/index.php/sri-lankas-role-in-south-asias-earliest-writing-controversy/</t>
  </si>
  <si>
    <t xml:space="preserve">NW-0025</t>
  </si>
  <si>
    <t xml:space="preserve">Tamil civilisation - is it the oldest?</t>
  </si>
  <si>
    <t xml:space="preserve">archaeology debate</t>
  </si>
  <si>
    <t xml:space="preserve">https://www.tamilguardian.com/content/tamil-civilisation-it-oldest</t>
  </si>
  <si>
    <t xml:space="preserve">NW-0026</t>
  </si>
  <si>
    <t xml:space="preserve">The Tamils Are The Original Inhabitants Of Sri Lanka</t>
  </si>
  <si>
    <t xml:space="preserve">archaeology; history debate</t>
  </si>
  <si>
    <t xml:space="preserve">https://www.colombotelegraph.com/index.php/the-tamils-are-the-original-inhabitants-of-sri-lanka/</t>
  </si>
  <si>
    <t xml:space="preserve">NW-0027</t>
  </si>
  <si>
    <t xml:space="preserve">Trilingual inscription in Tamil, Chinese, and Persian recognised by UNESCO</t>
  </si>
  <si>
    <t xml:space="preserve">Galle trilingual inscription</t>
  </si>
  <si>
    <t xml:space="preserve">https://www.tamilguardian.com/index.php/content/trilingual-inscription-tamil-chinese-and-persian-recognised-unesco</t>
  </si>
  <si>
    <t xml:space="preserve">NW-0028</t>
  </si>
  <si>
    <t xml:space="preserve">இலங்கை தமிழர் வரலாறு பற்றி இதுவரை அறியப்படாத புதிய கல்வெட்டு கண்டுபிடிப்பு (Photos)</t>
  </si>
  <si>
    <t xml:space="preserve">Tamilwin</t>
  </si>
  <si>
    <t xml:space="preserve">கல்வெட்டு; Trincomalee</t>
  </si>
  <si>
    <t xml:space="preserve">URL timestamp suggests Nov 2021</t>
  </si>
  <si>
    <t xml:space="preserve">https://tamilwin.com/article/discovery-of-the-inscription-in-trincomalee-1637431493</t>
  </si>
  <si>
    <t xml:space="preserve">NW-0029</t>
  </si>
  <si>
    <t xml:space="preserve">இலங்கையில் 2300 ஆண்டுகளுக்கு முன்பு தமிழர்கள் வாழ்ந்தார்கள் என்பதை நிரூபிக்கும் ஐந்து பிராமிக் கல்வெட்டுக்கள்</t>
  </si>
  <si>
    <t xml:space="preserve">Thinakkural</t>
  </si>
  <si>
    <t xml:space="preserve">பிராமி; கல்வெட்டு</t>
  </si>
  <si>
    <t xml:space="preserve">https://thinakkural.lk/article/45056</t>
  </si>
  <si>
    <t xml:space="preserve">NW-0030</t>
  </si>
  <si>
    <t xml:space="preserve">கலிங்கமாகன் பற்றிய முக்கிய கல்வெட்டு: அண்மையில் கண்டறியப்பட்ட தமிழர் வரலாறு</t>
  </si>
  <si>
    <t xml:space="preserve">Tamil Mirror</t>
  </si>
  <si>
    <t xml:space="preserve">கல்வெட்டு; Kalinga Magha</t>
  </si>
  <si>
    <t xml:space="preserve">https://www.tamilmirror.lk/91-286936</t>
  </si>
  <si>
    <t xml:space="preserve">NW-0031</t>
  </si>
  <si>
    <t xml:space="preserve">யாழ்ப்பாண அரசுகால வரலாறு கூறும் சங்கிலியன் தோரண வாசல்</t>
  </si>
  <si>
    <t xml:space="preserve">Virakesari</t>
  </si>
  <si>
    <t xml:space="preserve">Jaffna kingdom; Sangiliyan; தொல்லியல்</t>
  </si>
  <si>
    <t xml:space="preserve">https://www.virakesari.lk/article/160191</t>
  </si>
  <si>
    <t xml:space="preserve">MG-0001</t>
  </si>
  <si>
    <t xml:space="preserve">2026-01-09</t>
  </si>
  <si>
    <t xml:space="preserve">மாந்தை: பண்டைய இலங்கையின் நெடுங்கடல் வர்த்தகத் துறைநகர்</t>
  </si>
  <si>
    <t xml:space="preserve">Siva Thiagarajah</t>
  </si>
  <si>
    <t xml:space="preserve">Ezhuna (எழுநா)</t>
  </si>
  <si>
    <t xml:space="preserve">Online magazine article</t>
  </si>
  <si>
    <t xml:space="preserve">தொல்லியல்; Mantai; port</t>
  </si>
  <si>
    <t xml:space="preserve">Series: Kantarodai civilization of ancient Jaffna</t>
  </si>
  <si>
    <t xml:space="preserve">https://www.ezhunaonline.com/manthai-the-seafaring-trading-center-of-ancient-sri-lanka/</t>
  </si>
  <si>
    <t xml:space="preserve">MG-0002</t>
  </si>
  <si>
    <t xml:space="preserve">2026-02-12</t>
  </si>
  <si>
    <t xml:space="preserve">பண்டைய யாழ்ப்பாணத்தில் புராதன சமய நடைமுறைகள் – பகுதி 2</t>
  </si>
  <si>
    <t xml:space="preserve">religion; Jaffna</t>
  </si>
  <si>
    <t xml:space="preserve">https://www.ezhunaonline.com/ancient-religious-practices-in-ancient-jaffna-part-2/</t>
  </si>
  <si>
    <t xml:space="preserve">MG-0003</t>
  </si>
  <si>
    <t xml:space="preserve">2026-03-13</t>
  </si>
  <si>
    <t xml:space="preserve">யாழ்ப்பாண பௌத்தம் கி.மு. 100 – கி.பி. 1200 – பகுதி 2</t>
  </si>
  <si>
    <t xml:space="preserve">Buddhism; Jaffna; archaeology</t>
  </si>
  <si>
    <t xml:space="preserve">https://www.ezhunaonline.com/jaffna-buddhism-100-bc-1200-ad-part-2/</t>
  </si>
  <si>
    <t xml:space="preserve">MG-0004</t>
  </si>
  <si>
    <t xml:space="preserve">2026-04-06</t>
  </si>
  <si>
    <t xml:space="preserve">கந்தரோடையிலும் வடஇலங்கையின் பிற இடங்களிலும் கண்ட ஆதிகால நாணயங்கள் – பகுதி 1</t>
  </si>
  <si>
    <t xml:space="preserve">coins; Kantarodai</t>
  </si>
  <si>
    <t xml:space="preserve">https://www.ezhunaonline.com/ancient-coins-found-in-kandy-and-northern-sri-lanka-part-1/</t>
  </si>
  <si>
    <t xml:space="preserve">MG-0005</t>
  </si>
  <si>
    <t xml:space="preserve">2026-04-09</t>
  </si>
  <si>
    <t xml:space="preserve">கந்தரோடையிலும் வடஇலங்கையின் பிற இடங்களிலும் கண்ட ஆதிகால நாணயங்கள் – பகுதி 2</t>
  </si>
  <si>
    <t xml:space="preserve">https://www.ezhunaonline.com/ancient-coins-found-in-kandy-and-northern-sri-lanka-part-2/</t>
  </si>
  <si>
    <t xml:space="preserve">MG-0006</t>
  </si>
  <si>
    <t xml:space="preserve">2026-05-19</t>
  </si>
  <si>
    <t xml:space="preserve">கந்தரோடை நாகரிகத்தின் தோற்றமும் படிமுறை வளர்ச்சியும் – பகுதி 4</t>
  </si>
  <si>
    <t xml:space="preserve">தொல்லியல்; Kantarodai</t>
  </si>
  <si>
    <t xml:space="preserve">https://www.ezhunaonline.com/origin-and-gradual-development-of-the-gandharoda-civilization-part-4/</t>
  </si>
  <si>
    <t xml:space="preserve">MG-0007</t>
  </si>
  <si>
    <t xml:space="preserve">2026-06-22</t>
  </si>
  <si>
    <t xml:space="preserve">இலங்கையின் மகாவம்ச வரலாற்றைப் புரட்டிப்போட்ட கந்தரோடைத் தொல்லியலும் ஆதி இரும்புக்காலம் பற்றிய அறிவியல் ஆய்வுகளும் – பகுதி 5</t>
  </si>
  <si>
    <t xml:space="preserve">தொல்லியல்; Kantarodai; Iron Age</t>
  </si>
  <si>
    <t xml:space="preserve">https://www.ezhunaonline.com/the-gandarodai-archaeological-site-and-scientific-studies-on-the-early-iron-age-that-overturned-the-mahavamsa-history-of-sri-lanka-part-5/</t>
  </si>
  <si>
    <t xml:space="preserve">MG-0008</t>
  </si>
  <si>
    <t xml:space="preserve">2025-01-11</t>
  </si>
  <si>
    <t xml:space="preserve">ஒச்சாப்பு கல்லு எனும் பண்டைய நாகர் குடியிருப்பு</t>
  </si>
  <si>
    <t xml:space="preserve">தொல்லியல்; Naga settlement; Ochappu Kallu</t>
  </si>
  <si>
    <t xml:space="preserve">Series: Naga people in Sri Lankan Brahmi inscriptions</t>
  </si>
  <si>
    <t xml:space="preserve">https://www.ezhunaonline.com/ochapu-kallu-is-an-ancient-nagar-settlement/</t>
  </si>
  <si>
    <t xml:space="preserve">MG-0009</t>
  </si>
  <si>
    <t xml:space="preserve">2025-01-24</t>
  </si>
  <si>
    <t xml:space="preserve">பிராமணன் திவக்கனின் தங்கத் திருமலையில் நாகர் பற்றிய கல்வெட்டு</t>
  </si>
  <si>
    <t xml:space="preserve">கல்வெட்டு; Naga</t>
  </si>
  <si>
    <t xml:space="preserve">https://www.ezhunaonline.com/inscription-about-nagar-on-thanga-tirumala-by-brahmin-divakan/</t>
  </si>
  <si>
    <t xml:space="preserve">MG-0010</t>
  </si>
  <si>
    <t xml:space="preserve">2025-01-30</t>
  </si>
  <si>
    <t xml:space="preserve">கழிகாமமலையின் எல்லையில்</t>
  </si>
  <si>
    <t xml:space="preserve">Vivekanantharaja Thulanchanan</t>
  </si>
  <si>
    <t xml:space="preserve">East coast; history</t>
  </si>
  <si>
    <t xml:space="preserve">Series: East coast of Sri Lanka - a historical perspective</t>
  </si>
  <si>
    <t xml:space="preserve">https://www.ezhunaonline.com/on-the-border-of-ghazigamalai/</t>
  </si>
  <si>
    <t xml:space="preserve">MG-0011</t>
  </si>
  <si>
    <t xml:space="preserve">2025-02-09</t>
  </si>
  <si>
    <t xml:space="preserve">அரிட்ட பர்வத மலை எனும் ரிட்டிகல மலையில் காணப்படும் நாகர் பற்றிய கல்வெட்டுகள்</t>
  </si>
  <si>
    <t xml:space="preserve">கல்வெட்டு; Naga; Ritigala</t>
  </si>
  <si>
    <t xml:space="preserve">https://www.ezhunaonline.com/inscriptions-about-nagar-found-on-rittikala-hill-arita-parvata-hill/</t>
  </si>
  <si>
    <t xml:space="preserve">MG-0012</t>
  </si>
  <si>
    <t xml:space="preserve">2025-02-22</t>
  </si>
  <si>
    <t xml:space="preserve">ரிதி விகாரை மலையில் நாக மகாராஜன் பற்றிய கல்வெட்டு</t>
  </si>
  <si>
    <t xml:space="preserve">https://www.ezhunaonline.com/inscription-of-naga-maharaja-on-rithi-viharai-hill/</t>
  </si>
  <si>
    <t xml:space="preserve">MG-0013</t>
  </si>
  <si>
    <t xml:space="preserve">2025-02-25</t>
  </si>
  <si>
    <t xml:space="preserve">பண்டைய யாழ்ப்பாணத்தின் கந்தரோடை நாகரிகம்</t>
  </si>
  <si>
    <t xml:space="preserve">https://www.ezhunaonline.com/gandharoda-civilization-of-ancient-jaffna/</t>
  </si>
  <si>
    <t xml:space="preserve">MG-0014</t>
  </si>
  <si>
    <t xml:space="preserve">2025-03-05</t>
  </si>
  <si>
    <t xml:space="preserve">யாழ்ப்பாணத்தின் நிலவியல், நில அமைப்பியல், ஆதிக் குடியிருப்புகள்</t>
  </si>
  <si>
    <t xml:space="preserve">settlements; Jaffna</t>
  </si>
  <si>
    <t xml:space="preserve">https://www.ezhunaonline.com/geology-topography-and-ancient-settlements-of-jaffna/</t>
  </si>
  <si>
    <t xml:space="preserve">MG-0015</t>
  </si>
  <si>
    <t xml:space="preserve">2025-03-11</t>
  </si>
  <si>
    <t xml:space="preserve">2000 ஆண்டுகளுக்கு முன்பு சித்தர்கள் வாழ்ந்த ஆண்டியாகல மலைக் கல்வெட்டு</t>
  </si>
  <si>
    <t xml:space="preserve">கல்வெட்டு; Andiyagala</t>
  </si>
  <si>
    <t xml:space="preserve">https://www.ezhunaonline.com/andiyagala-hill-inscription-where-siddhas-lived-2000-years-ago/</t>
  </si>
  <si>
    <t xml:space="preserve">MG-0016</t>
  </si>
  <si>
    <t xml:space="preserve">2025-03-30</t>
  </si>
  <si>
    <t xml:space="preserve">நாக குலத்தவர் பற்றிக் கூறும் ஹிபவுவ கல்வெட்டு</t>
  </si>
  <si>
    <t xml:space="preserve">கல்வெட்டு; Naga; Hibauwa</t>
  </si>
  <si>
    <t xml:space="preserve">https://www.ezhunaonline.com/hibauwa-inscription-about-the-naga-clan/</t>
  </si>
  <si>
    <t xml:space="preserve">MG-0017</t>
  </si>
  <si>
    <t xml:space="preserve">2025-04-10</t>
  </si>
  <si>
    <t xml:space="preserve">வரலாறு மற்றும் இலக்கியப் பதிவுகளில் நாகநாடும் நாகர்களும் – பகுதி 2</t>
  </si>
  <si>
    <t xml:space="preserve">Naga; Naganadu</t>
  </si>
  <si>
    <t xml:space="preserve">https://www.ezhunaonline.com/nagaland-and-the-nagas-in-history-and-literary-records-part-2/</t>
  </si>
  <si>
    <t xml:space="preserve">MG-0018</t>
  </si>
  <si>
    <t xml:space="preserve">2025-05-05</t>
  </si>
  <si>
    <t xml:space="preserve">தொல்பொருட்களின் தேதிக்கணிப்புகள் (The Dating of Archaeological Artefacts)</t>
  </si>
  <si>
    <t xml:space="preserve">தொல்லியல்; dating</t>
  </si>
  <si>
    <t xml:space="preserve">https://www.ezhunaonline.com/the-dating-of-archaeological-artefacts/</t>
  </si>
  <si>
    <t xml:space="preserve">MG-0019</t>
  </si>
  <si>
    <t xml:space="preserve">2025-06-13</t>
  </si>
  <si>
    <t xml:space="preserve">கந்தரோடைத் தொல்லியல் (Archaeology of Kantarodai) – பகுதி 3</t>
  </si>
  <si>
    <t xml:space="preserve">https://www.ezhunaonline.com/archaeology-of-kantarodai-part-3/</t>
  </si>
  <si>
    <t xml:space="preserve">MG-0020</t>
  </si>
  <si>
    <t xml:space="preserve">2025-07-11</t>
  </si>
  <si>
    <t xml:space="preserve">ஆனைக்கோட்டைத் தொல்லியலாய்வு</t>
  </si>
  <si>
    <t xml:space="preserve">தொல்லியல்; Anaikoddai; seal</t>
  </si>
  <si>
    <t xml:space="preserve">https://www.ezhunaonline.com/anaikottai-archaeological-survey/</t>
  </si>
  <si>
    <t xml:space="preserve">MG-0021</t>
  </si>
  <si>
    <t xml:space="preserve">2025-07-14</t>
  </si>
  <si>
    <t xml:space="preserve">மன்னன் நாகன் பற்றிக் கூறும் கள்ளஞ்சிய பாறைக் கல்வெட்டு</t>
  </si>
  <si>
    <t xml:space="preserve">கல்வெட்டு; Naga; Kallanchiya</t>
  </si>
  <si>
    <t xml:space="preserve">https://www.ezhunaonline.com/the-kallanchiya-rock-inscription-tells-of-king-nagan/</t>
  </si>
  <si>
    <t xml:space="preserve">MG-0022</t>
  </si>
  <si>
    <t xml:space="preserve">2025-08-25</t>
  </si>
  <si>
    <t xml:space="preserve">யாழ்ப்பாணப் பட்டினம்: பொங்கொலிநீர்ச் சிங்கைநகர் – பகுதி 2</t>
  </si>
  <si>
    <t xml:space="preserve">Singai Nagar; Jaffna</t>
  </si>
  <si>
    <t xml:space="preserve">https://www.ezhunaonline.com/jaffna-city-pongoli-water-lion-city-part-2/</t>
  </si>
  <si>
    <t xml:space="preserve">MG-0023</t>
  </si>
  <si>
    <t xml:space="preserve">2025-09-04</t>
  </si>
  <si>
    <t xml:space="preserve">வல்லிபுரமும் நாகர்கோயிலும்</t>
  </si>
  <si>
    <t xml:space="preserve">தொல்லியல்; Vallipuram</t>
  </si>
  <si>
    <t xml:space="preserve">https://www.ezhunaonline.com/vallipuram-and-nagercoil/</t>
  </si>
  <si>
    <t xml:space="preserve">MG-0024</t>
  </si>
  <si>
    <t xml:space="preserve">2025-10-10</t>
  </si>
  <si>
    <t xml:space="preserve">யாழ்ப்பாணத் தீபகற்பத்திற்குச் சமீபத்திலுள்ள ஆதிக்குடியேற்றங்கள்</t>
  </si>
  <si>
    <t xml:space="preserve">தொல்லியல்; settlements</t>
  </si>
  <si>
    <t xml:space="preserve">https://www.ezhunaonline.com/early-settlements-near-the-jaffna-peninsula/</t>
  </si>
  <si>
    <t xml:space="preserve">MG-0025</t>
  </si>
  <si>
    <t xml:space="preserve">2025-11-06</t>
  </si>
  <si>
    <t xml:space="preserve">வட இலங்கைப் பெருநிலத்தில் ஆதிமனிதக் குடியேற்றங்கள்</t>
  </si>
  <si>
    <t xml:space="preserve">தொல்லியல்; prehistoric settlements</t>
  </si>
  <si>
    <t xml:space="preserve">https://www.ezhunaonline.com/primitive-settlements-in-the-northern-mainland-of-sri-lanka/</t>
  </si>
  <si>
    <t xml:space="preserve">MG-0026</t>
  </si>
  <si>
    <t xml:space="preserve">2025-12-18</t>
  </si>
  <si>
    <t xml:space="preserve">இலங்கையில் ஆதி இரும்புக்காலமும் பெருங்கற் பண்பாடும் – பகுதி 3</t>
  </si>
  <si>
    <t xml:space="preserve">megalithic; Iron Age</t>
  </si>
  <si>
    <t xml:space="preserve">https://www.ezhunaonline.com/early-iron-age-and-neolithic-culture-in-sri-lanka-part-3/</t>
  </si>
  <si>
    <t xml:space="preserve">MG-0027</t>
  </si>
  <si>
    <t xml:space="preserve">2024-01-26</t>
  </si>
  <si>
    <t xml:space="preserve">கீழைக்கரையில் நாகரும் அனுரை அரசரும்</t>
  </si>
  <si>
    <t xml:space="preserve">Naga; East coast</t>
  </si>
  <si>
    <t xml:space="preserve">https://www.ezhunaonline.com/history-of-naga-and-anuradhapura-kings-in-eastern-srilanka/</t>
  </si>
  <si>
    <t xml:space="preserve">MG-0028</t>
  </si>
  <si>
    <t xml:space="preserve">2024-02-21</t>
  </si>
  <si>
    <t xml:space="preserve">கீழைக்கரையின் முதல் அரசு : பத்து உடன்பிறந்தோர் குலம்!</t>
  </si>
  <si>
    <t xml:space="preserve">East coast; Brahmi inscriptions</t>
  </si>
  <si>
    <t xml:space="preserve">https://www.ezhunaonline.com/the-first-ten-clans-of-eastern-sri-lanka/</t>
  </si>
  <si>
    <t xml:space="preserve">MG-0029</t>
  </si>
  <si>
    <t xml:space="preserve">2024-02-28</t>
  </si>
  <si>
    <t xml:space="preserve">2000 ஆண்டுகளுக்கு முற்பட்ட பிராமிக் கல்வெட்டுகள் : ஓர் அறிமுகம் – பகுதி 1</t>
  </si>
  <si>
    <t xml:space="preserve">பிராமி; introduction</t>
  </si>
  <si>
    <t xml:space="preserve">https://www.ezhunaonline.com/an-introduction-to-brahmi-inscriptions-in-sri-lanka/</t>
  </si>
  <si>
    <t xml:space="preserve">MG-0030</t>
  </si>
  <si>
    <t xml:space="preserve">2024-03-19</t>
  </si>
  <si>
    <t xml:space="preserve">நாகசேனன் பற்றிக் குறிப்பிடும் சித்துள்பவ்வ கல்வெட்டுகள்</t>
  </si>
  <si>
    <t xml:space="preserve">கல்வெட்டு; Situlpahuwa</t>
  </si>
  <si>
    <t xml:space="preserve">https://www.ezhunaonline.com/tamil-brahmi-inscription-in-ambanthotta-2/</t>
  </si>
  <si>
    <t xml:space="preserve">MG-0031</t>
  </si>
  <si>
    <t xml:space="preserve">2024-03-22</t>
  </si>
  <si>
    <t xml:space="preserve">கீழைக்கரை : துட்டகாமணி முதல் வட்டகாமணி வரை</t>
  </si>
  <si>
    <t xml:space="preserve">https://www.ezhunaonline.com/from-vattagamini-to-vattagamini/</t>
  </si>
  <si>
    <t xml:space="preserve">MG-0032</t>
  </si>
  <si>
    <t xml:space="preserve">2024-04-12</t>
  </si>
  <si>
    <t xml:space="preserve">வடக்கு மாகாணத்தில் நாகர்</t>
  </si>
  <si>
    <t xml:space="preserve">Naga; Northern Province</t>
  </si>
  <si>
    <t xml:space="preserve">https://www.ezhunaonline.com/history-of-nagar-in-northern-sri-lanka/</t>
  </si>
  <si>
    <t xml:space="preserve">MG-0033</t>
  </si>
  <si>
    <t xml:space="preserve">2024-04-15</t>
  </si>
  <si>
    <t xml:space="preserve">மகாசேனன் காலம் வரை கிழக்கு உரோகணம்</t>
  </si>
  <si>
    <t xml:space="preserve">East coast; Ruhuna</t>
  </si>
  <si>
    <t xml:space="preserve">https://www.ezhunaonline.com/eastern-ruhunu-until-the-period-of-mahasenan/</t>
  </si>
  <si>
    <t xml:space="preserve">MG-0034</t>
  </si>
  <si>
    <t xml:space="preserve">2024-04-25</t>
  </si>
  <si>
    <t xml:space="preserve">மிகுந்தலையில் நாக வழிபாடும், நாகர் பற்றிய பிராமிக் கல்வெட்டுகளும்</t>
  </si>
  <si>
    <t xml:space="preserve">பிராமி; Mihintale</t>
  </si>
  <si>
    <t xml:space="preserve">https://www.ezhunaonline.com/naga-culture-in-mihintala-anuradhapura/</t>
  </si>
  <si>
    <t xml:space="preserve">MG-0035</t>
  </si>
  <si>
    <t xml:space="preserve">2024-05-09</t>
  </si>
  <si>
    <t xml:space="preserve">நாக யுவராஜனின் தவறான சமய நம்பிக்கை பற்றிக் குறிப்பிடும் திஸ்ஸமகராம கல்வெட்டு</t>
  </si>
  <si>
    <t xml:space="preserve">கல்வெட்டு; Tissamaharama</t>
  </si>
  <si>
    <t xml:space="preserve">https://www.ezhunaonline.com/thissamaharama-inscription/</t>
  </si>
  <si>
    <t xml:space="preserve">MG-0036</t>
  </si>
  <si>
    <t xml:space="preserve">2024-05-28</t>
  </si>
  <si>
    <t xml:space="preserve">பிதுரங்கல பிராமிக் கல்வெட்டுகளில் நாகர்</t>
  </si>
  <si>
    <t xml:space="preserve">பிராமி; Pidurangala</t>
  </si>
  <si>
    <t xml:space="preserve">https://www.ezhunaonline.com/pidurangala-bhirami-inscription/</t>
  </si>
  <si>
    <t xml:space="preserve">MG-0037</t>
  </si>
  <si>
    <t xml:space="preserve">2024-06-02</t>
  </si>
  <si>
    <t xml:space="preserve">மண்முனையில் பற்சின்னம் கொணர்ந்தவளும் மல்வத்தையில் புத்தர் சிலை அமைத்தவனும்</t>
  </si>
  <si>
    <t xml:space="preserve">https://www.ezhunaonline.com/sri-lanka-eastern-province-ancient-history/</t>
  </si>
  <si>
    <t xml:space="preserve">MG-0038</t>
  </si>
  <si>
    <t xml:space="preserve">2024-06-27</t>
  </si>
  <si>
    <t xml:space="preserve">பொற்கொல்லன் நாகன் பற்றிக் கூறும் அனுராதபுரம் – வெஸ்ஸகிரி கல்வெட்டுகள்</t>
  </si>
  <si>
    <t xml:space="preserve">கல்வெட்டு; Vessagiri; Anuradhapura</t>
  </si>
  <si>
    <t xml:space="preserve">https://www.ezhunaonline.com/vessagiriya-inscription-that-tells-about-naga-blacksmith/</t>
  </si>
  <si>
    <t xml:space="preserve">MG-0039</t>
  </si>
  <si>
    <t xml:space="preserve">2024-06-28</t>
  </si>
  <si>
    <t xml:space="preserve">அக்கபோதியின் மனைவி : அக்கபோதி கவர்ந்து சென்ற அக்கபோதியின் மகள்</t>
  </si>
  <si>
    <t xml:space="preserve">https://www.ezhunaonline.com/the-wife-of-akkapothi-sri-lankan-eastern-history/</t>
  </si>
  <si>
    <t xml:space="preserve">MG-0040</t>
  </si>
  <si>
    <t xml:space="preserve">2024-07-14</t>
  </si>
  <si>
    <t xml:space="preserve">தமிழ் மன்னன் திரிதரனின் மகன் மகாநாகன் பொறித்த கதிர்காமக் கல்வெட்டு</t>
  </si>
  <si>
    <t xml:space="preserve">கல்வெட்டு; Kataragama</t>
  </si>
  <si>
    <t xml:space="preserve">https://www.ezhunaonline.com/kathirgamam-inscription-by-tamil-king-maha-nagan/</t>
  </si>
  <si>
    <t xml:space="preserve">MG-0041</t>
  </si>
  <si>
    <t xml:space="preserve">2024-07-29</t>
  </si>
  <si>
    <t xml:space="preserve">சித்தர் மலைப்பகுதியில் நாக மகாராஜன் செய்த பணிகள் பற்றிக் குறிப்பிடும் கல்வெட்டு</t>
  </si>
  <si>
    <t xml:space="preserve">கல்வெட்டு; Siththar malai</t>
  </si>
  <si>
    <t xml:space="preserve">https://www.ezhunaonline.com/siththar-rock-inscription-which-tell-about-maharajan/</t>
  </si>
  <si>
    <t xml:space="preserve">MG-0042</t>
  </si>
  <si>
    <t xml:space="preserve">2024-07-30</t>
  </si>
  <si>
    <t xml:space="preserve">இறக்காமம் : அனுராதபுரச் சேனாதிபதி அரக்கனுக்காக வரி விலக்கப்பட்ட ஊர்</t>
  </si>
  <si>
    <t xml:space="preserve">கல்வெட்டு; Irakkamam</t>
  </si>
  <si>
    <t xml:space="preserve">https://www.ezhunaonline.com/irakkamam-a-tax-free-village-for-anuradhapura-commander/</t>
  </si>
  <si>
    <t xml:space="preserve">MG-0043</t>
  </si>
  <si>
    <t xml:space="preserve">2024-08-13</t>
  </si>
  <si>
    <t xml:space="preserve">நாகசிவன், நாகவிய, நாகப்ப சவிய ஆகியவை பற்றிக் குறிப்பிடும் பண்டகிரிய கல்வெட்டு</t>
  </si>
  <si>
    <t xml:space="preserve">கல்வெட்டு; Pandagiriya</t>
  </si>
  <si>
    <t xml:space="preserve">https://www.ezhunaonline.com/pandakiriya-inscription/</t>
  </si>
  <si>
    <t xml:space="preserve">MG-0044</t>
  </si>
  <si>
    <t xml:space="preserve">2024-08-23</t>
  </si>
  <si>
    <t xml:space="preserve">யுவராஜன் நாகனின் கொள்ளுப் பேரன் இளவரசன் நாகன் பற்றிக் குறிப்பிடும் படர்கல் மலைக் கல்வெட்டு</t>
  </si>
  <si>
    <t xml:space="preserve">கல்வெட்டு; Padarkal malai</t>
  </si>
  <si>
    <t xml:space="preserve">https://www.ezhunaonline.com/padarkal-malai-inscrption/</t>
  </si>
  <si>
    <t xml:space="preserve">MG-0045</t>
  </si>
  <si>
    <t xml:space="preserve">2024-09-11</t>
  </si>
  <si>
    <t xml:space="preserve">மகா நாக மன்னன் பற்றிக் குறிப்பிடும் வேலோடும் மலை – நாகமலைக் கல்வெட்டு</t>
  </si>
  <si>
    <t xml:space="preserve">கல்வெட்டு; Velodum malai</t>
  </si>
  <si>
    <t xml:space="preserve">https://www.ezhunaonline.com/velodum-malai-nagamalai-inscription-mentions-maha-naga-king/</t>
  </si>
  <si>
    <t xml:space="preserve">MG-0046</t>
  </si>
  <si>
    <t xml:space="preserve">2024-09-22</t>
  </si>
  <si>
    <t xml:space="preserve">நாகபர்வத மலை எனும் பம்பரகஸ்தலாவ மலையில் நாகர் பற்றிய கல்வெட்டுகள்</t>
  </si>
  <si>
    <t xml:space="preserve">கல்வெட்டு; Bambaragastalawa</t>
  </si>
  <si>
    <t xml:space="preserve">https://www.ezhunaonline.com/inscriptions-about-nagar-on-pambarakasthalava-hill-nagaparvata-hill/</t>
  </si>
  <si>
    <t xml:space="preserve">MG-0047</t>
  </si>
  <si>
    <t xml:space="preserve">2024-10-15</t>
  </si>
  <si>
    <t xml:space="preserve">நாக மன்னன் பற்றியும், நாகக் கால்வாய் பற்றியும் குறிப்பிடும் இலங்கைத்துறை, கல்லடி நீலியம்மன் மலைக் கல்வெட்டுகள்</t>
  </si>
  <si>
    <t xml:space="preserve">கல்வெட்டு; Ilankaithurai; Trincomalee</t>
  </si>
  <si>
    <t xml:space="preserve">https://www.ezhunaonline.com/kalladi-niliyamman-hill-inscriptions-sri-lanka-mentions-the-naga-king-and-the-naga-canal/</t>
  </si>
  <si>
    <t xml:space="preserve">MG-0048</t>
  </si>
  <si>
    <t xml:space="preserve">2024-10-27</t>
  </si>
  <si>
    <t xml:space="preserve">நாகர் பற்றிக் குறிப்பிடும் ரஜகல எனும் ராசமலைக் கல்வெட்டுகள்</t>
  </si>
  <si>
    <t xml:space="preserve">கல்வெட்டு; Rajagala</t>
  </si>
  <si>
    <t xml:space="preserve">https://www.ezhunaonline.com/the-rajagala-inscriptions-refer-to-nagar/</t>
  </si>
  <si>
    <t xml:space="preserve">MG-0049</t>
  </si>
  <si>
    <t xml:space="preserve">2024-11-14</t>
  </si>
  <si>
    <t xml:space="preserve">கிராம அதிகாரி நாகன் பற்றிக் குறிப்பிடும் குடும்பிகல மலைக் கல்வெட்டு</t>
  </si>
  <si>
    <t xml:space="preserve">கல்வெட்டு; Kudumbigala</t>
  </si>
  <si>
    <t xml:space="preserve">https://www.ezhunaonline.com/the-kudumbigala-hill-inscription-mentions-the-village-officer-nagan/</t>
  </si>
  <si>
    <t xml:space="preserve">MG-0050</t>
  </si>
  <si>
    <t xml:space="preserve">2024-11-15</t>
  </si>
  <si>
    <t xml:space="preserve">கீழைக்கரையில் சோழர்</t>
  </si>
  <si>
    <t xml:space="preserve">Chola; East coast; inscriptions</t>
  </si>
  <si>
    <t xml:space="preserve">https://www.ezhunaonline.com/chola-in-keekhagarai/</t>
  </si>
  <si>
    <t xml:space="preserve">MG-0051</t>
  </si>
  <si>
    <t xml:space="preserve">2024-11-28</t>
  </si>
  <si>
    <t xml:space="preserve">நாகர் பற்றிக் குறிப்பிடும் முத்துக்கல் மலைக் கல்வெட்டுகள்</t>
  </si>
  <si>
    <t xml:space="preserve">கல்வெட்டு; Naga; Muthukal</t>
  </si>
  <si>
    <t xml:space="preserve">https://www.ezhunaonline.com/muthukal-hill-inscriptions-mention-nagar/</t>
  </si>
  <si>
    <t xml:space="preserve">MG-0052</t>
  </si>
  <si>
    <t xml:space="preserve">2024-12-11</t>
  </si>
  <si>
    <t xml:space="preserve">கிழக்கிலங்கையின் துணை அரசன் சோணையன், அவனின் மகன் அமைச்சர் தேவநாகன் ஆகியோர் பற்றிய காயங்குடா – கூமாச்சோலை கல்வெட்டு</t>
  </si>
  <si>
    <t xml:space="preserve">கல்வெட்டு; Kayankudah; Batticaloa</t>
  </si>
  <si>
    <t xml:space="preserve">https://www.ezhunaonline.com/kayanguda-kumacholai-inscription-of-eastern-ceylon-viceroy/</t>
  </si>
  <si>
    <t xml:space="preserve">MG-0053</t>
  </si>
  <si>
    <t xml:space="preserve">2024-12-27</t>
  </si>
  <si>
    <t xml:space="preserve">நாகர் பற்றிக் குறிப்பிடும் ஹந்தகல பிராமிக் கல்வெட்டுகள்</t>
  </si>
  <si>
    <t xml:space="preserve">பிராமி; கல்வெட்டு; Handagala</t>
  </si>
  <si>
    <t xml:space="preserve">https://www.ezhunaonline.com/handagala-brahmic-inscriptions-refer-to-nagar/</t>
  </si>
  <si>
    <t xml:space="preserve">MG-0054</t>
  </si>
  <si>
    <t xml:space="preserve">2023-01-13</t>
  </si>
  <si>
    <t xml:space="preserve">தமிழர் பற்றிக் குறிப்பிடும் பிற்காலக் கல்வெட்டுக்கள் (சோழர் காலத்திற்கு முன்பு)</t>
  </si>
  <si>
    <t xml:space="preserve">கல்வெட்டு; pre-Chola</t>
  </si>
  <si>
    <t xml:space="preserve">Series: Tamils in Brahmi &amp; Sinhala inscriptions</t>
  </si>
  <si>
    <t xml:space="preserve">https://www.ezhunaonline.com/later-inscriptions-refer-to-tamils/</t>
  </si>
  <si>
    <t xml:space="preserve">MG-0055</t>
  </si>
  <si>
    <t xml:space="preserve">2023-02-16</t>
  </si>
  <si>
    <t xml:space="preserve">தமிழ் அதிகாரி மகாசாத்தான் பற்றி குறிப்பிடும் தாமரவெவ தூண் கல்வெட்டு</t>
  </si>
  <si>
    <t xml:space="preserve">கல்வெட்டு; Tamaravewa pillar</t>
  </si>
  <si>
    <t xml:space="preserve">https://www.ezhunaonline.com/tamaraveva-pillar-inscription-referring-to-the-tamil-official-mahasathan/</t>
  </si>
  <si>
    <t xml:space="preserve">MG-0056</t>
  </si>
  <si>
    <t xml:space="preserve">2023-03-10</t>
  </si>
  <si>
    <t xml:space="preserve">தமிழர்களுக்கு மாகாண தலைப்பட்டினத்தைக் கொடுக்கக் கூடாது எனக் குறிப்பிடும் பதுளைக் கல்வெட்டு</t>
  </si>
  <si>
    <t xml:space="preserve">கல்வெட்டு; Badulla pillar</t>
  </si>
  <si>
    <t xml:space="preserve">https://www.ezhunaonline.com/badulla-inscription/</t>
  </si>
  <si>
    <t xml:space="preserve">MG-0057</t>
  </si>
  <si>
    <t xml:space="preserve">2023-04-04</t>
  </si>
  <si>
    <t xml:space="preserve">தமிழர் கிராமங்கள் மற்றும் காணிகள் பற்றிக் கூறும் அநுராதபுரம் கல் தோணிக் கல்வெட்டு</t>
  </si>
  <si>
    <t xml:space="preserve">கல்வெட்டு; Anuradhapura</t>
  </si>
  <si>
    <t xml:space="preserve">https://www.ezhunaonline.com/anuradhapura-inscription/</t>
  </si>
  <si>
    <t xml:space="preserve">MG-0058</t>
  </si>
  <si>
    <t xml:space="preserve">2023-04-15</t>
  </si>
  <si>
    <t xml:space="preserve">பிரித்தெடுக்கப்பட்ட தமிழரின் நிலம் பற்றிக் கூறும் ரன்கொத் விகாரை கல்வெட்டு</t>
  </si>
  <si>
    <t xml:space="preserve">கல்வெட்டு; Rankoth Vihara</t>
  </si>
  <si>
    <t xml:space="preserve">https://www.ezhunaonline.com/rankoth-viharai-inscription/</t>
  </si>
  <si>
    <t xml:space="preserve">MG-0059</t>
  </si>
  <si>
    <t xml:space="preserve">2023-04-22</t>
  </si>
  <si>
    <t xml:space="preserve">தமிழரின் பெளத்தப் பள்ளி பற்றிக் கூறும் வெஸ்ஸகிரி கற்பலகைக் கல்வெட்டு</t>
  </si>
  <si>
    <t xml:space="preserve">கல்வெட்டு; Vessagiri</t>
  </si>
  <si>
    <t xml:space="preserve">https://www.ezhunaonline.com/wessagiri-inscription/</t>
  </si>
  <si>
    <t xml:space="preserve">MG-0060</t>
  </si>
  <si>
    <t xml:space="preserve">2023-04-25</t>
  </si>
  <si>
    <t xml:space="preserve">கீழைக்கரைக்கான எழுத்துச் சான்றுகள் : நாடுகாட்டுப் பரவணிக் கல்வெட்டு III</t>
  </si>
  <si>
    <t xml:space="preserve">கல்வெட்டு; Nadukadu Paravani</t>
  </si>
  <si>
    <t xml:space="preserve">https://www.ezhunaonline.com/keekhakarai-paravani-inscriptioniii/</t>
  </si>
  <si>
    <t xml:space="preserve">MG-0061</t>
  </si>
  <si>
    <t xml:space="preserve">2023-08-31</t>
  </si>
  <si>
    <t xml:space="preserve">கீழைக்கரைக்கான எழுத்துச் சான்றுகள் : மட்டக்களப்புப் பூர்வ சரித்திரம் III</t>
  </si>
  <si>
    <t xml:space="preserve">Batticaloa; sources</t>
  </si>
  <si>
    <t xml:space="preserve">https://www.ezhunaonline.com/batticaloa-history-iii/</t>
  </si>
  <si>
    <t xml:space="preserve">MG-0062</t>
  </si>
  <si>
    <t xml:space="preserve">2023-10-20</t>
  </si>
  <si>
    <t xml:space="preserve">கீழைக்கரைக்கான வேறு தொன்மச் சான்றுகள் II</t>
  </si>
  <si>
    <t xml:space="preserve">Batticaloa; myths</t>
  </si>
  <si>
    <t xml:space="preserve">https://www.ezhunaonline.com/the-other-myths-of-batticaloa-2/</t>
  </si>
  <si>
    <t xml:space="preserve">MG-0063</t>
  </si>
  <si>
    <t xml:space="preserve">2023-11-22</t>
  </si>
  <si>
    <t xml:space="preserve">வரலாற்றுக்கு முற்பட்ட இலங்கை</t>
  </si>
  <si>
    <t xml:space="preserve">prehistory</t>
  </si>
  <si>
    <t xml:space="preserve">https://www.ezhunaonline.com/timeline-of-sri-lankan-pre-history/</t>
  </si>
  <si>
    <t xml:space="preserve">MG-0064</t>
  </si>
  <si>
    <t xml:space="preserve">2023-12-31</t>
  </si>
  <si>
    <t xml:space="preserve">இயக்கர் அல்லது பத்தர் : இலங்கை வரலாற்றுக் காலத்தின் துவக்கம்</t>
  </si>
  <si>
    <t xml:space="preserve">early history</t>
  </si>
  <si>
    <t xml:space="preserve">https://www.ezhunaonline.com/the-initial-stage-of-sri-lankan-history-period/</t>
  </si>
  <si>
    <t xml:space="preserve">MG-0065</t>
  </si>
  <si>
    <t xml:space="preserve">2022-09-28</t>
  </si>
  <si>
    <t xml:space="preserve">இலங்கையில் தமிழர் பற்றிய பிராமிக் கல்வெட்டுக்கள் – ஓர் அறிமுகம்</t>
  </si>
  <si>
    <t xml:space="preserve">பிராமி; கல்வெட்டு; introduction</t>
  </si>
  <si>
    <t xml:space="preserve">https://www.ezhunaonline.com/brahmic-inscriptions-on-tamils-in-ceylon-an-introduction/</t>
  </si>
  <si>
    <t xml:space="preserve">MG-0066</t>
  </si>
  <si>
    <t xml:space="preserve">2022-10-10</t>
  </si>
  <si>
    <t xml:space="preserve">தமிழர் தொடர்பாக பலரும் அறிந்திருந்த 5 பிராமிக் கல்வெட்டுக்கள்</t>
  </si>
  <si>
    <t xml:space="preserve">https://www.ezhunaonline.com/5brahmic-in-icriptions-tamils/</t>
  </si>
  <si>
    <t xml:space="preserve">MG-0067</t>
  </si>
  <si>
    <t xml:space="preserve">2022-11-07</t>
  </si>
  <si>
    <t xml:space="preserve">தமிழ் வணிகன் பற்றிக் கூறும் பெரிய புளியங்குளம் கல்வெட்டுக்கள்</t>
  </si>
  <si>
    <t xml:space="preserve">கல்வெட்டு; Periya Puliyankulam</t>
  </si>
  <si>
    <t xml:space="preserve">https://www.ezhunaonline.com/tamil-vanikan-puliankulam-inscriptions/</t>
  </si>
  <si>
    <t xml:space="preserve">MG-0068</t>
  </si>
  <si>
    <t xml:space="preserve">2022-11-28</t>
  </si>
  <si>
    <t xml:space="preserve">தமிழ் குடும்பத் தலைவன் குட்டன் பற்றிய சேருவில கல்வெட்டு</t>
  </si>
  <si>
    <t xml:space="preserve">கல்வெட்டு; Seruvila</t>
  </si>
  <si>
    <t xml:space="preserve">https://www.ezhunaonline.com/seruvila-inscription-on-tamil-family-leader-guttan/</t>
  </si>
  <si>
    <t xml:space="preserve">MG-0069</t>
  </si>
  <si>
    <t xml:space="preserve">2022-12-19</t>
  </si>
  <si>
    <t xml:space="preserve">தீகவாபியின் குடிமகனான தமிழ் வணிகன் பற்றிய குடிவில் கல்வெட்டு</t>
  </si>
  <si>
    <t xml:space="preserve">கல்வெட்டு; Kudivil; merchant</t>
  </si>
  <si>
    <t xml:space="preserve">https://www.ezhunaonline.com/gudvil-inscription-about-a-tamil-merchant-who-was-a-resident-of-dikavapi/</t>
  </si>
  <si>
    <t xml:space="preserve">MG-0070</t>
  </si>
  <si>
    <t xml:space="preserve">2022-12-28</t>
  </si>
  <si>
    <t xml:space="preserve">கீழைக்கரைக்கான எழுத்துச் சான்றுகள் : தமிழ் இலக்கியங்கள்</t>
  </si>
  <si>
    <t xml:space="preserve">East coast; sources</t>
  </si>
  <si>
    <t xml:space="preserve">https://www.ezhunaonline.com/evidence-for-keekhakarai-tamil-literature/</t>
  </si>
  <si>
    <t xml:space="preserve">MG-0071</t>
  </si>
  <si>
    <t xml:space="preserve">Sankiliyatital Archaeological Site in Jaffna</t>
  </si>
  <si>
    <t xml:space="preserve">Nishan Weerasooriya</t>
  </si>
  <si>
    <t xml:space="preserve">AmazingLanka.com</t>
  </si>
  <si>
    <t xml:space="preserve">Web article</t>
  </si>
  <si>
    <t xml:space="preserve">தொல்லியல்; Jaffna</t>
  </si>
  <si>
    <t xml:space="preserve">https://amazinglanka.com/wp/sankiliyatital/</t>
  </si>
  <si>
    <t xml:space="preserve">MG-0072</t>
  </si>
  <si>
    <t xml:space="preserve">2020-04</t>
  </si>
  <si>
    <t xml:space="preserve">Tamil Inscriptions in Sri Lanka (list)</t>
  </si>
  <si>
    <t xml:space="preserve">Lanka Pradeepa</t>
  </si>
  <si>
    <t xml:space="preserve">Lanka Pradeepa (lankapradeepa.com)</t>
  </si>
  <si>
    <t xml:space="preserve">கல்வெட்டு; list; bibliography</t>
  </si>
  <si>
    <t xml:space="preserve">Updated May 2023; 27 references</t>
  </si>
  <si>
    <t xml:space="preserve">MG-0073</t>
  </si>
  <si>
    <t xml:space="preserve">The Avuranchchi Stones and Resting Stones (Sumaithankikkal) in the Cultural Life of Tamils</t>
  </si>
  <si>
    <t xml:space="preserve">Life Style of Jaffna, Express Newspapers (Ceylon)</t>
  </si>
  <si>
    <t xml:space="preserve">stones; material culture</t>
  </si>
  <si>
    <t xml:space="preserve">MG-0074</t>
  </si>
  <si>
    <t xml:space="preserve">The Dutch Church of Chankanai: one of the most important archaeological sites in the Jaffna Peninsula</t>
  </si>
  <si>
    <t xml:space="preserve">Kalasurapi (Historical Society journal)</t>
  </si>
  <si>
    <t xml:space="preserve">Magazine article</t>
  </si>
  <si>
    <t xml:space="preserve">archaeology; heritage</t>
  </si>
  <si>
    <t xml:space="preserve">MG-0075</t>
  </si>
  <si>
    <t xml:space="preserve">2008</t>
  </si>
  <si>
    <t xml:space="preserve">Amazing Discovery of Archaeological Artifact by Dept. of Archaeology, Tamil University, Thanjavur</t>
  </si>
  <si>
    <t xml:space="preserve">Thedal (Archaeological Study Circle, Dept. of History, University of Jaffna)</t>
  </si>
  <si>
    <t xml:space="preserve">தொல்லியல்</t>
  </si>
  <si>
    <t xml:space="preserve">MG-0076</t>
  </si>
  <si>
    <t xml:space="preserve">2003-04-11</t>
  </si>
  <si>
    <t xml:space="preserve">A magnum opus on Tamil-Brahmi inscriptions</t>
  </si>
  <si>
    <t xml:space="preserve">R. Champakalakshmi</t>
  </si>
  <si>
    <t xml:space="preserve">Frontline</t>
  </si>
  <si>
    <t xml:space="preserve">Tamil Brahmi; Mahadevan; Sinhala Brahmi</t>
  </si>
  <si>
    <t xml:space="preserve">https://www.worldgenweb.org/lkawgw/tamil-brahmi.htm</t>
  </si>
  <si>
    <t xml:space="preserve">MG-0077</t>
  </si>
  <si>
    <t xml:space="preserve">Buddhist Remains in the Jaffna Peninsula</t>
  </si>
  <si>
    <t xml:space="preserve">https://amazinglanka.com/wp/jaffna/</t>
  </si>
  <si>
    <t xml:space="preserve">MG-0078</t>
  </si>
  <si>
    <t xml:space="preserve">Buddhist Ruins at Tikali in Pungudutivu Island in Jaffna</t>
  </si>
  <si>
    <t xml:space="preserve">தொல்லியல்; Pungudutivu</t>
  </si>
  <si>
    <t xml:space="preserve">https://amazinglanka.com/wp/tikali/</t>
  </si>
  <si>
    <t xml:space="preserve">MG-0079</t>
  </si>
  <si>
    <t xml:space="preserve">Manniththalai Sand Bar Ancient Settlement and Archaeological Sites</t>
  </si>
  <si>
    <t xml:space="preserve">தொல்லியல்; settlement</t>
  </si>
  <si>
    <t xml:space="preserve">https://amazinglanka.com/wp/manniththalai-settlements/</t>
  </si>
  <si>
    <t xml:space="preserve">MG-0080</t>
  </si>
  <si>
    <t xml:space="preserve">Vanni Bandara Stone Memorial in Oddusuddan: A Legacy of Resistance</t>
  </si>
  <si>
    <t xml:space="preserve">memorial stone; Vanni</t>
  </si>
  <si>
    <t xml:space="preserve">https://amazinglanka.com/wp/vanni-bandara-en/</t>
  </si>
  <si>
    <t xml:space="preserve">MG-0081</t>
  </si>
  <si>
    <t xml:space="preserve">இலங்கைத் தமிழரின் பூர்வீக வரலாற்றையும், பண்பாட்டையும் அடையாளப்படுத்திக் காட்டும் கட்டுக்கரைத் தொல்லியல் அகழ்வாய்வுகள்</t>
  </si>
  <si>
    <t xml:space="preserve">தொல்லியல்; Kattukarai excavation</t>
  </si>
  <si>
    <t xml:space="preserve">Author to verify</t>
  </si>
  <si>
    <t xml:space="preserve">https://www.ezhunaonline.com/history-and-culture-of-srilankan-tamils-part-3/</t>
  </si>
  <si>
    <t xml:space="preserve">MG-0082</t>
  </si>
  <si>
    <t xml:space="preserve">இலங்கைத் தமிழ்க் கல்வெட்டுகளில் பிராமணரும் பிரமதேயமும்</t>
  </si>
  <si>
    <t xml:space="preserve">கல்வெட்டு; Brahmadeya</t>
  </si>
  <si>
    <t xml:space="preserve">https://www.ezhunaonline.com/article/brahmin-and-brahmatheya-in-sri-lankan-tamil-inscriptions/</t>
  </si>
  <si>
    <t xml:space="preserve">MG-0083</t>
  </si>
  <si>
    <t xml:space="preserve">இலங்கைப் பிராமிக் கல்வெட்டுக்களில் சங்ககால வேள்</t>
  </si>
  <si>
    <t xml:space="preserve">பிராமி; Sangam; Vel</t>
  </si>
  <si>
    <t xml:space="preserve">https://www.ezhunaonline.com/sangam-age-in-sri-lankan-brahmic-inscriptions/</t>
  </si>
  <si>
    <t xml:space="preserve">MG-0084</t>
  </si>
  <si>
    <t xml:space="preserve">இலங்கையில் கண்ணகி வழிபாடு புகுந்த முறை</t>
  </si>
  <si>
    <t xml:space="preserve">Kannagi worship</t>
  </si>
  <si>
    <t xml:space="preserve">https://www.ezhunaonline.com/how-kannagi-worship-entered-sri-lanka/</t>
  </si>
  <si>
    <t xml:space="preserve">MG-0085</t>
  </si>
  <si>
    <t xml:space="preserve">கல்லஞ்சிய பாறைக் கல்வெட்டு கூறும் நாக மன்னன்</t>
  </si>
  <si>
    <t xml:space="preserve">Series: Naga people in Brahmi inscriptions</t>
  </si>
  <si>
    <t xml:space="preserve">MG-0086</t>
  </si>
  <si>
    <t xml:space="preserve">செட்டிகுளம் : தமிழரின் பூர்வீக வரலாற்றை வெளிச்சத்திற்கு கொண்டுவரும் சில தொல்லியற் சான்றுகள்</t>
  </si>
  <si>
    <t xml:space="preserve">தொல்லியல்; Cheddikulam</t>
  </si>
  <si>
    <t xml:space="preserve">https://www.ezhunaonline.com/the-archaeological-value-of-cheddikulam/</t>
  </si>
  <si>
    <t xml:space="preserve">MG-0087</t>
  </si>
  <si>
    <t xml:space="preserve">நாட்டார் சமயங்களும் இந்து மதமும்</t>
  </si>
  <si>
    <t xml:space="preserve">folk religion; நடுகல்</t>
  </si>
  <si>
    <t xml:space="preserve">https://www.ezhunaonline.com/folk-religion-and-hinduism/</t>
  </si>
  <si>
    <t xml:space="preserve">MG-0088</t>
  </si>
  <si>
    <t xml:space="preserve">பண்டைத் தமிழர் வழிபாட்டு மரபில் கண்ணகி</t>
  </si>
  <si>
    <t xml:space="preserve">https://www.ezhunaonline.com/kanaki-worship-in-ancient-tamil-culture/</t>
  </si>
  <si>
    <t xml:space="preserve">MG-0089</t>
  </si>
  <si>
    <t xml:space="preserve">பிராமி எழுத்து வடிவமும் தொடக்ககால எழுத்தறிவும்</t>
  </si>
  <si>
    <t xml:space="preserve">பிராமி; literacy</t>
  </si>
  <si>
    <t xml:space="preserve">https://www.ezhunaonline.com/article/brahmi-script-and-early-literacy/</t>
  </si>
  <si>
    <t xml:space="preserve">MG-0090</t>
  </si>
  <si>
    <t xml:space="preserve">பெருங்கற்பண்பாட்டுக் கால இலங்கையில் தமிழரும் பௌத்தமும்</t>
  </si>
  <si>
    <t xml:space="preserve">megalithic; Buddhism; Tamils</t>
  </si>
  <si>
    <t xml:space="preserve">https://www.ezhunaonline.com/compilation/buddhism-and-tamils-during-megalith-of-srilanka/</t>
  </si>
  <si>
    <t xml:space="preserve">MG-0091</t>
  </si>
  <si>
    <t xml:space="preserve">மீளுருவாக்கப்பட்ட ஆரியகுளமும் ஆரியச்சக்கரவர்த்திகளும்</t>
  </si>
  <si>
    <t xml:space="preserve">history; Jaffna kingdom</t>
  </si>
  <si>
    <t xml:space="preserve">https://www.ezhunaonline.com/history-of-ariya-kulam-jaffna/</t>
  </si>
  <si>
    <t xml:space="preserve">MG-0092</t>
  </si>
  <si>
    <t xml:space="preserve">யாழ்ப்பாணஅரசு தோன்ற முன்னர் வன்னிப் பெருநிலப்பரப்பில் தமிழ் இராசதானி இருந்ததை உறுதிப்படுத்தும் குருந்தன்குள ஆலய அழிபாடுகள்</t>
  </si>
  <si>
    <t xml:space="preserve">தொல்லியல்; Kurundankulam; Vanni</t>
  </si>
  <si>
    <t xml:space="preserve">https://www.ezhunaonline.com/tamil-rasathani-in-vanni-kurundankula-temple/</t>
  </si>
  <si>
    <t xml:space="preserve">MG-0093</t>
  </si>
  <si>
    <t xml:space="preserve">யாழ்ப்பாணக் கோட்டையின் அண்மைக்காலத் தொல்லியல் ஆய்வுகள் - ஒரு புதிய பார்வை - பகுதி 1</t>
  </si>
  <si>
    <t xml:space="preserve">தொல்லியல்; Jaffna Fort</t>
  </si>
  <si>
    <t xml:space="preserve">https://www.ezhunaonline.com/jaffna-fort/</t>
  </si>
  <si>
    <t xml:space="preserve">MG-0094</t>
  </si>
  <si>
    <t xml:space="preserve">வேலணை, சாட்டியில் பெருங்கற்காலப் பண்பாடு</t>
  </si>
  <si>
    <t xml:space="preserve">தொல்லியல்; megalithic; Chatti</t>
  </si>
  <si>
    <t xml:space="preserve">https://www.ezhunaonline.com/velana-palaeolithic-culture-at-chatti/</t>
  </si>
  <si>
    <t xml:space="preserve">ALL-0001</t>
  </si>
  <si>
    <t xml:space="preserve">ALL-0002</t>
  </si>
  <si>
    <t xml:space="preserve">ALL-0003</t>
  </si>
  <si>
    <t xml:space="preserve">ALL-0004</t>
  </si>
  <si>
    <t xml:space="preserve">ALL-0005</t>
  </si>
  <si>
    <t xml:space="preserve">ALL-0006</t>
  </si>
  <si>
    <t xml:space="preserve">ALL-0007</t>
  </si>
  <si>
    <t xml:space="preserve">ALL-0008</t>
  </si>
  <si>
    <t xml:space="preserve">ALL-0009</t>
  </si>
  <si>
    <t xml:space="preserve">ALL-0010</t>
  </si>
  <si>
    <t xml:space="preserve">ALL-0011</t>
  </si>
  <si>
    <t xml:space="preserve">ALL-0012</t>
  </si>
  <si>
    <t xml:space="preserve">ALL-0013</t>
  </si>
  <si>
    <t xml:space="preserve">ALL-0014</t>
  </si>
  <si>
    <t xml:space="preserve">ALL-0015</t>
  </si>
  <si>
    <t xml:space="preserve">ALL-0016</t>
  </si>
  <si>
    <t xml:space="preserve">ALL-0017</t>
  </si>
  <si>
    <t xml:space="preserve">ALL-0018</t>
  </si>
  <si>
    <t xml:space="preserve">ALL-0019</t>
  </si>
  <si>
    <t xml:space="preserve">ALL-0020</t>
  </si>
  <si>
    <t xml:space="preserve">ALL-0021</t>
  </si>
  <si>
    <t xml:space="preserve">ALL-0022</t>
  </si>
  <si>
    <t xml:space="preserve">ALL-0023</t>
  </si>
  <si>
    <t xml:space="preserve">ALL-0024</t>
  </si>
  <si>
    <t xml:space="preserve">ALL-0025</t>
  </si>
  <si>
    <t xml:space="preserve">ALL-0026</t>
  </si>
  <si>
    <t xml:space="preserve">ALL-0027</t>
  </si>
  <si>
    <t xml:space="preserve">ALL-0028</t>
  </si>
  <si>
    <t xml:space="preserve">ALL-0029</t>
  </si>
  <si>
    <t xml:space="preserve">ALL-0030</t>
  </si>
  <si>
    <t xml:space="preserve">ALL-0031</t>
  </si>
  <si>
    <t xml:space="preserve">ALL-0032</t>
  </si>
  <si>
    <t xml:space="preserve">ALL-0033</t>
  </si>
  <si>
    <t xml:space="preserve">ALL-0034</t>
  </si>
  <si>
    <t xml:space="preserve">ALL-0035</t>
  </si>
  <si>
    <t xml:space="preserve">ALL-0036</t>
  </si>
  <si>
    <t xml:space="preserve">ALL-0037</t>
  </si>
  <si>
    <t xml:space="preserve">ALL-0038</t>
  </si>
  <si>
    <t xml:space="preserve">ALL-0039</t>
  </si>
  <si>
    <t xml:space="preserve">ALL-0040</t>
  </si>
  <si>
    <t xml:space="preserve">ALL-0041</t>
  </si>
  <si>
    <t xml:space="preserve">ALL-0042</t>
  </si>
  <si>
    <t xml:space="preserve">ALL-0043</t>
  </si>
  <si>
    <t xml:space="preserve">ALL-0044</t>
  </si>
  <si>
    <t xml:space="preserve">ALL-0045</t>
  </si>
  <si>
    <t xml:space="preserve">ALL-0046</t>
  </si>
  <si>
    <t xml:space="preserve">ALL-0047</t>
  </si>
  <si>
    <t xml:space="preserve">ALL-0048</t>
  </si>
  <si>
    <t xml:space="preserve">ALL-0049</t>
  </si>
  <si>
    <t xml:space="preserve">ALL-0050</t>
  </si>
  <si>
    <t xml:space="preserve">ALL-0051</t>
  </si>
  <si>
    <t xml:space="preserve">ALL-0052</t>
  </si>
  <si>
    <t xml:space="preserve">ALL-0053</t>
  </si>
  <si>
    <t xml:space="preserve">ALL-0054</t>
  </si>
  <si>
    <t xml:space="preserve">ALL-0055</t>
  </si>
  <si>
    <t xml:space="preserve">ALL-0056</t>
  </si>
  <si>
    <t xml:space="preserve">ALL-0057</t>
  </si>
  <si>
    <t xml:space="preserve">ALL-0058</t>
  </si>
  <si>
    <t xml:space="preserve">ALL-0059</t>
  </si>
  <si>
    <t xml:space="preserve">ALL-0060</t>
  </si>
  <si>
    <t xml:space="preserve">ALL-0061</t>
  </si>
  <si>
    <t xml:space="preserve">ALL-0062</t>
  </si>
  <si>
    <t xml:space="preserve">ALL-0063</t>
  </si>
  <si>
    <t xml:space="preserve">ALL-0064</t>
  </si>
  <si>
    <t xml:space="preserve">ALL-0065</t>
  </si>
  <si>
    <t xml:space="preserve">ALL-0066</t>
  </si>
  <si>
    <t xml:space="preserve">ALL-0067</t>
  </si>
  <si>
    <t xml:space="preserve">ALL-0068</t>
  </si>
  <si>
    <t xml:space="preserve">ALL-0069</t>
  </si>
  <si>
    <t xml:space="preserve">ALL-0070</t>
  </si>
  <si>
    <t xml:space="preserve">ALL-0071</t>
  </si>
  <si>
    <t xml:space="preserve">ALL-0072</t>
  </si>
  <si>
    <t xml:space="preserve">ALL-0073</t>
  </si>
  <si>
    <t xml:space="preserve">ALL-0074</t>
  </si>
  <si>
    <t xml:space="preserve">ALL-0075</t>
  </si>
  <si>
    <t xml:space="preserve">ALL-0076</t>
  </si>
  <si>
    <t xml:space="preserve">ALL-0077</t>
  </si>
  <si>
    <t xml:space="preserve">ALL-0078</t>
  </si>
  <si>
    <t xml:space="preserve">ALL-0079</t>
  </si>
  <si>
    <t xml:space="preserve">ALL-0080</t>
  </si>
  <si>
    <t xml:space="preserve">ALL-0081</t>
  </si>
  <si>
    <t xml:space="preserve">ALL-0082</t>
  </si>
  <si>
    <t xml:space="preserve">ALL-0083</t>
  </si>
  <si>
    <t xml:space="preserve">ALL-0084</t>
  </si>
  <si>
    <t xml:space="preserve">ALL-0085</t>
  </si>
  <si>
    <t xml:space="preserve">ALL-0086</t>
  </si>
  <si>
    <t xml:space="preserve">ALL-0087</t>
  </si>
  <si>
    <t xml:space="preserve">ALL-0088</t>
  </si>
  <si>
    <t xml:space="preserve">ALL-0089</t>
  </si>
  <si>
    <t xml:space="preserve">ALL-0090</t>
  </si>
  <si>
    <t xml:space="preserve">ALL-0091</t>
  </si>
  <si>
    <t xml:space="preserve">ALL-0092</t>
  </si>
  <si>
    <t xml:space="preserve">ALL-0093</t>
  </si>
  <si>
    <t xml:space="preserve">ALL-0094</t>
  </si>
  <si>
    <t xml:space="preserve">ALL-0095</t>
  </si>
  <si>
    <t xml:space="preserve">ALL-0096</t>
  </si>
  <si>
    <t xml:space="preserve">ALL-0097</t>
  </si>
  <si>
    <t xml:space="preserve">ALL-0098</t>
  </si>
  <si>
    <t xml:space="preserve">ALL-0099</t>
  </si>
  <si>
    <t xml:space="preserve">ALL-0100</t>
  </si>
  <si>
    <t xml:space="preserve">ALL-0101</t>
  </si>
  <si>
    <t xml:space="preserve">ALL-0102</t>
  </si>
  <si>
    <t xml:space="preserve">ALL-0103</t>
  </si>
  <si>
    <t xml:space="preserve">ALL-0104</t>
  </si>
  <si>
    <t xml:space="preserve">ALL-0105</t>
  </si>
  <si>
    <t xml:space="preserve">ALL-0106</t>
  </si>
  <si>
    <t xml:space="preserve">ALL-0107</t>
  </si>
  <si>
    <t xml:space="preserve">ALL-0108</t>
  </si>
  <si>
    <t xml:space="preserve">ALL-0109</t>
  </si>
  <si>
    <t xml:space="preserve">ALL-0110</t>
  </si>
  <si>
    <t xml:space="preserve">ALL-0111</t>
  </si>
  <si>
    <t xml:space="preserve">ALL-0112</t>
  </si>
  <si>
    <t xml:space="preserve">ALL-0113</t>
  </si>
  <si>
    <t xml:space="preserve">ALL-0114</t>
  </si>
  <si>
    <t xml:space="preserve">ALL-0115</t>
  </si>
  <si>
    <t xml:space="preserve">ALL-0116</t>
  </si>
  <si>
    <t xml:space="preserve">ALL-0117</t>
  </si>
  <si>
    <t xml:space="preserve">ALL-0118</t>
  </si>
  <si>
    <t xml:space="preserve">ALL-0119</t>
  </si>
  <si>
    <t xml:space="preserve">ALL-0120</t>
  </si>
  <si>
    <t xml:space="preserve">ALL-0121</t>
  </si>
  <si>
    <t xml:space="preserve">ALL-0122</t>
  </si>
  <si>
    <t xml:space="preserve">ALL-0123</t>
  </si>
  <si>
    <t xml:space="preserve">ALL-0124</t>
  </si>
  <si>
    <t xml:space="preserve">ALL-0125</t>
  </si>
  <si>
    <t xml:space="preserve">ALL-0126</t>
  </si>
  <si>
    <t xml:space="preserve">ALL-0127</t>
  </si>
  <si>
    <t xml:space="preserve">ALL-0128</t>
  </si>
  <si>
    <t xml:space="preserve">ALL-0129</t>
  </si>
  <si>
    <t xml:space="preserve">ALL-0130</t>
  </si>
  <si>
    <t xml:space="preserve">ALL-0131</t>
  </si>
  <si>
    <t xml:space="preserve">ALL-0132</t>
  </si>
  <si>
    <t xml:space="preserve">ALL-0133</t>
  </si>
  <si>
    <t xml:space="preserve">ALL-0134</t>
  </si>
  <si>
    <t xml:space="preserve">ALL-0135</t>
  </si>
  <si>
    <t xml:space="preserve">ALL-0136</t>
  </si>
  <si>
    <t xml:space="preserve">ALL-0137</t>
  </si>
  <si>
    <t xml:space="preserve">ALL-0138</t>
  </si>
  <si>
    <t xml:space="preserve">ALL-0139</t>
  </si>
  <si>
    <t xml:space="preserve">ALL-0140</t>
  </si>
  <si>
    <t xml:space="preserve">ALL-0141</t>
  </si>
  <si>
    <t xml:space="preserve">ALL-0142</t>
  </si>
  <si>
    <t xml:space="preserve">ALL-0143</t>
  </si>
  <si>
    <t xml:space="preserve">ALL-0144</t>
  </si>
  <si>
    <t xml:space="preserve">ALL-0145</t>
  </si>
  <si>
    <t xml:space="preserve">ALL-0146</t>
  </si>
  <si>
    <t xml:space="preserve">ALL-0147</t>
  </si>
  <si>
    <t xml:space="preserve">ALL-0148</t>
  </si>
  <si>
    <t xml:space="preserve">ALL-0149</t>
  </si>
  <si>
    <t xml:space="preserve">ALL-0150</t>
  </si>
  <si>
    <t xml:space="preserve">ALL-0151</t>
  </si>
  <si>
    <t xml:space="preserve">ALL-0152</t>
  </si>
  <si>
    <t xml:space="preserve">ALL-0153</t>
  </si>
  <si>
    <t xml:space="preserve">ALL-0154</t>
  </si>
  <si>
    <t xml:space="preserve">ALL-0155</t>
  </si>
  <si>
    <t xml:space="preserve">ALL-0156</t>
  </si>
  <si>
    <t xml:space="preserve">ALL-0157</t>
  </si>
  <si>
    <t xml:space="preserve">ALL-0158</t>
  </si>
  <si>
    <t xml:space="preserve">ALL-0159</t>
  </si>
  <si>
    <t xml:space="preserve">ALL-0160</t>
  </si>
  <si>
    <t xml:space="preserve">ALL-0161</t>
  </si>
  <si>
    <t xml:space="preserve">ALL-0162</t>
  </si>
  <si>
    <t xml:space="preserve">ALL-0163</t>
  </si>
  <si>
    <t xml:space="preserve">ALL-0164</t>
  </si>
  <si>
    <t xml:space="preserve">ALL-0165</t>
  </si>
  <si>
    <t xml:space="preserve">ALL-0166</t>
  </si>
  <si>
    <t xml:space="preserve">ALL-0167</t>
  </si>
  <si>
    <t xml:space="preserve">ALL-0168</t>
  </si>
  <si>
    <t xml:space="preserve">ALL-0169</t>
  </si>
  <si>
    <t xml:space="preserve">ALL-0170</t>
  </si>
  <si>
    <t xml:space="preserve">ALL-0171</t>
  </si>
  <si>
    <t xml:space="preserve">ALL-0172</t>
  </si>
  <si>
    <t xml:space="preserve">ALL-0173</t>
  </si>
  <si>
    <t xml:space="preserve">ALL-0174</t>
  </si>
  <si>
    <t xml:space="preserve">ALL-0175</t>
  </si>
  <si>
    <t xml:space="preserve">ALL-0176</t>
  </si>
  <si>
    <t xml:space="preserve">ALL-0177</t>
  </si>
  <si>
    <t xml:space="preserve">ALL-0178</t>
  </si>
  <si>
    <t xml:space="preserve">ALL-0179</t>
  </si>
  <si>
    <t xml:space="preserve">ALL-0180</t>
  </si>
  <si>
    <t xml:space="preserve">ALL-0181</t>
  </si>
  <si>
    <t xml:space="preserve">ALL-0182</t>
  </si>
  <si>
    <t xml:space="preserve">ALL-0183</t>
  </si>
  <si>
    <t xml:space="preserve">ALL-0184</t>
  </si>
  <si>
    <t xml:space="preserve">ALL-0185</t>
  </si>
  <si>
    <t xml:space="preserve">ALL-0186</t>
  </si>
  <si>
    <t xml:space="preserve">ALL-0187</t>
  </si>
  <si>
    <t xml:space="preserve">ALL-0188</t>
  </si>
  <si>
    <t xml:space="preserve">ALL-0189</t>
  </si>
  <si>
    <t xml:space="preserve">ALL-0190</t>
  </si>
  <si>
    <t xml:space="preserve">ALL-0191</t>
  </si>
  <si>
    <t xml:space="preserve">ALL-0192</t>
  </si>
  <si>
    <t xml:space="preserve">ALL-0193</t>
  </si>
  <si>
    <t xml:space="preserve">ALL-0194</t>
  </si>
  <si>
    <t xml:space="preserve">ALL-0195</t>
  </si>
  <si>
    <t xml:space="preserve">ALL-0196</t>
  </si>
  <si>
    <t xml:space="preserve">ALL-0197</t>
  </si>
  <si>
    <t xml:space="preserve">ALL-0198</t>
  </si>
  <si>
    <t xml:space="preserve">ALL-0199</t>
  </si>
  <si>
    <t xml:space="preserve">ALL-0200</t>
  </si>
  <si>
    <t xml:space="preserve">ALL-0201</t>
  </si>
  <si>
    <t xml:space="preserve">ALL-0202</t>
  </si>
  <si>
    <t xml:space="preserve">ALL-0203</t>
  </si>
  <si>
    <t xml:space="preserve">ALL-0204</t>
  </si>
  <si>
    <t xml:space="preserve">ALL-0205</t>
  </si>
  <si>
    <t xml:space="preserve">ALL-0206</t>
  </si>
  <si>
    <t xml:space="preserve">ALL-0207</t>
  </si>
  <si>
    <t xml:space="preserve">ALL-0208</t>
  </si>
  <si>
    <t xml:space="preserve">ALL-0209</t>
  </si>
  <si>
    <t xml:space="preserve">ALL-0210</t>
  </si>
  <si>
    <t xml:space="preserve">ALL-0211</t>
  </si>
  <si>
    <t xml:space="preserve">ALL-0212</t>
  </si>
  <si>
    <t xml:space="preserve">ALL-0213</t>
  </si>
  <si>
    <t xml:space="preserve">ALL-0214</t>
  </si>
  <si>
    <t xml:space="preserve">ALL-0215</t>
  </si>
  <si>
    <t xml:space="preserve">ALL-0216</t>
  </si>
  <si>
    <t xml:space="preserve">ALL-0217</t>
  </si>
  <si>
    <t xml:space="preserve">ALL-0218</t>
  </si>
  <si>
    <t xml:space="preserve">ALL-0219</t>
  </si>
  <si>
    <t xml:space="preserve">ALL-0220</t>
  </si>
  <si>
    <t xml:space="preserve">ALL-0221</t>
  </si>
  <si>
    <t xml:space="preserve">ALL-0222</t>
  </si>
  <si>
    <t xml:space="preserve">ALL-0223</t>
  </si>
  <si>
    <t xml:space="preserve">ALL-0224</t>
  </si>
  <si>
    <t xml:space="preserve">ALL-0225</t>
  </si>
  <si>
    <t xml:space="preserve">ALL-0226</t>
  </si>
  <si>
    <t xml:space="preserve">ALL-0227</t>
  </si>
  <si>
    <t xml:space="preserve">ALL-0228</t>
  </si>
  <si>
    <t xml:space="preserve">ALL-0229</t>
  </si>
  <si>
    <t xml:space="preserve">ALL-0230</t>
  </si>
  <si>
    <t xml:space="preserve">Source</t>
  </si>
  <si>
    <t xml:space="preserve">What it contributed</t>
  </si>
  <si>
    <t xml:space="preserve">Sri Lankan Tamil books, journals, newspapers (digitised)</t>
  </si>
  <si>
    <t xml:space="preserve">https://noolaham.org</t>
  </si>
  <si>
    <t xml:space="preserve">Serialised Tamil articles on Brahmi inscriptions, Naga inscriptions, Kantarodai archaeology, East coast history</t>
  </si>
  <si>
    <t xml:space="preserve">https://www.ezhunaonline.com</t>
  </si>
  <si>
    <t xml:space="preserve">University of Jaffna - Dept. of History staff pages</t>
  </si>
  <si>
    <t xml:space="preserve">Publication lists of archaeology/epigraphy staff</t>
  </si>
  <si>
    <t xml:space="preserve">https://www.his.jfn.ac.lk</t>
  </si>
  <si>
    <t xml:space="preserve">University of Jaffna - Prof. S. Pathmanathan page</t>
  </si>
  <si>
    <t xml:space="preserve">Inscription books and papers</t>
  </si>
  <si>
    <t xml:space="preserve">University repositories (Jaffna, Peradeniya, SEUSL, Kelaniya)</t>
  </si>
  <si>
    <t xml:space="preserve">Theses, journal articles, conference papers</t>
  </si>
  <si>
    <t xml:space="preserve">https://rer.jfn.ac.lk</t>
  </si>
  <si>
    <t xml:space="preserve">TamilNet / Tamil Guardian</t>
  </si>
  <si>
    <t xml:space="preserve">English news on finds and debates</t>
  </si>
  <si>
    <t xml:space="preserve">https://www.tamilnet.com</t>
  </si>
  <si>
    <t xml:space="preserve">Virakesari, Thinakkural, Tamil Mirror, Thinakaran, Tamilwin, IBC Tamil</t>
  </si>
  <si>
    <t xml:space="preserve">Tamil newspaper reports and features</t>
  </si>
  <si>
    <t xml:space="preserve">https://www.virakesari.lk</t>
  </si>
  <si>
    <t xml:space="preserve">Sunday Times, Sunday Observer, Daily News, The Island, Colombo Telegraph</t>
  </si>
  <si>
    <t xml:space="preserve">English newspaper features and opinion</t>
  </si>
  <si>
    <t xml:space="preserve">https://www.sundaytimes.lk</t>
  </si>
  <si>
    <t xml:space="preserve">Lanka Pradeepa list of Tamil inscriptions</t>
  </si>
  <si>
    <t xml:space="preserve">27-item reference list of Tamil inscription publications</t>
  </si>
  <si>
    <t xml:space="preserve">Method</t>
  </si>
  <si>
    <t xml:space="preserve">Searched Tamil and English keywords (கல்வெட்டு, கல்வெட்டுகள், தமிழ், தொல்லியல், நடுகல், பாறை ஓவியம், inscription, Brahmi, epigraphy, hero stone, rock art, coins), opened catalogue and listing pages, recorded bibliographic details, then removed duplicates.</t>
  </si>
  <si>
    <t xml:space="preserve">Verification</t>
  </si>
  <si>
    <t xml:space="preserve">Rows whose Notes say 'to verify' have a missing or unconfirmed year, author or title; open the URL to confirm.</t>
  </si>
  <si>
    <t xml:space="preserve">Updates</t>
  </si>
  <si>
    <t xml:space="preserve">The GitHub repository runs a weekly scraper that appends new items to data/raw/auto_*.tsv and rebuilds this workbook.</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</si>
</sst>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4"/>
      <color rgb="FF1F4E5F"/>
      <name val="Arial"/>
      <family val="0"/>
      <charset val="1"/>
    </font>
    <font>
      <sz val="10"/>
      <name val="Arial"/>
      <family val="0"/>
      <charset val="1"/>
    </font>
    <font>
      <b val="true"/>
      <sz val="10"/>
      <color rgb="FFFFFFFF"/>
      <name val="Arial"/>
      <family val="0"/>
      <charset val="1"/>
    </font>
    <font>
      <b val="true"/>
      <sz val="10"/>
      <name val="Arial"/>
      <family val="0"/>
      <charset val="1"/>
    </font>
    <font>
      <i val="true"/>
      <sz val="9"/>
      <name val="Arial"/>
      <family val="0"/>
      <charset val="1"/>
    </font>
    <font>
      <u val="single"/>
      <sz val="10"/>
      <color rgb="FF0563C1"/>
      <name val="Arial"/>
      <family val="0"/>
      <charset val="1"/>
    </font>
  </fonts>
  <fills count="4">
    <fill>
      <patternFill patternType="none"/>
    </fill>
    <fill>
      <patternFill patternType="gray125"/>
    </fill>
    <fill>
      <patternFill patternType="solid">
        <fgColor rgb="FF1F4E5F"/>
        <bgColor rgb="FF333333"/>
      </patternFill>
    </fill>
    <fill>
      <patternFill patternType="solid">
        <fgColor rgb="FFF3F7F9"/>
        <bgColor rgb="FFFFFFFF"/>
      </patternFill>
    </fill>
  </fills>
  <borders count="2">
    <border diagonalUp="false" diagonalDown="false">
      <left/>
      <right/>
      <top/>
      <bottom/>
      <diagonal/>
    </border>
    <border diagonalUp="false" diagonalDown="false">
      <left/>
      <right/>
      <top/>
      <bottom style="thin">
        <color rgb="FFD0D7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xf numFmtId="165" fontId="5" fillId="3" borderId="1" xfId="0" applyFont="true" applyBorder="true" applyAlignment="true" applyProtection="false">
      <alignment horizontal="general" vertical="top"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4E5F"/>
          <bgColor rgb="FF000000"/>
        </patternFill>
      </fill>
    </dxf>
    <dxf>
      <fill>
        <patternFill patternType="solid">
          <fgColor rgb="FFF3F7F9"/>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3F7F9"/>
      <rgbColor rgb="FFCCFFFF"/>
      <rgbColor rgb="FF660066"/>
      <rgbColor rgb="FFFF8080"/>
      <rgbColor rgb="FF0563C1"/>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tamilguardian.com/content/prof-pathmanathans-new-book-sheds-light-early-jaffna-civilisation" TargetMode="External"/><Relationship Id="rId2" Type="http://schemas.openxmlformats.org/officeDocument/2006/relationships/hyperlink" Target="https://www.ezhunaonline.com/books/tamils-in-the-inscriptions-of-brahmi-and-sinhala/" TargetMode="External"/><Relationship Id="rId3" Type="http://schemas.openxmlformats.org/officeDocument/2006/relationships/hyperlink" Target="https://en.wikipedia.org/wiki/K._Indrapala" TargetMode="External"/><Relationship Id="rId4" Type="http://schemas.openxmlformats.org/officeDocument/2006/relationships/hyperlink" Target="https://www.his.jfn.ac.lk/index.php/profkarunthavarajah/" TargetMode="External"/><Relationship Id="rId5" Type="http://schemas.openxmlformats.org/officeDocument/2006/relationships/hyperlink" Target="https://www.his.jfn.ac.lk/index.php/profkarunthavarajah/" TargetMode="External"/><Relationship Id="rId6" Type="http://schemas.openxmlformats.org/officeDocument/2006/relationships/hyperlink" Target="https://opac.busl.ac.lk/bib/14671" TargetMode="External"/><Relationship Id="rId7" Type="http://schemas.openxmlformats.org/officeDocument/2006/relationships/hyperlink" Target="https://jfn.ac.lk/prof-s-pathmanathan/" TargetMode="External"/><Relationship Id="rId8" Type="http://schemas.openxmlformats.org/officeDocument/2006/relationships/hyperlink" Target="https://en.wikipedia.org/wiki/S._Pathmanathan" TargetMode="External"/><Relationship Id="rId9" Type="http://schemas.openxmlformats.org/officeDocument/2006/relationships/hyperlink" Target="https://jfn.ac.lk/prof-s-pathmanathan/" TargetMode="External"/><Relationship Id="rId10" Type="http://schemas.openxmlformats.org/officeDocument/2006/relationships/hyperlink" Target="https://en.wikipedia.org/wiki/K._Indrapala" TargetMode="External"/><Relationship Id="rId11" Type="http://schemas.openxmlformats.org/officeDocument/2006/relationships/hyperlink" Target="https://unioncatalogue.dlp.gov.lk/Record/batt.35119/Similar" TargetMode="External"/><Relationship Id="rId12" Type="http://schemas.openxmlformats.org/officeDocument/2006/relationships/hyperlink" Target="https://jfn.ac.lk/prof-s-pathmanathan/" TargetMode="External"/><Relationship Id="rId13" Type="http://schemas.openxmlformats.org/officeDocument/2006/relationships/hyperlink" Target="https://en.wikipedia.org/wiki/S._Pathmanathan" TargetMode="External"/><Relationship Id="rId14" Type="http://schemas.openxmlformats.org/officeDocument/2006/relationships/hyperlink" Target="https://vedamsbooks.com/books/early_tamil_epigraphy_from_the_earliest_times_to_the_sixth_century_c_e_volume_1_tamil_brahmi_inscriptions" TargetMode="External"/><Relationship Id="rId15" Type="http://schemas.openxmlformats.org/officeDocument/2006/relationships/hyperlink" Target="https://jfn.ac.lk/prof-s-pathmanathan/" TargetMode="External"/><Relationship Id="rId16" Type="http://schemas.openxmlformats.org/officeDocument/2006/relationships/hyperlink" Target="https://mannar.dlp.gov.lk/bib/9820" TargetMode="External"/><Relationship Id="rId17" Type="http://schemas.openxmlformats.org/officeDocument/2006/relationships/hyperlink" Target="https://en.wikipedia.org/wiki/S._Pathmanathan" TargetMode="External"/><Relationship Id="rId18" Type="http://schemas.openxmlformats.org/officeDocument/2006/relationships/hyperlink" Target="https://jfn.ac.lk/prof-s-pathmanathan/" TargetMode="External"/><Relationship Id="rId19" Type="http://schemas.openxmlformats.org/officeDocument/2006/relationships/hyperlink" Target="https://jfn.ac.lk/prof-s-pathmanathan/" TargetMode="External"/><Relationship Id="rId20" Type="http://schemas.openxmlformats.org/officeDocument/2006/relationships/hyperlink" Target="https://www.sundaytimes.lk/000423/plus3.html" TargetMode="External"/><Relationship Id="rId21" Type="http://schemas.openxmlformats.org/officeDocument/2006/relationships/hyperlink" Target="https://unioncatalogue.dlp.gov.lk/Record/poin.4050/Description" TargetMode="External"/><Relationship Id="rId22" Type="http://schemas.openxmlformats.org/officeDocument/2006/relationships/hyperlink" Target="https://noolaham.org/wiki/index.php/Epigraphia_Zeylanica_3" TargetMode="External"/><Relationship Id="rId23" Type="http://schemas.openxmlformats.org/officeDocument/2006/relationships/hyperlink" Target="https://noolaham.org/wiki/index.php/&#2965;&#3019;&#2979;&#3015;&#2970;&#2992;&#3021;_&#2965;&#2994;&#3021;&#2997;&#3014;&#2975;&#3021;&#2975;&#3009;" TargetMode="External"/><Relationship Id="rId24" Type="http://schemas.openxmlformats.org/officeDocument/2006/relationships/hyperlink" Target="https://noolaham.org/wiki/index.php/&#2986;&#3010;&#2984;&#2965;&#2992;&#3007;_&#2980;&#3018;&#2994;&#3021;&#2986;&#3018;&#2992;&#3009;&#2995;&#3006;&#2991;&#3021;&#2997;&#3009;" TargetMode="External"/><Relationship Id="rId25" Type="http://schemas.openxmlformats.org/officeDocument/2006/relationships/hyperlink" Target="https://noolaham.net/project/18/1733/1733.html" TargetMode="External"/><Relationship Id="rId26" Type="http://schemas.openxmlformats.org/officeDocument/2006/relationships/hyperlink" Target="https://find.library.upenn.edu/catalog/997779313503681" TargetMode="External"/><Relationship Id="rId27" Type="http://schemas.openxmlformats.org/officeDocument/2006/relationships/hyperlink" Target="https://www.lankapradeepa.com/2020/04/tamil-inscriptions-in-sri-lanka_16.html" TargetMode="External"/><Relationship Id="rId28" Type="http://schemas.openxmlformats.org/officeDocument/2006/relationships/hyperlink" Target="https://noolaham.net/project/977/97628/97628.pdf" TargetMode="External"/><Relationship Id="rId29" Type="http://schemas.openxmlformats.org/officeDocument/2006/relationships/hyperlink" Target="https://noolaham.net/project/1316/131542/131542.pdf" TargetMode="External"/><Relationship Id="rId30" Type="http://schemas.openxmlformats.org/officeDocument/2006/relationships/hyperlink" Target="https://noolaham.net/project/810/80954/80954.pdf" TargetMode="External"/><Relationship Id="rId31" Type="http://schemas.openxmlformats.org/officeDocument/2006/relationships/hyperlink" Target="http://lib.vau.jfn.ac.lk/cgi-bin/koha/opac-detail.pl?biblionumber=44042&amp;shelfbrowse_itemnumber=55269" TargetMode="External"/><Relationship Id="rId32"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his.jfn.ac.lk/index.php/__trashed/" TargetMode="External"/><Relationship Id="rId2" Type="http://schemas.openxmlformats.org/officeDocument/2006/relationships/hyperlink" Target="https://fhss.niibs.lk/wp-content/uploads/2025/02/Investigation-of-Ancient-Pre-colonial-Monuments-in-Jaffna-Sri-Lanka.pdf" TargetMode="External"/><Relationship Id="rId3" Type="http://schemas.openxmlformats.org/officeDocument/2006/relationships/hyperlink" Target="https://www.his.jfn.ac.lk/index.php/__trashed/" TargetMode="External"/><Relationship Id="rId4" Type="http://schemas.openxmlformats.org/officeDocument/2006/relationships/hyperlink" Target="https://www.his.jfn.ac.lk/index.php/mrs-ajiththa-suganthan/" TargetMode="External"/><Relationship Id="rId5" Type="http://schemas.openxmlformats.org/officeDocument/2006/relationships/hyperlink" Target="https://zenodo.org/records/16599990" TargetMode="External"/><Relationship Id="rId6" Type="http://schemas.openxmlformats.org/officeDocument/2006/relationships/hyperlink" Target="https://www.his.jfn.ac.lk/index.php/mrs-ajiththa-suganthan/" TargetMode="External"/><Relationship Id="rId7" Type="http://schemas.openxmlformats.org/officeDocument/2006/relationships/hyperlink" Target="https://www.his.jfn.ac.lk/index.php/__trashed/" TargetMode="External"/><Relationship Id="rId8" Type="http://schemas.openxmlformats.org/officeDocument/2006/relationships/hyperlink" Target="https://www.his.jfn.ac.lk/index.php/__trashed/" TargetMode="External"/><Relationship Id="rId9" Type="http://schemas.openxmlformats.org/officeDocument/2006/relationships/hyperlink" Target="https://www.his.jfn.ac.lk/index.php/mrs-ajiththa-suganthan/" TargetMode="External"/><Relationship Id="rId10" Type="http://schemas.openxmlformats.org/officeDocument/2006/relationships/hyperlink" Target="https://www.his.jfn.ac.lk/index.php/mrs-ajiththa-suganthan/" TargetMode="External"/><Relationship Id="rId11" Type="http://schemas.openxmlformats.org/officeDocument/2006/relationships/hyperlink" Target="https://www.his.jfn.ac.lk/index.php/__trashed/" TargetMode="External"/><Relationship Id="rId12" Type="http://schemas.openxmlformats.org/officeDocument/2006/relationships/hyperlink" Target="https://www.his.jfn.ac.lk/index.php/__trashed/" TargetMode="External"/><Relationship Id="rId13" Type="http://schemas.openxmlformats.org/officeDocument/2006/relationships/hyperlink" Target="https://www.his.jfn.ac.lk/index.php/__trashed/" TargetMode="External"/><Relationship Id="rId14" Type="http://schemas.openxmlformats.org/officeDocument/2006/relationships/hyperlink" Target="https://archaeology.gov.lk/media/attachments/2022/09/07/ac27updated.pdf" TargetMode="External"/><Relationship Id="rId15" Type="http://schemas.openxmlformats.org/officeDocument/2006/relationships/hyperlink" Target="https://www.his.jfn.ac.lk/?p=791" TargetMode="External"/><Relationship Id="rId16" Type="http://schemas.openxmlformats.org/officeDocument/2006/relationships/hyperlink" Target="https://www.his.jfn.ac.lk/index.php/mrs-ajiththa-suganthan/" TargetMode="External"/><Relationship Id="rId17" Type="http://schemas.openxmlformats.org/officeDocument/2006/relationships/hyperlink" Target="https://www.his.jfn.ac.lk/index.php/mrs-s-arulanantham/" TargetMode="External"/><Relationship Id="rId18" Type="http://schemas.openxmlformats.org/officeDocument/2006/relationships/hyperlink" Target="https://www.his.jfn.ac.lk/index.php/__trashed/" TargetMode="External"/><Relationship Id="rId19" Type="http://schemas.openxmlformats.org/officeDocument/2006/relationships/hyperlink" Target="https://www.his.jfn.ac.lk/index.php/__trashed/" TargetMode="External"/><Relationship Id="rId20" Type="http://schemas.openxmlformats.org/officeDocument/2006/relationships/hyperlink" Target="https://www.his.jfn.ac.lk/?p=791" TargetMode="External"/><Relationship Id="rId21" Type="http://schemas.openxmlformats.org/officeDocument/2006/relationships/hyperlink" Target="https://www.his.jfn.ac.lk/?p=791" TargetMode="External"/><Relationship Id="rId22" Type="http://schemas.openxmlformats.org/officeDocument/2006/relationships/hyperlink" Target="https://www.his.jfn.ac.lk/index.php/mrs-ajiththa-suganthan/" TargetMode="External"/><Relationship Id="rId23" Type="http://schemas.openxmlformats.org/officeDocument/2006/relationships/hyperlink" Target="https://www.his.jfn.ac.lk/?p=791" TargetMode="External"/><Relationship Id="rId24" Type="http://schemas.openxmlformats.org/officeDocument/2006/relationships/hyperlink" Target="https://www.his.jfn.ac.lk/?p=791" TargetMode="External"/><Relationship Id="rId25"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Relationship Id="rId26" Type="http://schemas.openxmlformats.org/officeDocument/2006/relationships/hyperlink" Target="https://www.his.jfn.ac.lk/index.php/__trashed/" TargetMode="External"/><Relationship Id="rId27" Type="http://schemas.openxmlformats.org/officeDocument/2006/relationships/hyperlink" Target="https://www.his.jfn.ac.lk/?p=791" TargetMode="External"/><Relationship Id="rId28" Type="http://schemas.openxmlformats.org/officeDocument/2006/relationships/hyperlink" Target="https://www.his.jfn.ac.lk/index.php/__trashed/" TargetMode="External"/><Relationship Id="rId29" Type="http://schemas.openxmlformats.org/officeDocument/2006/relationships/hyperlink" Target="https://www.his.jfn.ac.lk/?p=791" TargetMode="External"/><Relationship Id="rId30" Type="http://schemas.openxmlformats.org/officeDocument/2006/relationships/hyperlink" Target="https://www.his.jfn.ac.lk/?p=791" TargetMode="External"/><Relationship Id="rId31" Type="http://schemas.openxmlformats.org/officeDocument/2006/relationships/hyperlink" Target="https://www.his.jfn.ac.lk/?p=791" TargetMode="External"/><Relationship Id="rId32" Type="http://schemas.openxmlformats.org/officeDocument/2006/relationships/hyperlink" Target="https://www.his.jfn.ac.lk/?p=791" TargetMode="External"/><Relationship Id="rId33" Type="http://schemas.openxmlformats.org/officeDocument/2006/relationships/hyperlink" Target="https://www.his.jfn.ac.lk/?p=791" TargetMode="External"/><Relationship Id="rId34" Type="http://schemas.openxmlformats.org/officeDocument/2006/relationships/hyperlink" Target="https://www.his.jfn.ac.lk/index.php/mrs-ajiththa-suganthan/" TargetMode="External"/><Relationship Id="rId35" Type="http://schemas.openxmlformats.org/officeDocument/2006/relationships/hyperlink" Target="https://www.his.jfn.ac.lk/?p=791" TargetMode="External"/><Relationship Id="rId36" Type="http://schemas.openxmlformats.org/officeDocument/2006/relationships/hyperlink" Target="https://www.his.jfn.ac.lk/index.php/profkarunthavarajah/" TargetMode="External"/><Relationship Id="rId37" Type="http://schemas.openxmlformats.org/officeDocument/2006/relationships/hyperlink" Target="https://www.his.jfn.ac.lk/index.php/mrs-s-arulanantham/" TargetMode="External"/><Relationship Id="rId38" Type="http://schemas.openxmlformats.org/officeDocument/2006/relationships/hyperlink" Target="https://rer.jfn.ac.lk/items/cf7a95e0-fe51-4ae1-88aa-4842327beb59/full" TargetMode="External"/><Relationship Id="rId39" Type="http://schemas.openxmlformats.org/officeDocument/2006/relationships/hyperlink" Target="https://www.his.jfn.ac.lk/?p=791" TargetMode="External"/><Relationship Id="rId40" Type="http://schemas.openxmlformats.org/officeDocument/2006/relationships/hyperlink" Target="https://www.his.jfn.ac.lk/index.php/mrs-s-arulanantham/" TargetMode="External"/><Relationship Id="rId41" Type="http://schemas.openxmlformats.org/officeDocument/2006/relationships/hyperlink" Target="https://www.his.jfn.ac.lk/index.php/profkarunthavarajah/" TargetMode="External"/><Relationship Id="rId42" Type="http://schemas.openxmlformats.org/officeDocument/2006/relationships/hyperlink" Target="https://www.his.jfn.ac.lk/index.php/profkarunthavarajah/" TargetMode="External"/><Relationship Id="rId43" Type="http://schemas.openxmlformats.org/officeDocument/2006/relationships/hyperlink" Target="https://www.his.jfn.ac.lk/index.php/profkarunthavarajah/" TargetMode="External"/><Relationship Id="rId44" Type="http://schemas.openxmlformats.org/officeDocument/2006/relationships/hyperlink" Target="https://www.his.jfn.ac.lk/index.php/mrs-s-arulanantham/" TargetMode="External"/><Relationship Id="rId45" Type="http://schemas.openxmlformats.org/officeDocument/2006/relationships/hyperlink" Target="https://www.lankapradeepa.com/2020/04/tamil-inscriptions-in-sri-lanka_16.html" TargetMode="External"/><Relationship Id="rId46" Type="http://schemas.openxmlformats.org/officeDocument/2006/relationships/hyperlink" Target="https://jfn.ac.lk/prof-s-pathmanathan/" TargetMode="External"/><Relationship Id="rId47" Type="http://schemas.openxmlformats.org/officeDocument/2006/relationships/hyperlink" Target="https://jfn.ac.lk/prof-s-pathmanathan/" TargetMode="External"/><Relationship Id="rId48" Type="http://schemas.openxmlformats.org/officeDocument/2006/relationships/hyperlink" Target="https://www.lankapradeepa.com/2020/04/tamil-inscriptions-in-sri-lanka_16.html" TargetMode="External"/><Relationship Id="rId49" Type="http://schemas.openxmlformats.org/officeDocument/2006/relationships/hyperlink" Target="https://jfn.ac.lk/prof-s-pathmanathan/" TargetMode="External"/><Relationship Id="rId50" Type="http://schemas.openxmlformats.org/officeDocument/2006/relationships/hyperlink" Target="https://jfn.ac.lk/prof-s-pathmanathan/" TargetMode="External"/><Relationship Id="rId51" Type="http://schemas.openxmlformats.org/officeDocument/2006/relationships/hyperlink" Target="https://jfn.ac.lk/prof-s-pathmanathan/" TargetMode="External"/><Relationship Id="rId52" Type="http://schemas.openxmlformats.org/officeDocument/2006/relationships/hyperlink" Target="https://jfn.ac.lk/prof-s-pathmanathan/" TargetMode="External"/><Relationship Id="rId53" Type="http://schemas.openxmlformats.org/officeDocument/2006/relationships/hyperlink" Target="https://jfn.ac.lk/prof-s-pathmanathan/" TargetMode="External"/><Relationship Id="rId54" Type="http://schemas.openxmlformats.org/officeDocument/2006/relationships/hyperlink" Target="https://jfn.ac.lk/prof-s-pathmanathan/" TargetMode="External"/><Relationship Id="rId55" Type="http://schemas.openxmlformats.org/officeDocument/2006/relationships/hyperlink" Target="https://www.lankapradeepa.com/2020/04/tamil-inscriptions-in-sri-lanka_16.html" TargetMode="External"/><Relationship Id="rId56" Type="http://schemas.openxmlformats.org/officeDocument/2006/relationships/hyperlink" Target="https://jfn.ac.lk/prof-s-pathmanathan/" TargetMode="External"/><Relationship Id="rId57" Type="http://schemas.openxmlformats.org/officeDocument/2006/relationships/hyperlink" Target="https://ir.lib.pdn.ac.lk/handle/20.500.14444/3809" TargetMode="External"/><Relationship Id="rId58" Type="http://schemas.openxmlformats.org/officeDocument/2006/relationships/hyperlink" Target="https://ir.lib.pdn.ac.lk/items/583155fd-b49e-4398-8b04-51776c4dbf8f/full" TargetMode="External"/><Relationship Id="rId59" Type="http://schemas.openxmlformats.org/officeDocument/2006/relationships/hyperlink" Target="https://www.lankapradeepa.com/2020/04/tamil-inscriptions-in-sri-lanka_16.html" TargetMode="External"/><Relationship Id="rId60" Type="http://schemas.openxmlformats.org/officeDocument/2006/relationships/hyperlink" Target="https://jfn.ac.lk/prof-s-pathmanathan/" TargetMode="External"/><Relationship Id="rId61" Type="http://schemas.openxmlformats.org/officeDocument/2006/relationships/hyperlink" Target="https://www.lankapradeepa.com/2020/04/tamil-inscriptions-in-sri-lanka_16.html" TargetMode="External"/><Relationship Id="rId62" Type="http://schemas.openxmlformats.org/officeDocument/2006/relationships/hyperlink" Target="https://jfn.ac.lk/prof-s-pathmanathan/" TargetMode="External"/><Relationship Id="rId63" Type="http://schemas.openxmlformats.org/officeDocument/2006/relationships/hyperlink" Target="https://siddham.network/tag/kayts/" TargetMode="External"/><Relationship Id="rId64" Type="http://schemas.openxmlformats.org/officeDocument/2006/relationships/hyperlink" Target="https://ir.lib.pdn.ac.lk/handle/20.500.14444/5038" TargetMode="External"/><Relationship Id="rId65" Type="http://schemas.openxmlformats.org/officeDocument/2006/relationships/hyperlink" Target="https://www.academia.edu/44307643/Annaikottai_Seal_Is_it_Tamil_Brahmi" TargetMode="External"/><Relationship Id="rId66" Type="http://schemas.openxmlformats.org/officeDocument/2006/relationships/hyperlink" Target="https://mrujs.mtroyal.ca/index.php/anlk/article/view/634" TargetMode="External"/><Relationship Id="rId67" Type="http://schemas.openxmlformats.org/officeDocument/2006/relationships/hyperlink" Target="https://irjt.iorpress.org/index.php/irjt/article/download/2607/2111/4821" TargetMode="External"/><Relationship Id="rId68" Type="http://schemas.openxmlformats.org/officeDocument/2006/relationships/hyperlink" Target="https://rer.jfn.ac.lk/items/69679e68-fe61-4cd9-a9de-ccff08422aac/full" TargetMode="External"/><Relationship Id="rId69" Type="http://schemas.openxmlformats.org/officeDocument/2006/relationships/hyperlink" Target="https://www.academia.edu/47759409/Making_Lanka_the_Tamil_way_a_temple_history_at_the_crossroads_of_landscapes_and_watersheds" TargetMode="External"/><Relationship Id="rId70" Type="http://schemas.openxmlformats.org/officeDocument/2006/relationships/hyperlink" Target="https://durham-repository.worktribe.com/output/1656993/recent-excavations-and-survey-at-jaffna-fort-in-2017-and-reflections-on-the-antiquity-of-indian-ocean-trade" TargetMode="External"/><Relationship Id="rId71" Type="http://schemas.openxmlformats.org/officeDocument/2006/relationships/hyperlink" Target="https://rer.jfn.ac.lk/items/fc0f248b-470f-449c-a7c6-8b8ec38517f0" TargetMode="External"/><Relationship Id="rId72" Type="http://schemas.openxmlformats.org/officeDocument/2006/relationships/hyperlink" Target="https://www.researchgate.net/publication/301336596_The_Peopling_of_Sri_Lanka_from_Prehistoric_to_Historic_Times_Biological_and_Archaeological_Evidence" TargetMode="External"/><Relationship Id="rId73" Type="http://schemas.openxmlformats.org/officeDocument/2006/relationships/hyperlink" Target="https://dspace.lib.seu.ac.lk/items/2bce5ebf-dc84-4b9c-a7ed-ca9bf13f1e7a/full" TargetMode="External"/><Relationship Id="rId74" Type="http://schemas.openxmlformats.org/officeDocument/2006/relationships/hyperlink" Target="https://dspace.lib.seu.ac.lk/items/d9c75f55-5065-4c9d-9c54-98ec1717f8d1" TargetMode="External"/><Relationship Id="rId75"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colombotelegraph.com/index.php/a-historian-in-focus-the-dark-side-of-s-pathmanathan/" TargetMode="External"/><Relationship Id="rId2" Type="http://schemas.openxmlformats.org/officeDocument/2006/relationships/hyperlink" Target="https://www.tamilguardian.com/content/prof-pathmanathans-new-book-sheds-light-early-jaffna-civilisation" TargetMode="External"/><Relationship Id="rId3" Type="http://schemas.openxmlformats.org/officeDocument/2006/relationships/hyperlink" Target="https://ibctamil.com/article/an-underground-city-discovered-in-polonnaruwa-sl-1708747886" TargetMode="External"/><Relationship Id="rId4" Type="http://schemas.openxmlformats.org/officeDocument/2006/relationships/hyperlink" Target="https://www.sundaytimes.lk/180211/plus/head-to-the-east-for-a-feast-of-archaeological-sites-281129.html" TargetMode="External"/><Relationship Id="rId5" Type="http://schemas.openxmlformats.org/officeDocument/2006/relationships/hyperlink" Target="https://archives1.dailynews.lk/2017/01/04/features/103659" TargetMode="External"/><Relationship Id="rId6" Type="http://schemas.openxmlformats.org/officeDocument/2006/relationships/hyperlink" Target="https://archives.sundayobserver.lk/2013/03/10/mon13.asp" TargetMode="External"/><Relationship Id="rId7" Type="http://schemas.openxmlformats.org/officeDocument/2006/relationships/hyperlink" Target="https://tamilnet.com/art.html?artid=35707&amp;catid=79" TargetMode="External"/><Relationship Id="rId8" Type="http://schemas.openxmlformats.org/officeDocument/2006/relationships/hyperlink" Target="https://www.his.jfn.ac.lk/?p=791" TargetMode="External"/><Relationship Id="rId9" Type="http://schemas.openxmlformats.org/officeDocument/2006/relationships/hyperlink" Target="https://archives.thinakaran.lk/2011/02/15/?fn=i1102155&amp;p=1" TargetMode="External"/><Relationship Id="rId10" Type="http://schemas.openxmlformats.org/officeDocument/2006/relationships/hyperlink" Target="https://tamilnet.com/art.html?artid=32063&amp;catid=79" TargetMode="External"/><Relationship Id="rId11" Type="http://schemas.openxmlformats.org/officeDocument/2006/relationships/hyperlink" Target="https://www.tamilnet.com/art.html?artid=32303&amp;catid=79" TargetMode="External"/><Relationship Id="rId12" Type="http://schemas.openxmlformats.org/officeDocument/2006/relationships/hyperlink" Target="https://tamilnet.com/art.html?artid=32843&amp;catid=79" TargetMode="External"/><Relationship Id="rId13" Type="http://schemas.openxmlformats.org/officeDocument/2006/relationships/hyperlink" Target="https://www.tamilnet.com/art.html?artid=32850&amp;catid=13" TargetMode="External"/><Relationship Id="rId14" Type="http://schemas.openxmlformats.org/officeDocument/2006/relationships/hyperlink" Target="https://www.sundaytimes.lk/000423/plus3.html" TargetMode="External"/><Relationship Id="rId15" Type="http://schemas.openxmlformats.org/officeDocument/2006/relationships/hyperlink" Target="https://www.tamilguardian.com/content/2000-year-old-tamil-brahmi-inscriptions-discovered-egypts-valley-kings" TargetMode="External"/><Relationship Id="rId16" Type="http://schemas.openxmlformats.org/officeDocument/2006/relationships/hyperlink" Target="https://www.tamilguardian.com/content/3400-year-old-human-remains-discovered-velanai-jaffna" TargetMode="External"/><Relationship Id="rId17" Type="http://schemas.openxmlformats.org/officeDocument/2006/relationships/hyperlink" Target="https://www.tamilguardian.com/content/ancient-pandyan-coins-bring-intrigue-and-dispute-sri-lanka" TargetMode="External"/><Relationship Id="rId18" Type="http://schemas.openxmlformats.org/officeDocument/2006/relationships/hyperlink" Target="https://www.colombotelegraph.com/index.php/book-review-the-historian-as-bridge/" TargetMode="External"/><Relationship Id="rId19" Type="http://schemas.openxmlformats.org/officeDocument/2006/relationships/hyperlink" Target="https://archives1.sundayobserver.lk/node/26758" TargetMode="External"/><Relationship Id="rId20" Type="http://schemas.openxmlformats.org/officeDocument/2006/relationships/hyperlink" Target="https://island.lk/little-known-facets-of-sri-lankan-historya-chola-princess-and-the-old-name-for-jaffna/" TargetMode="External"/><Relationship Id="rId21" Type="http://schemas.openxmlformats.org/officeDocument/2006/relationships/hyperlink" Target="https://island.lk/reptiles-in-rock-and-time-unveiling-sri-lankas-ancient-herpetological-art/" TargetMode="External"/><Relationship Id="rId22" Type="http://schemas.openxmlformats.org/officeDocument/2006/relationships/hyperlink" Target="https://archives1.sundayobserver.lk/node/44600" TargetMode="External"/><Relationship Id="rId23" Type="http://schemas.openxmlformats.org/officeDocument/2006/relationships/hyperlink" Target="https://www.tamilguardian.com/index.php/node/955066" TargetMode="External"/><Relationship Id="rId24" Type="http://schemas.openxmlformats.org/officeDocument/2006/relationships/hyperlink" Target="https://www.colombotelegraph.com/index.php/sri-lankas-role-in-south-asias-earliest-writing-controversy/" TargetMode="External"/><Relationship Id="rId25" Type="http://schemas.openxmlformats.org/officeDocument/2006/relationships/hyperlink" Target="https://www.tamilguardian.com/content/tamil-civilisation-it-oldest" TargetMode="External"/><Relationship Id="rId26" Type="http://schemas.openxmlformats.org/officeDocument/2006/relationships/hyperlink" Target="https://www.colombotelegraph.com/index.php/the-tamils-are-the-original-inhabitants-of-sri-lanka/" TargetMode="External"/><Relationship Id="rId27" Type="http://schemas.openxmlformats.org/officeDocument/2006/relationships/hyperlink" Target="https://www.tamilguardian.com/index.php/content/trilingual-inscription-tamil-chinese-and-persian-recognised-unesco" TargetMode="External"/><Relationship Id="rId28" Type="http://schemas.openxmlformats.org/officeDocument/2006/relationships/hyperlink" Target="https://tamilwin.com/article/discovery-of-the-inscription-in-trincomalee-1637431493" TargetMode="External"/><Relationship Id="rId29" Type="http://schemas.openxmlformats.org/officeDocument/2006/relationships/hyperlink" Target="https://thinakkural.lk/article/45056" TargetMode="External"/><Relationship Id="rId30" Type="http://schemas.openxmlformats.org/officeDocument/2006/relationships/hyperlink" Target="https://www.tamilmirror.lk/91-286936" TargetMode="External"/><Relationship Id="rId31" Type="http://schemas.openxmlformats.org/officeDocument/2006/relationships/hyperlink" Target="https://www.virakesari.lk/article/160191" TargetMode="External"/><Relationship Id="rId32"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ezhunaonline.com/manthai-the-seafaring-trading-center-of-ancient-sri-lanka/" TargetMode="External"/><Relationship Id="rId2" Type="http://schemas.openxmlformats.org/officeDocument/2006/relationships/hyperlink" Target="https://www.ezhunaonline.com/ancient-religious-practices-in-ancient-jaffna-part-2/" TargetMode="External"/><Relationship Id="rId3" Type="http://schemas.openxmlformats.org/officeDocument/2006/relationships/hyperlink" Target="https://www.ezhunaonline.com/jaffna-buddhism-100-bc-1200-ad-part-2/" TargetMode="External"/><Relationship Id="rId4" Type="http://schemas.openxmlformats.org/officeDocument/2006/relationships/hyperlink" Target="https://www.ezhunaonline.com/ancient-coins-found-in-kandy-and-northern-sri-lanka-part-1/" TargetMode="External"/><Relationship Id="rId5" Type="http://schemas.openxmlformats.org/officeDocument/2006/relationships/hyperlink" Target="https://www.ezhunaonline.com/ancient-coins-found-in-kandy-and-northern-sri-lanka-part-2/" TargetMode="External"/><Relationship Id="rId6" Type="http://schemas.openxmlformats.org/officeDocument/2006/relationships/hyperlink" Target="https://www.ezhunaonline.com/origin-and-gradual-development-of-the-gandharoda-civilization-part-4/" TargetMode="External"/><Relationship Id="rId7" Type="http://schemas.openxmlformats.org/officeDocument/2006/relationships/hyperlink" Target="https://www.ezhunaonline.com/the-gandarodai-archaeological-site-and-scientific-studies-on-the-early-iron-age-that-overturned-the-mahavamsa-history-of-sri-lanka-part-5/" TargetMode="External"/><Relationship Id="rId8" Type="http://schemas.openxmlformats.org/officeDocument/2006/relationships/hyperlink" Target="https://www.ezhunaonline.com/ochapu-kallu-is-an-ancient-nagar-settlement/" TargetMode="External"/><Relationship Id="rId9" Type="http://schemas.openxmlformats.org/officeDocument/2006/relationships/hyperlink" Target="https://www.ezhunaonline.com/inscription-about-nagar-on-thanga-tirumala-by-brahmin-divakan/" TargetMode="External"/><Relationship Id="rId10" Type="http://schemas.openxmlformats.org/officeDocument/2006/relationships/hyperlink" Target="https://www.ezhunaonline.com/on-the-border-of-ghazigamalai/" TargetMode="External"/><Relationship Id="rId11" Type="http://schemas.openxmlformats.org/officeDocument/2006/relationships/hyperlink" Target="https://www.ezhunaonline.com/inscriptions-about-nagar-found-on-rittikala-hill-arita-parvata-hill/" TargetMode="External"/><Relationship Id="rId12" Type="http://schemas.openxmlformats.org/officeDocument/2006/relationships/hyperlink" Target="https://www.ezhunaonline.com/inscription-of-naga-maharaja-on-rithi-viharai-hill/" TargetMode="External"/><Relationship Id="rId13" Type="http://schemas.openxmlformats.org/officeDocument/2006/relationships/hyperlink" Target="https://www.ezhunaonline.com/gandharoda-civilization-of-ancient-jaffna/" TargetMode="External"/><Relationship Id="rId14" Type="http://schemas.openxmlformats.org/officeDocument/2006/relationships/hyperlink" Target="https://www.ezhunaonline.com/geology-topography-and-ancient-settlements-of-jaffna/" TargetMode="External"/><Relationship Id="rId15" Type="http://schemas.openxmlformats.org/officeDocument/2006/relationships/hyperlink" Target="https://www.ezhunaonline.com/andiyagala-hill-inscription-where-siddhas-lived-2000-years-ago/" TargetMode="External"/><Relationship Id="rId16" Type="http://schemas.openxmlformats.org/officeDocument/2006/relationships/hyperlink" Target="https://www.ezhunaonline.com/hibauwa-inscription-about-the-naga-clan/" TargetMode="External"/><Relationship Id="rId17" Type="http://schemas.openxmlformats.org/officeDocument/2006/relationships/hyperlink" Target="https://www.ezhunaonline.com/nagaland-and-the-nagas-in-history-and-literary-records-part-2/" TargetMode="External"/><Relationship Id="rId18" Type="http://schemas.openxmlformats.org/officeDocument/2006/relationships/hyperlink" Target="https://www.ezhunaonline.com/the-dating-of-archaeological-artefacts/" TargetMode="External"/><Relationship Id="rId19" Type="http://schemas.openxmlformats.org/officeDocument/2006/relationships/hyperlink" Target="https://www.ezhunaonline.com/archaeology-of-kantarodai-part-3/" TargetMode="External"/><Relationship Id="rId20" Type="http://schemas.openxmlformats.org/officeDocument/2006/relationships/hyperlink" Target="https://www.ezhunaonline.com/anaikottai-archaeological-survey/" TargetMode="External"/><Relationship Id="rId21" Type="http://schemas.openxmlformats.org/officeDocument/2006/relationships/hyperlink" Target="https://www.ezhunaonline.com/the-kallanchiya-rock-inscription-tells-of-king-nagan/" TargetMode="External"/><Relationship Id="rId22" Type="http://schemas.openxmlformats.org/officeDocument/2006/relationships/hyperlink" Target="https://www.ezhunaonline.com/jaffna-city-pongoli-water-lion-city-part-2/" TargetMode="External"/><Relationship Id="rId23" Type="http://schemas.openxmlformats.org/officeDocument/2006/relationships/hyperlink" Target="https://www.ezhunaonline.com/vallipuram-and-nagercoil/" TargetMode="External"/><Relationship Id="rId24" Type="http://schemas.openxmlformats.org/officeDocument/2006/relationships/hyperlink" Target="https://www.ezhunaonline.com/early-settlements-near-the-jaffna-peninsula/" TargetMode="External"/><Relationship Id="rId25" Type="http://schemas.openxmlformats.org/officeDocument/2006/relationships/hyperlink" Target="https://www.ezhunaonline.com/primitive-settlements-in-the-northern-mainland-of-sri-lanka/" TargetMode="External"/><Relationship Id="rId26" Type="http://schemas.openxmlformats.org/officeDocument/2006/relationships/hyperlink" Target="https://www.ezhunaonline.com/early-iron-age-and-neolithic-culture-in-sri-lanka-part-3/" TargetMode="External"/><Relationship Id="rId27" Type="http://schemas.openxmlformats.org/officeDocument/2006/relationships/hyperlink" Target="https://www.ezhunaonline.com/history-of-naga-and-anuradhapura-kings-in-eastern-srilanka/" TargetMode="External"/><Relationship Id="rId28" Type="http://schemas.openxmlformats.org/officeDocument/2006/relationships/hyperlink" Target="https://www.ezhunaonline.com/the-first-ten-clans-of-eastern-sri-lanka/" TargetMode="External"/><Relationship Id="rId29" Type="http://schemas.openxmlformats.org/officeDocument/2006/relationships/hyperlink" Target="https://www.ezhunaonline.com/an-introduction-to-brahmi-inscriptions-in-sri-lanka/" TargetMode="External"/><Relationship Id="rId30" Type="http://schemas.openxmlformats.org/officeDocument/2006/relationships/hyperlink" Target="https://www.ezhunaonline.com/tamil-brahmi-inscription-in-ambanthotta-2/" TargetMode="External"/><Relationship Id="rId31" Type="http://schemas.openxmlformats.org/officeDocument/2006/relationships/hyperlink" Target="https://www.ezhunaonline.com/from-vattagamini-to-vattagamini/" TargetMode="External"/><Relationship Id="rId32" Type="http://schemas.openxmlformats.org/officeDocument/2006/relationships/hyperlink" Target="https://www.ezhunaonline.com/history-of-nagar-in-northern-sri-lanka/" TargetMode="External"/><Relationship Id="rId33" Type="http://schemas.openxmlformats.org/officeDocument/2006/relationships/hyperlink" Target="https://www.ezhunaonline.com/eastern-ruhunu-until-the-period-of-mahasenan/" TargetMode="External"/><Relationship Id="rId34" Type="http://schemas.openxmlformats.org/officeDocument/2006/relationships/hyperlink" Target="https://www.ezhunaonline.com/naga-culture-in-mihintala-anuradhapura/" TargetMode="External"/><Relationship Id="rId35" Type="http://schemas.openxmlformats.org/officeDocument/2006/relationships/hyperlink" Target="https://www.ezhunaonline.com/thissamaharama-inscription/" TargetMode="External"/><Relationship Id="rId36" Type="http://schemas.openxmlformats.org/officeDocument/2006/relationships/hyperlink" Target="https://www.ezhunaonline.com/pidurangala-bhirami-inscription/" TargetMode="External"/><Relationship Id="rId37" Type="http://schemas.openxmlformats.org/officeDocument/2006/relationships/hyperlink" Target="https://www.ezhunaonline.com/sri-lanka-eastern-province-ancient-history/" TargetMode="External"/><Relationship Id="rId38" Type="http://schemas.openxmlformats.org/officeDocument/2006/relationships/hyperlink" Target="https://www.ezhunaonline.com/vessagiriya-inscription-that-tells-about-naga-blacksmith/" TargetMode="External"/><Relationship Id="rId39" Type="http://schemas.openxmlformats.org/officeDocument/2006/relationships/hyperlink" Target="https://www.ezhunaonline.com/the-wife-of-akkapothi-sri-lankan-eastern-history/" TargetMode="External"/><Relationship Id="rId40" Type="http://schemas.openxmlformats.org/officeDocument/2006/relationships/hyperlink" Target="https://www.ezhunaonline.com/kathirgamam-inscription-by-tamil-king-maha-nagan/" TargetMode="External"/><Relationship Id="rId41" Type="http://schemas.openxmlformats.org/officeDocument/2006/relationships/hyperlink" Target="https://www.ezhunaonline.com/siththar-rock-inscription-which-tell-about-maharajan/" TargetMode="External"/><Relationship Id="rId42" Type="http://schemas.openxmlformats.org/officeDocument/2006/relationships/hyperlink" Target="https://www.ezhunaonline.com/irakkamam-a-tax-free-village-for-anuradhapura-commander/" TargetMode="External"/><Relationship Id="rId43" Type="http://schemas.openxmlformats.org/officeDocument/2006/relationships/hyperlink" Target="https://www.ezhunaonline.com/pandakiriya-inscription/" TargetMode="External"/><Relationship Id="rId44" Type="http://schemas.openxmlformats.org/officeDocument/2006/relationships/hyperlink" Target="https://www.ezhunaonline.com/padarkal-malai-inscrption/" TargetMode="External"/><Relationship Id="rId45" Type="http://schemas.openxmlformats.org/officeDocument/2006/relationships/hyperlink" Target="https://www.ezhunaonline.com/velodum-malai-nagamalai-inscription-mentions-maha-naga-king/" TargetMode="External"/><Relationship Id="rId46" Type="http://schemas.openxmlformats.org/officeDocument/2006/relationships/hyperlink" Target="https://www.ezhunaonline.com/inscriptions-about-nagar-on-pambarakasthalava-hill-nagaparvata-hill/" TargetMode="External"/><Relationship Id="rId47" Type="http://schemas.openxmlformats.org/officeDocument/2006/relationships/hyperlink" Target="https://www.ezhunaonline.com/kalladi-niliyamman-hill-inscriptions-sri-lanka-mentions-the-naga-king-and-the-naga-canal/" TargetMode="External"/><Relationship Id="rId48" Type="http://schemas.openxmlformats.org/officeDocument/2006/relationships/hyperlink" Target="https://www.ezhunaonline.com/the-rajagala-inscriptions-refer-to-nagar/" TargetMode="External"/><Relationship Id="rId49" Type="http://schemas.openxmlformats.org/officeDocument/2006/relationships/hyperlink" Target="https://www.ezhunaonline.com/the-kudumbigala-hill-inscription-mentions-the-village-officer-nagan/" TargetMode="External"/><Relationship Id="rId50" Type="http://schemas.openxmlformats.org/officeDocument/2006/relationships/hyperlink" Target="https://www.ezhunaonline.com/chola-in-keekhagarai/" TargetMode="External"/><Relationship Id="rId51" Type="http://schemas.openxmlformats.org/officeDocument/2006/relationships/hyperlink" Target="https://www.ezhunaonline.com/muthukal-hill-inscriptions-mention-nagar/" TargetMode="External"/><Relationship Id="rId52" Type="http://schemas.openxmlformats.org/officeDocument/2006/relationships/hyperlink" Target="https://www.ezhunaonline.com/kayanguda-kumacholai-inscription-of-eastern-ceylon-viceroy/" TargetMode="External"/><Relationship Id="rId53" Type="http://schemas.openxmlformats.org/officeDocument/2006/relationships/hyperlink" Target="https://www.ezhunaonline.com/handagala-brahmic-inscriptions-refer-to-nagar/" TargetMode="External"/><Relationship Id="rId54" Type="http://schemas.openxmlformats.org/officeDocument/2006/relationships/hyperlink" Target="https://www.ezhunaonline.com/later-inscriptions-refer-to-tamils/" TargetMode="External"/><Relationship Id="rId55" Type="http://schemas.openxmlformats.org/officeDocument/2006/relationships/hyperlink" Target="https://www.ezhunaonline.com/tamaraveva-pillar-inscription-referring-to-the-tamil-official-mahasathan/" TargetMode="External"/><Relationship Id="rId56" Type="http://schemas.openxmlformats.org/officeDocument/2006/relationships/hyperlink" Target="https://www.ezhunaonline.com/badulla-inscription/" TargetMode="External"/><Relationship Id="rId57" Type="http://schemas.openxmlformats.org/officeDocument/2006/relationships/hyperlink" Target="https://www.ezhunaonline.com/anuradhapura-inscription/" TargetMode="External"/><Relationship Id="rId58" Type="http://schemas.openxmlformats.org/officeDocument/2006/relationships/hyperlink" Target="https://www.ezhunaonline.com/rankoth-viharai-inscription/" TargetMode="External"/><Relationship Id="rId59" Type="http://schemas.openxmlformats.org/officeDocument/2006/relationships/hyperlink" Target="https://www.ezhunaonline.com/wessagiri-inscription/" TargetMode="External"/><Relationship Id="rId60" Type="http://schemas.openxmlformats.org/officeDocument/2006/relationships/hyperlink" Target="https://www.ezhunaonline.com/keekhakarai-paravani-inscriptioniii/" TargetMode="External"/><Relationship Id="rId61" Type="http://schemas.openxmlformats.org/officeDocument/2006/relationships/hyperlink" Target="https://www.ezhunaonline.com/batticaloa-history-iii/" TargetMode="External"/><Relationship Id="rId62" Type="http://schemas.openxmlformats.org/officeDocument/2006/relationships/hyperlink" Target="https://www.ezhunaonline.com/the-other-myths-of-batticaloa-2/" TargetMode="External"/><Relationship Id="rId63" Type="http://schemas.openxmlformats.org/officeDocument/2006/relationships/hyperlink" Target="https://www.ezhunaonline.com/timeline-of-sri-lankan-pre-history/" TargetMode="External"/><Relationship Id="rId64" Type="http://schemas.openxmlformats.org/officeDocument/2006/relationships/hyperlink" Target="https://www.ezhunaonline.com/the-initial-stage-of-sri-lankan-history-period/" TargetMode="External"/><Relationship Id="rId65" Type="http://schemas.openxmlformats.org/officeDocument/2006/relationships/hyperlink" Target="https://www.ezhunaonline.com/brahmic-inscriptions-on-tamils-in-ceylon-an-introduction/" TargetMode="External"/><Relationship Id="rId66" Type="http://schemas.openxmlformats.org/officeDocument/2006/relationships/hyperlink" Target="https://www.ezhunaonline.com/5brahmic-in-icriptions-tamils/" TargetMode="External"/><Relationship Id="rId67" Type="http://schemas.openxmlformats.org/officeDocument/2006/relationships/hyperlink" Target="https://www.ezhunaonline.com/tamil-vanikan-puliankulam-inscriptions/" TargetMode="External"/><Relationship Id="rId68" Type="http://schemas.openxmlformats.org/officeDocument/2006/relationships/hyperlink" Target="https://www.ezhunaonline.com/seruvila-inscription-on-tamil-family-leader-guttan/" TargetMode="External"/><Relationship Id="rId69" Type="http://schemas.openxmlformats.org/officeDocument/2006/relationships/hyperlink" Target="https://www.ezhunaonline.com/gudvil-inscription-about-a-tamil-merchant-who-was-a-resident-of-dikavapi/" TargetMode="External"/><Relationship Id="rId70" Type="http://schemas.openxmlformats.org/officeDocument/2006/relationships/hyperlink" Target="https://www.ezhunaonline.com/evidence-for-keekhakarai-tamil-literature/" TargetMode="External"/><Relationship Id="rId71" Type="http://schemas.openxmlformats.org/officeDocument/2006/relationships/hyperlink" Target="https://amazinglanka.com/wp/sankiliyatital/" TargetMode="External"/><Relationship Id="rId72" Type="http://schemas.openxmlformats.org/officeDocument/2006/relationships/hyperlink" Target="https://www.lankapradeepa.com/2020/04/tamil-inscriptions-in-sri-lanka_16.html" TargetMode="External"/><Relationship Id="rId73" Type="http://schemas.openxmlformats.org/officeDocument/2006/relationships/hyperlink" Target="https://www.his.jfn.ac.lk/?p=791" TargetMode="External"/><Relationship Id="rId74" Type="http://schemas.openxmlformats.org/officeDocument/2006/relationships/hyperlink" Target="https://www.his.jfn.ac.lk/?p=791" TargetMode="External"/><Relationship Id="rId75" Type="http://schemas.openxmlformats.org/officeDocument/2006/relationships/hyperlink" Target="https://www.his.jfn.ac.lk/?p=791" TargetMode="External"/><Relationship Id="rId76" Type="http://schemas.openxmlformats.org/officeDocument/2006/relationships/hyperlink" Target="https://www.worldgenweb.org/lkawgw/tamil-brahmi.htm" TargetMode="External"/><Relationship Id="rId77" Type="http://schemas.openxmlformats.org/officeDocument/2006/relationships/hyperlink" Target="https://amazinglanka.com/wp/jaffna/" TargetMode="External"/><Relationship Id="rId78" Type="http://schemas.openxmlformats.org/officeDocument/2006/relationships/hyperlink" Target="https://amazinglanka.com/wp/tikali/" TargetMode="External"/><Relationship Id="rId79" Type="http://schemas.openxmlformats.org/officeDocument/2006/relationships/hyperlink" Target="https://amazinglanka.com/wp/manniththalai-settlements/" TargetMode="External"/><Relationship Id="rId80" Type="http://schemas.openxmlformats.org/officeDocument/2006/relationships/hyperlink" Target="https://amazinglanka.com/wp/vanni-bandara-en/" TargetMode="External"/><Relationship Id="rId81" Type="http://schemas.openxmlformats.org/officeDocument/2006/relationships/hyperlink" Target="https://www.ezhunaonline.com/history-and-culture-of-srilankan-tamils-part-3/" TargetMode="External"/><Relationship Id="rId82" Type="http://schemas.openxmlformats.org/officeDocument/2006/relationships/hyperlink" Target="https://www.ezhunaonline.com/article/brahmin-and-brahmatheya-in-sri-lankan-tamil-inscriptions/" TargetMode="External"/><Relationship Id="rId83" Type="http://schemas.openxmlformats.org/officeDocument/2006/relationships/hyperlink" Target="https://www.ezhunaonline.com/sangam-age-in-sri-lankan-brahmic-inscriptions/" TargetMode="External"/><Relationship Id="rId84" Type="http://schemas.openxmlformats.org/officeDocument/2006/relationships/hyperlink" Target="https://www.ezhunaonline.com/how-kannagi-worship-entered-sri-lanka/" TargetMode="External"/><Relationship Id="rId85" Type="http://schemas.openxmlformats.org/officeDocument/2006/relationships/hyperlink" Target="https://www.ezhunaonline.com/the-kallanchiya-rock-inscription-tells-of-king-nagan/" TargetMode="External"/><Relationship Id="rId86" Type="http://schemas.openxmlformats.org/officeDocument/2006/relationships/hyperlink" Target="https://www.ezhunaonline.com/the-archaeological-value-of-cheddikulam/" TargetMode="External"/><Relationship Id="rId87" Type="http://schemas.openxmlformats.org/officeDocument/2006/relationships/hyperlink" Target="https://www.ezhunaonline.com/folk-religion-and-hinduism/" TargetMode="External"/><Relationship Id="rId88" Type="http://schemas.openxmlformats.org/officeDocument/2006/relationships/hyperlink" Target="https://www.ezhunaonline.com/kanaki-worship-in-ancient-tamil-culture/" TargetMode="External"/><Relationship Id="rId89" Type="http://schemas.openxmlformats.org/officeDocument/2006/relationships/hyperlink" Target="https://www.ezhunaonline.com/article/brahmi-script-and-early-literacy/" TargetMode="External"/><Relationship Id="rId90" Type="http://schemas.openxmlformats.org/officeDocument/2006/relationships/hyperlink" Target="https://www.ezhunaonline.com/compilation/buddhism-and-tamils-during-megalith-of-srilanka/" TargetMode="External"/><Relationship Id="rId91" Type="http://schemas.openxmlformats.org/officeDocument/2006/relationships/hyperlink" Target="https://www.ezhunaonline.com/history-of-ariya-kulam-jaffna/" TargetMode="External"/><Relationship Id="rId92" Type="http://schemas.openxmlformats.org/officeDocument/2006/relationships/hyperlink" Target="https://www.ezhunaonline.com/tamil-rasathani-in-vanni-kurundankula-temple/" TargetMode="External"/><Relationship Id="rId93" Type="http://schemas.openxmlformats.org/officeDocument/2006/relationships/hyperlink" Target="https://www.ezhunaonline.com/jaffna-fort/" TargetMode="External"/><Relationship Id="rId94" Type="http://schemas.openxmlformats.org/officeDocument/2006/relationships/hyperlink" Target="https://www.ezhunaonline.com/velana-palaeolithic-culture-at-chatti/" TargetMode="External"/><Relationship Id="rId95"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ww.tamilguardian.com/content/prof-pathmanathans-new-book-sheds-light-early-jaffna-civilisation" TargetMode="External"/><Relationship Id="rId2" Type="http://schemas.openxmlformats.org/officeDocument/2006/relationships/hyperlink" Target="https://www.ezhunaonline.com/books/tamils-in-the-inscriptions-of-brahmi-and-sinhala/" TargetMode="External"/><Relationship Id="rId3" Type="http://schemas.openxmlformats.org/officeDocument/2006/relationships/hyperlink" Target="https://en.wikipedia.org/wiki/K._Indrapala" TargetMode="External"/><Relationship Id="rId4" Type="http://schemas.openxmlformats.org/officeDocument/2006/relationships/hyperlink" Target="https://www.his.jfn.ac.lk/index.php/profkarunthavarajah/" TargetMode="External"/><Relationship Id="rId5" Type="http://schemas.openxmlformats.org/officeDocument/2006/relationships/hyperlink" Target="https://www.his.jfn.ac.lk/index.php/profkarunthavarajah/" TargetMode="External"/><Relationship Id="rId6" Type="http://schemas.openxmlformats.org/officeDocument/2006/relationships/hyperlink" Target="https://opac.busl.ac.lk/bib/14671" TargetMode="External"/><Relationship Id="rId7" Type="http://schemas.openxmlformats.org/officeDocument/2006/relationships/hyperlink" Target="https://jfn.ac.lk/prof-s-pathmanathan/" TargetMode="External"/><Relationship Id="rId8" Type="http://schemas.openxmlformats.org/officeDocument/2006/relationships/hyperlink" Target="https://en.wikipedia.org/wiki/S._Pathmanathan" TargetMode="External"/><Relationship Id="rId9" Type="http://schemas.openxmlformats.org/officeDocument/2006/relationships/hyperlink" Target="https://jfn.ac.lk/prof-s-pathmanathan/" TargetMode="External"/><Relationship Id="rId10" Type="http://schemas.openxmlformats.org/officeDocument/2006/relationships/hyperlink" Target="https://en.wikipedia.org/wiki/K._Indrapala" TargetMode="External"/><Relationship Id="rId11" Type="http://schemas.openxmlformats.org/officeDocument/2006/relationships/hyperlink" Target="https://unioncatalogue.dlp.gov.lk/Record/batt.35119/Similar" TargetMode="External"/><Relationship Id="rId12" Type="http://schemas.openxmlformats.org/officeDocument/2006/relationships/hyperlink" Target="https://jfn.ac.lk/prof-s-pathmanathan/" TargetMode="External"/><Relationship Id="rId13" Type="http://schemas.openxmlformats.org/officeDocument/2006/relationships/hyperlink" Target="https://en.wikipedia.org/wiki/S._Pathmanathan" TargetMode="External"/><Relationship Id="rId14" Type="http://schemas.openxmlformats.org/officeDocument/2006/relationships/hyperlink" Target="https://vedamsbooks.com/books/early_tamil_epigraphy_from_the_earliest_times_to_the_sixth_century_c_e_volume_1_tamil_brahmi_inscriptions" TargetMode="External"/><Relationship Id="rId15" Type="http://schemas.openxmlformats.org/officeDocument/2006/relationships/hyperlink" Target="https://jfn.ac.lk/prof-s-pathmanathan/" TargetMode="External"/><Relationship Id="rId16" Type="http://schemas.openxmlformats.org/officeDocument/2006/relationships/hyperlink" Target="https://mannar.dlp.gov.lk/bib/9820" TargetMode="External"/><Relationship Id="rId17" Type="http://schemas.openxmlformats.org/officeDocument/2006/relationships/hyperlink" Target="https://en.wikipedia.org/wiki/S._Pathmanathan" TargetMode="External"/><Relationship Id="rId18" Type="http://schemas.openxmlformats.org/officeDocument/2006/relationships/hyperlink" Target="https://jfn.ac.lk/prof-s-pathmanathan/" TargetMode="External"/><Relationship Id="rId19" Type="http://schemas.openxmlformats.org/officeDocument/2006/relationships/hyperlink" Target="https://jfn.ac.lk/prof-s-pathmanathan/" TargetMode="External"/><Relationship Id="rId20" Type="http://schemas.openxmlformats.org/officeDocument/2006/relationships/hyperlink" Target="https://www.sundaytimes.lk/000423/plus3.html" TargetMode="External"/><Relationship Id="rId21" Type="http://schemas.openxmlformats.org/officeDocument/2006/relationships/hyperlink" Target="https://unioncatalogue.dlp.gov.lk/Record/poin.4050/Description" TargetMode="External"/><Relationship Id="rId22" Type="http://schemas.openxmlformats.org/officeDocument/2006/relationships/hyperlink" Target="https://noolaham.org/wiki/index.php/Epigraphia_Zeylanica_3" TargetMode="External"/><Relationship Id="rId23" Type="http://schemas.openxmlformats.org/officeDocument/2006/relationships/hyperlink" Target="https://noolaham.org/wiki/index.php/&#2965;&#3019;&#2979;&#3015;&#2970;&#2992;&#3021;_&#2965;&#2994;&#3021;&#2997;&#3014;&#2975;&#3021;&#2975;&#3009;" TargetMode="External"/><Relationship Id="rId24" Type="http://schemas.openxmlformats.org/officeDocument/2006/relationships/hyperlink" Target="https://noolaham.org/wiki/index.php/&#2986;&#3010;&#2984;&#2965;&#2992;&#3007;_&#2980;&#3018;&#2994;&#3021;&#2986;&#3018;&#2992;&#3009;&#2995;&#3006;&#2991;&#3021;&#2997;&#3009;" TargetMode="External"/><Relationship Id="rId25" Type="http://schemas.openxmlformats.org/officeDocument/2006/relationships/hyperlink" Target="https://noolaham.net/project/18/1733/1733.html" TargetMode="External"/><Relationship Id="rId26" Type="http://schemas.openxmlformats.org/officeDocument/2006/relationships/hyperlink" Target="https://find.library.upenn.edu/catalog/997779313503681" TargetMode="External"/><Relationship Id="rId27" Type="http://schemas.openxmlformats.org/officeDocument/2006/relationships/hyperlink" Target="https://www.lankapradeepa.com/2020/04/tamil-inscriptions-in-sri-lanka_16.html" TargetMode="External"/><Relationship Id="rId28" Type="http://schemas.openxmlformats.org/officeDocument/2006/relationships/hyperlink" Target="https://noolaham.net/project/977/97628/97628.pdf" TargetMode="External"/><Relationship Id="rId29" Type="http://schemas.openxmlformats.org/officeDocument/2006/relationships/hyperlink" Target="https://noolaham.net/project/1316/131542/131542.pdf" TargetMode="External"/><Relationship Id="rId30" Type="http://schemas.openxmlformats.org/officeDocument/2006/relationships/hyperlink" Target="https://noolaham.net/project/810/80954/80954.pdf" TargetMode="External"/><Relationship Id="rId31" Type="http://schemas.openxmlformats.org/officeDocument/2006/relationships/hyperlink" Target="http://lib.vau.jfn.ac.lk/cgi-bin/koha/opac-detail.pl?biblionumber=44042&amp;shelfbrowse_itemnumber=55269" TargetMode="External"/><Relationship Id="rId32" Type="http://schemas.openxmlformats.org/officeDocument/2006/relationships/hyperlink" Target="https://www.his.jfn.ac.lk/index.php/__trashed/" TargetMode="External"/><Relationship Id="rId33" Type="http://schemas.openxmlformats.org/officeDocument/2006/relationships/hyperlink" Target="https://fhss.niibs.lk/wp-content/uploads/2025/02/Investigation-of-Ancient-Pre-colonial-Monuments-in-Jaffna-Sri-Lanka.pdf" TargetMode="External"/><Relationship Id="rId34" Type="http://schemas.openxmlformats.org/officeDocument/2006/relationships/hyperlink" Target="https://www.his.jfn.ac.lk/index.php/__trashed/" TargetMode="External"/><Relationship Id="rId35" Type="http://schemas.openxmlformats.org/officeDocument/2006/relationships/hyperlink" Target="https://www.his.jfn.ac.lk/index.php/mrs-ajiththa-suganthan/" TargetMode="External"/><Relationship Id="rId36" Type="http://schemas.openxmlformats.org/officeDocument/2006/relationships/hyperlink" Target="https://zenodo.org/records/16599990" TargetMode="External"/><Relationship Id="rId37" Type="http://schemas.openxmlformats.org/officeDocument/2006/relationships/hyperlink" Target="https://www.his.jfn.ac.lk/index.php/mrs-ajiththa-suganthan/" TargetMode="External"/><Relationship Id="rId38" Type="http://schemas.openxmlformats.org/officeDocument/2006/relationships/hyperlink" Target="https://www.his.jfn.ac.lk/index.php/__trashed/" TargetMode="External"/><Relationship Id="rId39" Type="http://schemas.openxmlformats.org/officeDocument/2006/relationships/hyperlink" Target="https://www.his.jfn.ac.lk/index.php/__trashed/" TargetMode="External"/><Relationship Id="rId40" Type="http://schemas.openxmlformats.org/officeDocument/2006/relationships/hyperlink" Target="https://www.his.jfn.ac.lk/index.php/mrs-ajiththa-suganthan/" TargetMode="External"/><Relationship Id="rId41" Type="http://schemas.openxmlformats.org/officeDocument/2006/relationships/hyperlink" Target="https://www.his.jfn.ac.lk/index.php/mrs-ajiththa-suganthan/" TargetMode="External"/><Relationship Id="rId42" Type="http://schemas.openxmlformats.org/officeDocument/2006/relationships/hyperlink" Target="https://www.his.jfn.ac.lk/index.php/__trashed/" TargetMode="External"/><Relationship Id="rId43" Type="http://schemas.openxmlformats.org/officeDocument/2006/relationships/hyperlink" Target="https://www.his.jfn.ac.lk/index.php/__trashed/" TargetMode="External"/><Relationship Id="rId44" Type="http://schemas.openxmlformats.org/officeDocument/2006/relationships/hyperlink" Target="https://www.his.jfn.ac.lk/index.php/__trashed/" TargetMode="External"/><Relationship Id="rId45" Type="http://schemas.openxmlformats.org/officeDocument/2006/relationships/hyperlink" Target="https://archaeology.gov.lk/media/attachments/2022/09/07/ac27updated.pdf" TargetMode="External"/><Relationship Id="rId46" Type="http://schemas.openxmlformats.org/officeDocument/2006/relationships/hyperlink" Target="https://www.his.jfn.ac.lk/?p=791" TargetMode="External"/><Relationship Id="rId47" Type="http://schemas.openxmlformats.org/officeDocument/2006/relationships/hyperlink" Target="https://www.his.jfn.ac.lk/index.php/mrs-ajiththa-suganthan/" TargetMode="External"/><Relationship Id="rId48" Type="http://schemas.openxmlformats.org/officeDocument/2006/relationships/hyperlink" Target="https://www.his.jfn.ac.lk/index.php/mrs-s-arulanantham/" TargetMode="External"/><Relationship Id="rId49" Type="http://schemas.openxmlformats.org/officeDocument/2006/relationships/hyperlink" Target="https://www.his.jfn.ac.lk/index.php/__trashed/" TargetMode="External"/><Relationship Id="rId50" Type="http://schemas.openxmlformats.org/officeDocument/2006/relationships/hyperlink" Target="https://www.his.jfn.ac.lk/index.php/__trashed/" TargetMode="External"/><Relationship Id="rId51" Type="http://schemas.openxmlformats.org/officeDocument/2006/relationships/hyperlink" Target="https://www.his.jfn.ac.lk/?p=791" TargetMode="External"/><Relationship Id="rId52" Type="http://schemas.openxmlformats.org/officeDocument/2006/relationships/hyperlink" Target="https://www.his.jfn.ac.lk/?p=791" TargetMode="External"/><Relationship Id="rId53" Type="http://schemas.openxmlformats.org/officeDocument/2006/relationships/hyperlink" Target="https://www.his.jfn.ac.lk/index.php/mrs-ajiththa-suganthan/" TargetMode="External"/><Relationship Id="rId54" Type="http://schemas.openxmlformats.org/officeDocument/2006/relationships/hyperlink" Target="https://www.his.jfn.ac.lk/?p=791" TargetMode="External"/><Relationship Id="rId55" Type="http://schemas.openxmlformats.org/officeDocument/2006/relationships/hyperlink" Target="https://www.his.jfn.ac.lk/?p=791" TargetMode="External"/><Relationship Id="rId56"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Relationship Id="rId57" Type="http://schemas.openxmlformats.org/officeDocument/2006/relationships/hyperlink" Target="https://www.his.jfn.ac.lk/index.php/__trashed/" TargetMode="External"/><Relationship Id="rId58" Type="http://schemas.openxmlformats.org/officeDocument/2006/relationships/hyperlink" Target="https://www.his.jfn.ac.lk/?p=791" TargetMode="External"/><Relationship Id="rId59" Type="http://schemas.openxmlformats.org/officeDocument/2006/relationships/hyperlink" Target="https://www.his.jfn.ac.lk/index.php/__trashed/" TargetMode="External"/><Relationship Id="rId60" Type="http://schemas.openxmlformats.org/officeDocument/2006/relationships/hyperlink" Target="https://www.his.jfn.ac.lk/?p=791" TargetMode="External"/><Relationship Id="rId61" Type="http://schemas.openxmlformats.org/officeDocument/2006/relationships/hyperlink" Target="https://www.his.jfn.ac.lk/?p=791" TargetMode="External"/><Relationship Id="rId62" Type="http://schemas.openxmlformats.org/officeDocument/2006/relationships/hyperlink" Target="https://www.his.jfn.ac.lk/?p=791" TargetMode="External"/><Relationship Id="rId63" Type="http://schemas.openxmlformats.org/officeDocument/2006/relationships/hyperlink" Target="https://www.his.jfn.ac.lk/?p=791" TargetMode="External"/><Relationship Id="rId64" Type="http://schemas.openxmlformats.org/officeDocument/2006/relationships/hyperlink" Target="https://www.his.jfn.ac.lk/?p=791" TargetMode="External"/><Relationship Id="rId65" Type="http://schemas.openxmlformats.org/officeDocument/2006/relationships/hyperlink" Target="https://www.his.jfn.ac.lk/index.php/mrs-ajiththa-suganthan/" TargetMode="External"/><Relationship Id="rId66" Type="http://schemas.openxmlformats.org/officeDocument/2006/relationships/hyperlink" Target="https://www.his.jfn.ac.lk/?p=791" TargetMode="External"/><Relationship Id="rId67" Type="http://schemas.openxmlformats.org/officeDocument/2006/relationships/hyperlink" Target="https://www.his.jfn.ac.lk/index.php/profkarunthavarajah/" TargetMode="External"/><Relationship Id="rId68" Type="http://schemas.openxmlformats.org/officeDocument/2006/relationships/hyperlink" Target="https://www.his.jfn.ac.lk/index.php/mrs-s-arulanantham/" TargetMode="External"/><Relationship Id="rId69" Type="http://schemas.openxmlformats.org/officeDocument/2006/relationships/hyperlink" Target="https://rer.jfn.ac.lk/items/cf7a95e0-fe51-4ae1-88aa-4842327beb59/full" TargetMode="External"/><Relationship Id="rId70" Type="http://schemas.openxmlformats.org/officeDocument/2006/relationships/hyperlink" Target="https://www.his.jfn.ac.lk/?p=791" TargetMode="External"/><Relationship Id="rId71" Type="http://schemas.openxmlformats.org/officeDocument/2006/relationships/hyperlink" Target="https://www.his.jfn.ac.lk/index.php/mrs-s-arulanantham/" TargetMode="External"/><Relationship Id="rId72" Type="http://schemas.openxmlformats.org/officeDocument/2006/relationships/hyperlink" Target="https://www.his.jfn.ac.lk/index.php/profkarunthavarajah/" TargetMode="External"/><Relationship Id="rId73" Type="http://schemas.openxmlformats.org/officeDocument/2006/relationships/hyperlink" Target="https://www.his.jfn.ac.lk/index.php/profkarunthavarajah/" TargetMode="External"/><Relationship Id="rId74" Type="http://schemas.openxmlformats.org/officeDocument/2006/relationships/hyperlink" Target="https://www.his.jfn.ac.lk/index.php/profkarunthavarajah/" TargetMode="External"/><Relationship Id="rId75" Type="http://schemas.openxmlformats.org/officeDocument/2006/relationships/hyperlink" Target="https://www.his.jfn.ac.lk/index.php/mrs-s-arulanantham/" TargetMode="External"/><Relationship Id="rId76" Type="http://schemas.openxmlformats.org/officeDocument/2006/relationships/hyperlink" Target="https://www.lankapradeepa.com/2020/04/tamil-inscriptions-in-sri-lanka_16.html" TargetMode="External"/><Relationship Id="rId77" Type="http://schemas.openxmlformats.org/officeDocument/2006/relationships/hyperlink" Target="https://jfn.ac.lk/prof-s-pathmanathan/" TargetMode="External"/><Relationship Id="rId78" Type="http://schemas.openxmlformats.org/officeDocument/2006/relationships/hyperlink" Target="https://jfn.ac.lk/prof-s-pathmanathan/" TargetMode="External"/><Relationship Id="rId79" Type="http://schemas.openxmlformats.org/officeDocument/2006/relationships/hyperlink" Target="https://www.lankapradeepa.com/2020/04/tamil-inscriptions-in-sri-lanka_16.html" TargetMode="External"/><Relationship Id="rId80" Type="http://schemas.openxmlformats.org/officeDocument/2006/relationships/hyperlink" Target="https://jfn.ac.lk/prof-s-pathmanathan/" TargetMode="External"/><Relationship Id="rId81" Type="http://schemas.openxmlformats.org/officeDocument/2006/relationships/hyperlink" Target="https://jfn.ac.lk/prof-s-pathmanathan/" TargetMode="External"/><Relationship Id="rId82" Type="http://schemas.openxmlformats.org/officeDocument/2006/relationships/hyperlink" Target="https://jfn.ac.lk/prof-s-pathmanathan/" TargetMode="External"/><Relationship Id="rId83" Type="http://schemas.openxmlformats.org/officeDocument/2006/relationships/hyperlink" Target="https://jfn.ac.lk/prof-s-pathmanathan/" TargetMode="External"/><Relationship Id="rId84" Type="http://schemas.openxmlformats.org/officeDocument/2006/relationships/hyperlink" Target="https://jfn.ac.lk/prof-s-pathmanathan/" TargetMode="External"/><Relationship Id="rId85" Type="http://schemas.openxmlformats.org/officeDocument/2006/relationships/hyperlink" Target="https://jfn.ac.lk/prof-s-pathmanathan/" TargetMode="External"/><Relationship Id="rId86" Type="http://schemas.openxmlformats.org/officeDocument/2006/relationships/hyperlink" Target="https://www.lankapradeepa.com/2020/04/tamil-inscriptions-in-sri-lanka_16.html" TargetMode="External"/><Relationship Id="rId87" Type="http://schemas.openxmlformats.org/officeDocument/2006/relationships/hyperlink" Target="https://jfn.ac.lk/prof-s-pathmanathan/" TargetMode="External"/><Relationship Id="rId88" Type="http://schemas.openxmlformats.org/officeDocument/2006/relationships/hyperlink" Target="https://ir.lib.pdn.ac.lk/handle/20.500.14444/3809" TargetMode="External"/><Relationship Id="rId89" Type="http://schemas.openxmlformats.org/officeDocument/2006/relationships/hyperlink" Target="https://ir.lib.pdn.ac.lk/items/583155fd-b49e-4398-8b04-51776c4dbf8f/full" TargetMode="External"/><Relationship Id="rId90" Type="http://schemas.openxmlformats.org/officeDocument/2006/relationships/hyperlink" Target="https://www.lankapradeepa.com/2020/04/tamil-inscriptions-in-sri-lanka_16.html" TargetMode="External"/><Relationship Id="rId91" Type="http://schemas.openxmlformats.org/officeDocument/2006/relationships/hyperlink" Target="https://jfn.ac.lk/prof-s-pathmanathan/" TargetMode="External"/><Relationship Id="rId92" Type="http://schemas.openxmlformats.org/officeDocument/2006/relationships/hyperlink" Target="https://www.lankapradeepa.com/2020/04/tamil-inscriptions-in-sri-lanka_16.html" TargetMode="External"/><Relationship Id="rId93" Type="http://schemas.openxmlformats.org/officeDocument/2006/relationships/hyperlink" Target="https://jfn.ac.lk/prof-s-pathmanathan/" TargetMode="External"/><Relationship Id="rId94" Type="http://schemas.openxmlformats.org/officeDocument/2006/relationships/hyperlink" Target="https://siddham.network/tag/kayts/" TargetMode="External"/><Relationship Id="rId95" Type="http://schemas.openxmlformats.org/officeDocument/2006/relationships/hyperlink" Target="https://ir.lib.pdn.ac.lk/handle/20.500.14444/5038" TargetMode="External"/><Relationship Id="rId96" Type="http://schemas.openxmlformats.org/officeDocument/2006/relationships/hyperlink" Target="https://www.academia.edu/44307643/Annaikottai_Seal_Is_it_Tamil_Brahmi" TargetMode="External"/><Relationship Id="rId97" Type="http://schemas.openxmlformats.org/officeDocument/2006/relationships/hyperlink" Target="https://mrujs.mtroyal.ca/index.php/anlk/article/view/634" TargetMode="External"/><Relationship Id="rId98" Type="http://schemas.openxmlformats.org/officeDocument/2006/relationships/hyperlink" Target="https://irjt.iorpress.org/index.php/irjt/article/download/2607/2111/4821" TargetMode="External"/><Relationship Id="rId99" Type="http://schemas.openxmlformats.org/officeDocument/2006/relationships/hyperlink" Target="https://rer.jfn.ac.lk/items/69679e68-fe61-4cd9-a9de-ccff08422aac/full" TargetMode="External"/><Relationship Id="rId100" Type="http://schemas.openxmlformats.org/officeDocument/2006/relationships/hyperlink" Target="https://www.academia.edu/47759409/Making_Lanka_the_Tamil_way_a_temple_history_at_the_crossroads_of_landscapes_and_watersheds" TargetMode="External"/><Relationship Id="rId101" Type="http://schemas.openxmlformats.org/officeDocument/2006/relationships/hyperlink" Target="https://durham-repository.worktribe.com/output/1656993/recent-excavations-and-survey-at-jaffna-fort-in-2017-and-reflections-on-the-antiquity-of-indian-ocean-trade" TargetMode="External"/><Relationship Id="rId102" Type="http://schemas.openxmlformats.org/officeDocument/2006/relationships/hyperlink" Target="https://rer.jfn.ac.lk/items/fc0f248b-470f-449c-a7c6-8b8ec38517f0" TargetMode="External"/><Relationship Id="rId103" Type="http://schemas.openxmlformats.org/officeDocument/2006/relationships/hyperlink" Target="https://www.researchgate.net/publication/301336596_The_Peopling_of_Sri_Lanka_from_Prehistoric_to_Historic_Times_Biological_and_Archaeological_Evidence" TargetMode="External"/><Relationship Id="rId104" Type="http://schemas.openxmlformats.org/officeDocument/2006/relationships/hyperlink" Target="https://dspace.lib.seu.ac.lk/items/2bce5ebf-dc84-4b9c-a7ed-ca9bf13f1e7a/full" TargetMode="External"/><Relationship Id="rId105" Type="http://schemas.openxmlformats.org/officeDocument/2006/relationships/hyperlink" Target="https://dspace.lib.seu.ac.lk/items/d9c75f55-5065-4c9d-9c54-98ec1717f8d1" TargetMode="External"/><Relationship Id="rId106" Type="http://schemas.openxmlformats.org/officeDocument/2006/relationships/hyperlink" Target="https://www.colombotelegraph.com/index.php/a-historian-in-focus-the-dark-side-of-s-pathmanathan/" TargetMode="External"/><Relationship Id="rId107" Type="http://schemas.openxmlformats.org/officeDocument/2006/relationships/hyperlink" Target="https://www.tamilguardian.com/content/prof-pathmanathans-new-book-sheds-light-early-jaffna-civilisation" TargetMode="External"/><Relationship Id="rId108" Type="http://schemas.openxmlformats.org/officeDocument/2006/relationships/hyperlink" Target="https://ibctamil.com/article/an-underground-city-discovered-in-polonnaruwa-sl-1708747886" TargetMode="External"/><Relationship Id="rId109" Type="http://schemas.openxmlformats.org/officeDocument/2006/relationships/hyperlink" Target="https://www.sundaytimes.lk/180211/plus/head-to-the-east-for-a-feast-of-archaeological-sites-281129.html" TargetMode="External"/><Relationship Id="rId110" Type="http://schemas.openxmlformats.org/officeDocument/2006/relationships/hyperlink" Target="https://archives1.dailynews.lk/2017/01/04/features/103659" TargetMode="External"/><Relationship Id="rId111" Type="http://schemas.openxmlformats.org/officeDocument/2006/relationships/hyperlink" Target="https://archives.sundayobserver.lk/2013/03/10/mon13.asp" TargetMode="External"/><Relationship Id="rId112" Type="http://schemas.openxmlformats.org/officeDocument/2006/relationships/hyperlink" Target="https://tamilnet.com/art.html?artid=35707&amp;catid=79" TargetMode="External"/><Relationship Id="rId113" Type="http://schemas.openxmlformats.org/officeDocument/2006/relationships/hyperlink" Target="https://www.his.jfn.ac.lk/?p=791" TargetMode="External"/><Relationship Id="rId114" Type="http://schemas.openxmlformats.org/officeDocument/2006/relationships/hyperlink" Target="https://archives.thinakaran.lk/2011/02/15/?fn=i1102155&amp;p=1" TargetMode="External"/><Relationship Id="rId115" Type="http://schemas.openxmlformats.org/officeDocument/2006/relationships/hyperlink" Target="https://tamilnet.com/art.html?artid=32063&amp;catid=79" TargetMode="External"/><Relationship Id="rId116" Type="http://schemas.openxmlformats.org/officeDocument/2006/relationships/hyperlink" Target="https://www.tamilnet.com/art.html?artid=32303&amp;catid=79" TargetMode="External"/><Relationship Id="rId117" Type="http://schemas.openxmlformats.org/officeDocument/2006/relationships/hyperlink" Target="https://tamilnet.com/art.html?artid=32843&amp;catid=79" TargetMode="External"/><Relationship Id="rId118" Type="http://schemas.openxmlformats.org/officeDocument/2006/relationships/hyperlink" Target="https://www.tamilnet.com/art.html?artid=32850&amp;catid=13" TargetMode="External"/><Relationship Id="rId119" Type="http://schemas.openxmlformats.org/officeDocument/2006/relationships/hyperlink" Target="https://www.sundaytimes.lk/000423/plus3.html" TargetMode="External"/><Relationship Id="rId120" Type="http://schemas.openxmlformats.org/officeDocument/2006/relationships/hyperlink" Target="https://www.tamilguardian.com/content/2000-year-old-tamil-brahmi-inscriptions-discovered-egypts-valley-kings" TargetMode="External"/><Relationship Id="rId121" Type="http://schemas.openxmlformats.org/officeDocument/2006/relationships/hyperlink" Target="https://www.tamilguardian.com/content/3400-year-old-human-remains-discovered-velanai-jaffna" TargetMode="External"/><Relationship Id="rId122" Type="http://schemas.openxmlformats.org/officeDocument/2006/relationships/hyperlink" Target="https://www.tamilguardian.com/content/ancient-pandyan-coins-bring-intrigue-and-dispute-sri-lanka" TargetMode="External"/><Relationship Id="rId123" Type="http://schemas.openxmlformats.org/officeDocument/2006/relationships/hyperlink" Target="https://www.colombotelegraph.com/index.php/book-review-the-historian-as-bridge/" TargetMode="External"/><Relationship Id="rId124" Type="http://schemas.openxmlformats.org/officeDocument/2006/relationships/hyperlink" Target="https://archives1.sundayobserver.lk/node/26758" TargetMode="External"/><Relationship Id="rId125" Type="http://schemas.openxmlformats.org/officeDocument/2006/relationships/hyperlink" Target="https://island.lk/little-known-facets-of-sri-lankan-historya-chola-princess-and-the-old-name-for-jaffna/" TargetMode="External"/><Relationship Id="rId126" Type="http://schemas.openxmlformats.org/officeDocument/2006/relationships/hyperlink" Target="https://island.lk/reptiles-in-rock-and-time-unveiling-sri-lankas-ancient-herpetological-art/" TargetMode="External"/><Relationship Id="rId127" Type="http://schemas.openxmlformats.org/officeDocument/2006/relationships/hyperlink" Target="https://archives1.sundayobserver.lk/node/44600" TargetMode="External"/><Relationship Id="rId128" Type="http://schemas.openxmlformats.org/officeDocument/2006/relationships/hyperlink" Target="https://www.tamilguardian.com/index.php/node/955066" TargetMode="External"/><Relationship Id="rId129" Type="http://schemas.openxmlformats.org/officeDocument/2006/relationships/hyperlink" Target="https://www.colombotelegraph.com/index.php/sri-lankas-role-in-south-asias-earliest-writing-controversy/" TargetMode="External"/><Relationship Id="rId130" Type="http://schemas.openxmlformats.org/officeDocument/2006/relationships/hyperlink" Target="https://www.tamilguardian.com/content/tamil-civilisation-it-oldest" TargetMode="External"/><Relationship Id="rId131" Type="http://schemas.openxmlformats.org/officeDocument/2006/relationships/hyperlink" Target="https://www.colombotelegraph.com/index.php/the-tamils-are-the-original-inhabitants-of-sri-lanka/" TargetMode="External"/><Relationship Id="rId132" Type="http://schemas.openxmlformats.org/officeDocument/2006/relationships/hyperlink" Target="https://www.tamilguardian.com/index.php/content/trilingual-inscription-tamil-chinese-and-persian-recognised-unesco" TargetMode="External"/><Relationship Id="rId133" Type="http://schemas.openxmlformats.org/officeDocument/2006/relationships/hyperlink" Target="https://tamilwin.com/article/discovery-of-the-inscription-in-trincomalee-1637431493" TargetMode="External"/><Relationship Id="rId134" Type="http://schemas.openxmlformats.org/officeDocument/2006/relationships/hyperlink" Target="https://thinakkural.lk/article/45056" TargetMode="External"/><Relationship Id="rId135" Type="http://schemas.openxmlformats.org/officeDocument/2006/relationships/hyperlink" Target="https://www.tamilmirror.lk/91-286936" TargetMode="External"/><Relationship Id="rId136" Type="http://schemas.openxmlformats.org/officeDocument/2006/relationships/hyperlink" Target="https://www.virakesari.lk/article/160191" TargetMode="External"/><Relationship Id="rId137" Type="http://schemas.openxmlformats.org/officeDocument/2006/relationships/hyperlink" Target="https://www.ezhunaonline.com/manthai-the-seafaring-trading-center-of-ancient-sri-lanka/" TargetMode="External"/><Relationship Id="rId138" Type="http://schemas.openxmlformats.org/officeDocument/2006/relationships/hyperlink" Target="https://www.ezhunaonline.com/ancient-religious-practices-in-ancient-jaffna-part-2/" TargetMode="External"/><Relationship Id="rId139" Type="http://schemas.openxmlformats.org/officeDocument/2006/relationships/hyperlink" Target="https://www.ezhunaonline.com/jaffna-buddhism-100-bc-1200-ad-part-2/" TargetMode="External"/><Relationship Id="rId140" Type="http://schemas.openxmlformats.org/officeDocument/2006/relationships/hyperlink" Target="https://www.ezhunaonline.com/ancient-coins-found-in-kandy-and-northern-sri-lanka-part-1/" TargetMode="External"/><Relationship Id="rId141" Type="http://schemas.openxmlformats.org/officeDocument/2006/relationships/hyperlink" Target="https://www.ezhunaonline.com/ancient-coins-found-in-kandy-and-northern-sri-lanka-part-2/" TargetMode="External"/><Relationship Id="rId142" Type="http://schemas.openxmlformats.org/officeDocument/2006/relationships/hyperlink" Target="https://www.ezhunaonline.com/origin-and-gradual-development-of-the-gandharoda-civilization-part-4/" TargetMode="External"/><Relationship Id="rId143" Type="http://schemas.openxmlformats.org/officeDocument/2006/relationships/hyperlink" Target="https://www.ezhunaonline.com/the-gandarodai-archaeological-site-and-scientific-studies-on-the-early-iron-age-that-overturned-the-mahavamsa-history-of-sri-lanka-part-5/" TargetMode="External"/><Relationship Id="rId144" Type="http://schemas.openxmlformats.org/officeDocument/2006/relationships/hyperlink" Target="https://www.ezhunaonline.com/ochapu-kallu-is-an-ancient-nagar-settlement/" TargetMode="External"/><Relationship Id="rId145" Type="http://schemas.openxmlformats.org/officeDocument/2006/relationships/hyperlink" Target="https://www.ezhunaonline.com/inscription-about-nagar-on-thanga-tirumala-by-brahmin-divakan/" TargetMode="External"/><Relationship Id="rId146" Type="http://schemas.openxmlformats.org/officeDocument/2006/relationships/hyperlink" Target="https://www.ezhunaonline.com/on-the-border-of-ghazigamalai/" TargetMode="External"/><Relationship Id="rId147" Type="http://schemas.openxmlformats.org/officeDocument/2006/relationships/hyperlink" Target="https://www.ezhunaonline.com/inscriptions-about-nagar-found-on-rittikala-hill-arita-parvata-hill/" TargetMode="External"/><Relationship Id="rId148" Type="http://schemas.openxmlformats.org/officeDocument/2006/relationships/hyperlink" Target="https://www.ezhunaonline.com/inscription-of-naga-maharaja-on-rithi-viharai-hill/" TargetMode="External"/><Relationship Id="rId149" Type="http://schemas.openxmlformats.org/officeDocument/2006/relationships/hyperlink" Target="https://www.ezhunaonline.com/gandharoda-civilization-of-ancient-jaffna/" TargetMode="External"/><Relationship Id="rId150" Type="http://schemas.openxmlformats.org/officeDocument/2006/relationships/hyperlink" Target="https://www.ezhunaonline.com/geology-topography-and-ancient-settlements-of-jaffna/" TargetMode="External"/><Relationship Id="rId151" Type="http://schemas.openxmlformats.org/officeDocument/2006/relationships/hyperlink" Target="https://www.ezhunaonline.com/andiyagala-hill-inscription-where-siddhas-lived-2000-years-ago/" TargetMode="External"/><Relationship Id="rId152" Type="http://schemas.openxmlformats.org/officeDocument/2006/relationships/hyperlink" Target="https://www.ezhunaonline.com/hibauwa-inscription-about-the-naga-clan/" TargetMode="External"/><Relationship Id="rId153" Type="http://schemas.openxmlformats.org/officeDocument/2006/relationships/hyperlink" Target="https://www.ezhunaonline.com/nagaland-and-the-nagas-in-history-and-literary-records-part-2/" TargetMode="External"/><Relationship Id="rId154" Type="http://schemas.openxmlformats.org/officeDocument/2006/relationships/hyperlink" Target="https://www.ezhunaonline.com/the-dating-of-archaeological-artefacts/" TargetMode="External"/><Relationship Id="rId155" Type="http://schemas.openxmlformats.org/officeDocument/2006/relationships/hyperlink" Target="https://www.ezhunaonline.com/archaeology-of-kantarodai-part-3/" TargetMode="External"/><Relationship Id="rId156" Type="http://schemas.openxmlformats.org/officeDocument/2006/relationships/hyperlink" Target="https://www.ezhunaonline.com/anaikottai-archaeological-survey/" TargetMode="External"/><Relationship Id="rId157" Type="http://schemas.openxmlformats.org/officeDocument/2006/relationships/hyperlink" Target="https://www.ezhunaonline.com/the-kallanchiya-rock-inscription-tells-of-king-nagan/" TargetMode="External"/><Relationship Id="rId158" Type="http://schemas.openxmlformats.org/officeDocument/2006/relationships/hyperlink" Target="https://www.ezhunaonline.com/jaffna-city-pongoli-water-lion-city-part-2/" TargetMode="External"/><Relationship Id="rId159" Type="http://schemas.openxmlformats.org/officeDocument/2006/relationships/hyperlink" Target="https://www.ezhunaonline.com/vallipuram-and-nagercoil/" TargetMode="External"/><Relationship Id="rId160" Type="http://schemas.openxmlformats.org/officeDocument/2006/relationships/hyperlink" Target="https://www.ezhunaonline.com/early-settlements-near-the-jaffna-peninsula/" TargetMode="External"/><Relationship Id="rId161" Type="http://schemas.openxmlformats.org/officeDocument/2006/relationships/hyperlink" Target="https://www.ezhunaonline.com/primitive-settlements-in-the-northern-mainland-of-sri-lanka/" TargetMode="External"/><Relationship Id="rId162" Type="http://schemas.openxmlformats.org/officeDocument/2006/relationships/hyperlink" Target="https://www.ezhunaonline.com/early-iron-age-and-neolithic-culture-in-sri-lanka-part-3/" TargetMode="External"/><Relationship Id="rId163" Type="http://schemas.openxmlformats.org/officeDocument/2006/relationships/hyperlink" Target="https://www.ezhunaonline.com/history-of-naga-and-anuradhapura-kings-in-eastern-srilanka/" TargetMode="External"/><Relationship Id="rId164" Type="http://schemas.openxmlformats.org/officeDocument/2006/relationships/hyperlink" Target="https://www.ezhunaonline.com/the-first-ten-clans-of-eastern-sri-lanka/" TargetMode="External"/><Relationship Id="rId165" Type="http://schemas.openxmlformats.org/officeDocument/2006/relationships/hyperlink" Target="https://www.ezhunaonline.com/an-introduction-to-brahmi-inscriptions-in-sri-lanka/" TargetMode="External"/><Relationship Id="rId166" Type="http://schemas.openxmlformats.org/officeDocument/2006/relationships/hyperlink" Target="https://www.ezhunaonline.com/tamil-brahmi-inscription-in-ambanthotta-2/" TargetMode="External"/><Relationship Id="rId167" Type="http://schemas.openxmlformats.org/officeDocument/2006/relationships/hyperlink" Target="https://www.ezhunaonline.com/from-vattagamini-to-vattagamini/" TargetMode="External"/><Relationship Id="rId168" Type="http://schemas.openxmlformats.org/officeDocument/2006/relationships/hyperlink" Target="https://www.ezhunaonline.com/history-of-nagar-in-northern-sri-lanka/" TargetMode="External"/><Relationship Id="rId169" Type="http://schemas.openxmlformats.org/officeDocument/2006/relationships/hyperlink" Target="https://www.ezhunaonline.com/eastern-ruhunu-until-the-period-of-mahasenan/" TargetMode="External"/><Relationship Id="rId170" Type="http://schemas.openxmlformats.org/officeDocument/2006/relationships/hyperlink" Target="https://www.ezhunaonline.com/naga-culture-in-mihintala-anuradhapura/" TargetMode="External"/><Relationship Id="rId171" Type="http://schemas.openxmlformats.org/officeDocument/2006/relationships/hyperlink" Target="https://www.ezhunaonline.com/thissamaharama-inscription/" TargetMode="External"/><Relationship Id="rId172" Type="http://schemas.openxmlformats.org/officeDocument/2006/relationships/hyperlink" Target="https://www.ezhunaonline.com/pidurangala-bhirami-inscription/" TargetMode="External"/><Relationship Id="rId173" Type="http://schemas.openxmlformats.org/officeDocument/2006/relationships/hyperlink" Target="https://www.ezhunaonline.com/sri-lanka-eastern-province-ancient-history/" TargetMode="External"/><Relationship Id="rId174" Type="http://schemas.openxmlformats.org/officeDocument/2006/relationships/hyperlink" Target="https://www.ezhunaonline.com/vessagiriya-inscription-that-tells-about-naga-blacksmith/" TargetMode="External"/><Relationship Id="rId175" Type="http://schemas.openxmlformats.org/officeDocument/2006/relationships/hyperlink" Target="https://www.ezhunaonline.com/the-wife-of-akkapothi-sri-lankan-eastern-history/" TargetMode="External"/><Relationship Id="rId176" Type="http://schemas.openxmlformats.org/officeDocument/2006/relationships/hyperlink" Target="https://www.ezhunaonline.com/kathirgamam-inscription-by-tamil-king-maha-nagan/" TargetMode="External"/><Relationship Id="rId177" Type="http://schemas.openxmlformats.org/officeDocument/2006/relationships/hyperlink" Target="https://www.ezhunaonline.com/siththar-rock-inscription-which-tell-about-maharajan/" TargetMode="External"/><Relationship Id="rId178" Type="http://schemas.openxmlformats.org/officeDocument/2006/relationships/hyperlink" Target="https://www.ezhunaonline.com/irakkamam-a-tax-free-village-for-anuradhapura-commander/" TargetMode="External"/><Relationship Id="rId179" Type="http://schemas.openxmlformats.org/officeDocument/2006/relationships/hyperlink" Target="https://www.ezhunaonline.com/pandakiriya-inscription/" TargetMode="External"/><Relationship Id="rId180" Type="http://schemas.openxmlformats.org/officeDocument/2006/relationships/hyperlink" Target="https://www.ezhunaonline.com/padarkal-malai-inscrption/" TargetMode="External"/><Relationship Id="rId181" Type="http://schemas.openxmlformats.org/officeDocument/2006/relationships/hyperlink" Target="https://www.ezhunaonline.com/velodum-malai-nagamalai-inscription-mentions-maha-naga-king/" TargetMode="External"/><Relationship Id="rId182" Type="http://schemas.openxmlformats.org/officeDocument/2006/relationships/hyperlink" Target="https://www.ezhunaonline.com/inscriptions-about-nagar-on-pambarakasthalava-hill-nagaparvata-hill/" TargetMode="External"/><Relationship Id="rId183" Type="http://schemas.openxmlformats.org/officeDocument/2006/relationships/hyperlink" Target="https://www.ezhunaonline.com/kalladi-niliyamman-hill-inscriptions-sri-lanka-mentions-the-naga-king-and-the-naga-canal/" TargetMode="External"/><Relationship Id="rId184" Type="http://schemas.openxmlformats.org/officeDocument/2006/relationships/hyperlink" Target="https://www.ezhunaonline.com/the-rajagala-inscriptions-refer-to-nagar/" TargetMode="External"/><Relationship Id="rId185" Type="http://schemas.openxmlformats.org/officeDocument/2006/relationships/hyperlink" Target="https://www.ezhunaonline.com/the-kudumbigala-hill-inscription-mentions-the-village-officer-nagan/" TargetMode="External"/><Relationship Id="rId186" Type="http://schemas.openxmlformats.org/officeDocument/2006/relationships/hyperlink" Target="https://www.ezhunaonline.com/chola-in-keekhagarai/" TargetMode="External"/><Relationship Id="rId187" Type="http://schemas.openxmlformats.org/officeDocument/2006/relationships/hyperlink" Target="https://www.ezhunaonline.com/muthukal-hill-inscriptions-mention-nagar/" TargetMode="External"/><Relationship Id="rId188" Type="http://schemas.openxmlformats.org/officeDocument/2006/relationships/hyperlink" Target="https://www.ezhunaonline.com/kayanguda-kumacholai-inscription-of-eastern-ceylon-viceroy/" TargetMode="External"/><Relationship Id="rId189" Type="http://schemas.openxmlformats.org/officeDocument/2006/relationships/hyperlink" Target="https://www.ezhunaonline.com/handagala-brahmic-inscriptions-refer-to-nagar/" TargetMode="External"/><Relationship Id="rId190" Type="http://schemas.openxmlformats.org/officeDocument/2006/relationships/hyperlink" Target="https://www.ezhunaonline.com/later-inscriptions-refer-to-tamils/" TargetMode="External"/><Relationship Id="rId191" Type="http://schemas.openxmlformats.org/officeDocument/2006/relationships/hyperlink" Target="https://www.ezhunaonline.com/tamaraveva-pillar-inscription-referring-to-the-tamil-official-mahasathan/" TargetMode="External"/><Relationship Id="rId192" Type="http://schemas.openxmlformats.org/officeDocument/2006/relationships/hyperlink" Target="https://www.ezhunaonline.com/badulla-inscription/" TargetMode="External"/><Relationship Id="rId193" Type="http://schemas.openxmlformats.org/officeDocument/2006/relationships/hyperlink" Target="https://www.ezhunaonline.com/anuradhapura-inscription/" TargetMode="External"/><Relationship Id="rId194" Type="http://schemas.openxmlformats.org/officeDocument/2006/relationships/hyperlink" Target="https://www.ezhunaonline.com/rankoth-viharai-inscription/" TargetMode="External"/><Relationship Id="rId195" Type="http://schemas.openxmlformats.org/officeDocument/2006/relationships/hyperlink" Target="https://www.ezhunaonline.com/wessagiri-inscription/" TargetMode="External"/><Relationship Id="rId196" Type="http://schemas.openxmlformats.org/officeDocument/2006/relationships/hyperlink" Target="https://www.ezhunaonline.com/keekhakarai-paravani-inscriptioniii/" TargetMode="External"/><Relationship Id="rId197" Type="http://schemas.openxmlformats.org/officeDocument/2006/relationships/hyperlink" Target="https://www.ezhunaonline.com/batticaloa-history-iii/" TargetMode="External"/><Relationship Id="rId198" Type="http://schemas.openxmlformats.org/officeDocument/2006/relationships/hyperlink" Target="https://www.ezhunaonline.com/the-other-myths-of-batticaloa-2/" TargetMode="External"/><Relationship Id="rId199" Type="http://schemas.openxmlformats.org/officeDocument/2006/relationships/hyperlink" Target="https://www.ezhunaonline.com/timeline-of-sri-lankan-pre-history/" TargetMode="External"/><Relationship Id="rId200" Type="http://schemas.openxmlformats.org/officeDocument/2006/relationships/hyperlink" Target="https://www.ezhunaonline.com/the-initial-stage-of-sri-lankan-history-period/" TargetMode="External"/><Relationship Id="rId201" Type="http://schemas.openxmlformats.org/officeDocument/2006/relationships/hyperlink" Target="https://www.ezhunaonline.com/brahmic-inscriptions-on-tamils-in-ceylon-an-introduction/" TargetMode="External"/><Relationship Id="rId202" Type="http://schemas.openxmlformats.org/officeDocument/2006/relationships/hyperlink" Target="https://www.ezhunaonline.com/5brahmic-in-icriptions-tamils/" TargetMode="External"/><Relationship Id="rId203" Type="http://schemas.openxmlformats.org/officeDocument/2006/relationships/hyperlink" Target="https://www.ezhunaonline.com/tamil-vanikan-puliankulam-inscriptions/" TargetMode="External"/><Relationship Id="rId204" Type="http://schemas.openxmlformats.org/officeDocument/2006/relationships/hyperlink" Target="https://www.ezhunaonline.com/seruvila-inscription-on-tamil-family-leader-guttan/" TargetMode="External"/><Relationship Id="rId205" Type="http://schemas.openxmlformats.org/officeDocument/2006/relationships/hyperlink" Target="https://www.ezhunaonline.com/gudvil-inscription-about-a-tamil-merchant-who-was-a-resident-of-dikavapi/" TargetMode="External"/><Relationship Id="rId206" Type="http://schemas.openxmlformats.org/officeDocument/2006/relationships/hyperlink" Target="https://www.ezhunaonline.com/evidence-for-keekhakarai-tamil-literature/" TargetMode="External"/><Relationship Id="rId207" Type="http://schemas.openxmlformats.org/officeDocument/2006/relationships/hyperlink" Target="https://amazinglanka.com/wp/sankiliyatital/" TargetMode="External"/><Relationship Id="rId208" Type="http://schemas.openxmlformats.org/officeDocument/2006/relationships/hyperlink" Target="https://www.lankapradeepa.com/2020/04/tamil-inscriptions-in-sri-lanka_16.html" TargetMode="External"/><Relationship Id="rId209" Type="http://schemas.openxmlformats.org/officeDocument/2006/relationships/hyperlink" Target="https://www.his.jfn.ac.lk/?p=791" TargetMode="External"/><Relationship Id="rId210" Type="http://schemas.openxmlformats.org/officeDocument/2006/relationships/hyperlink" Target="https://www.his.jfn.ac.lk/?p=791" TargetMode="External"/><Relationship Id="rId211" Type="http://schemas.openxmlformats.org/officeDocument/2006/relationships/hyperlink" Target="https://www.his.jfn.ac.lk/?p=791" TargetMode="External"/><Relationship Id="rId212" Type="http://schemas.openxmlformats.org/officeDocument/2006/relationships/hyperlink" Target="https://www.worldgenweb.org/lkawgw/tamil-brahmi.htm" TargetMode="External"/><Relationship Id="rId213" Type="http://schemas.openxmlformats.org/officeDocument/2006/relationships/hyperlink" Target="https://amazinglanka.com/wp/jaffna/" TargetMode="External"/><Relationship Id="rId214" Type="http://schemas.openxmlformats.org/officeDocument/2006/relationships/hyperlink" Target="https://amazinglanka.com/wp/tikali/" TargetMode="External"/><Relationship Id="rId215" Type="http://schemas.openxmlformats.org/officeDocument/2006/relationships/hyperlink" Target="https://amazinglanka.com/wp/manniththalai-settlements/" TargetMode="External"/><Relationship Id="rId216" Type="http://schemas.openxmlformats.org/officeDocument/2006/relationships/hyperlink" Target="https://amazinglanka.com/wp/vanni-bandara-en/" TargetMode="External"/><Relationship Id="rId217" Type="http://schemas.openxmlformats.org/officeDocument/2006/relationships/hyperlink" Target="https://www.ezhunaonline.com/history-and-culture-of-srilankan-tamils-part-3/" TargetMode="External"/><Relationship Id="rId218" Type="http://schemas.openxmlformats.org/officeDocument/2006/relationships/hyperlink" Target="https://www.ezhunaonline.com/article/brahmin-and-brahmatheya-in-sri-lankan-tamil-inscriptions/" TargetMode="External"/><Relationship Id="rId219" Type="http://schemas.openxmlformats.org/officeDocument/2006/relationships/hyperlink" Target="https://www.ezhunaonline.com/sangam-age-in-sri-lankan-brahmic-inscriptions/" TargetMode="External"/><Relationship Id="rId220" Type="http://schemas.openxmlformats.org/officeDocument/2006/relationships/hyperlink" Target="https://www.ezhunaonline.com/how-kannagi-worship-entered-sri-lanka/" TargetMode="External"/><Relationship Id="rId221" Type="http://schemas.openxmlformats.org/officeDocument/2006/relationships/hyperlink" Target="https://www.ezhunaonline.com/the-kallanchiya-rock-inscription-tells-of-king-nagan/" TargetMode="External"/><Relationship Id="rId222" Type="http://schemas.openxmlformats.org/officeDocument/2006/relationships/hyperlink" Target="https://www.ezhunaonline.com/the-archaeological-value-of-cheddikulam/" TargetMode="External"/><Relationship Id="rId223" Type="http://schemas.openxmlformats.org/officeDocument/2006/relationships/hyperlink" Target="https://www.ezhunaonline.com/folk-religion-and-hinduism/" TargetMode="External"/><Relationship Id="rId224" Type="http://schemas.openxmlformats.org/officeDocument/2006/relationships/hyperlink" Target="https://www.ezhunaonline.com/kanaki-worship-in-ancient-tamil-culture/" TargetMode="External"/><Relationship Id="rId225" Type="http://schemas.openxmlformats.org/officeDocument/2006/relationships/hyperlink" Target="https://www.ezhunaonline.com/article/brahmi-script-and-early-literacy/" TargetMode="External"/><Relationship Id="rId226" Type="http://schemas.openxmlformats.org/officeDocument/2006/relationships/hyperlink" Target="https://www.ezhunaonline.com/compilation/buddhism-and-tamils-during-megalith-of-srilanka/" TargetMode="External"/><Relationship Id="rId227" Type="http://schemas.openxmlformats.org/officeDocument/2006/relationships/hyperlink" Target="https://www.ezhunaonline.com/history-of-ariya-kulam-jaffna/" TargetMode="External"/><Relationship Id="rId228" Type="http://schemas.openxmlformats.org/officeDocument/2006/relationships/hyperlink" Target="https://www.ezhunaonline.com/tamil-rasathani-in-vanni-kurundankula-temple/" TargetMode="External"/><Relationship Id="rId229" Type="http://schemas.openxmlformats.org/officeDocument/2006/relationships/hyperlink" Target="https://www.ezhunaonline.com/jaffna-fort/" TargetMode="External"/><Relationship Id="rId230" Type="http://schemas.openxmlformats.org/officeDocument/2006/relationships/hyperlink" Target="https://www.ezhunaonline.com/velana-palaeolithic-culture-at-chatti/" TargetMode="External"/><Relationship Id="rId23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noolaham.org/" TargetMode="External"/><Relationship Id="rId2" Type="http://schemas.openxmlformats.org/officeDocument/2006/relationships/hyperlink" Target="https://www.ezhunaonline.com/" TargetMode="External"/><Relationship Id="rId3" Type="http://schemas.openxmlformats.org/officeDocument/2006/relationships/hyperlink" Target="https://www.his.jfn.ac.lk/" TargetMode="External"/><Relationship Id="rId4" Type="http://schemas.openxmlformats.org/officeDocument/2006/relationships/hyperlink" Target="https://jfn.ac.lk/prof-s-pathmanathan/" TargetMode="External"/><Relationship Id="rId5" Type="http://schemas.openxmlformats.org/officeDocument/2006/relationships/hyperlink" Target="https://rer.jfn.ac.lk/" TargetMode="External"/><Relationship Id="rId6" Type="http://schemas.openxmlformats.org/officeDocument/2006/relationships/hyperlink" Target="https://www.tamilnet.com/" TargetMode="External"/><Relationship Id="rId7" Type="http://schemas.openxmlformats.org/officeDocument/2006/relationships/hyperlink" Target="https://www.virakesari.lk/" TargetMode="External"/><Relationship Id="rId8" Type="http://schemas.openxmlformats.org/officeDocument/2006/relationships/hyperlink" Target="https://www.sundaytimes.lk/" TargetMode="External"/><Relationship Id="rId9" Type="http://schemas.openxmlformats.org/officeDocument/2006/relationships/hyperlink" Target="https://www.lankapradeepa.com/2020/04/tamil-inscriptions-in-sri-lanka_16.html"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6" min="2" style="0" width="18"/>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5" customFormat="false" ht="15" hidden="false" customHeight="false" outlineLevel="0" collapsed="false">
      <c r="A5" s="3" t="s">
        <v>3</v>
      </c>
      <c r="B5" s="3" t="s">
        <v>4</v>
      </c>
      <c r="C5" s="3" t="s">
        <v>5</v>
      </c>
    </row>
    <row r="6" customFormat="false" ht="15" hidden="false" customHeight="false" outlineLevel="0" collapsed="false">
      <c r="A6" s="2" t="s">
        <v>6</v>
      </c>
      <c r="B6" s="2" t="n">
        <f aca="false">COUNTIF('All Records'!$B$2:$B$231,A6)</f>
        <v>31</v>
      </c>
      <c r="C6" s="2" t="n">
        <f aca="false">COUNTIFS('All Records'!$B$2:$B$231,A6,'All Records'!$L$2:$L$231,"Yes")</f>
        <v>21</v>
      </c>
    </row>
    <row r="7" customFormat="false" ht="15" hidden="false" customHeight="false" outlineLevel="0" collapsed="false">
      <c r="A7" s="2" t="s">
        <v>7</v>
      </c>
      <c r="B7" s="2" t="n">
        <f aca="false">COUNTIF('All Records'!$B$2:$B$231,A7)</f>
        <v>74</v>
      </c>
      <c r="C7" s="2" t="n">
        <f aca="false">COUNTIFS('All Records'!$B$2:$B$231,A7,'All Records'!$L$2:$L$231,"Yes")</f>
        <v>56</v>
      </c>
    </row>
    <row r="8" customFormat="false" ht="15" hidden="false" customHeight="false" outlineLevel="0" collapsed="false">
      <c r="A8" s="2" t="s">
        <v>8</v>
      </c>
      <c r="B8" s="2" t="n">
        <f aca="false">COUNTIF('All Records'!$B$2:$B$231,A8)</f>
        <v>31</v>
      </c>
      <c r="C8" s="2" t="n">
        <f aca="false">COUNTIFS('All Records'!$B$2:$B$231,A8,'All Records'!$L$2:$L$231,"Yes")</f>
        <v>14</v>
      </c>
    </row>
    <row r="9" customFormat="false" ht="15" hidden="false" customHeight="false" outlineLevel="0" collapsed="false">
      <c r="A9" s="2" t="s">
        <v>9</v>
      </c>
      <c r="B9" s="2" t="n">
        <f aca="false">COUNTIF('All Records'!$B$2:$B$231,A9)</f>
        <v>94</v>
      </c>
      <c r="C9" s="2" t="n">
        <f aca="false">COUNTIFS('All Records'!$B$2:$B$231,A9,'All Records'!$L$2:$L$231,"Yes")</f>
        <v>76</v>
      </c>
    </row>
    <row r="10" customFormat="false" ht="15" hidden="false" customHeight="false" outlineLevel="0" collapsed="false">
      <c r="A10" s="4" t="s">
        <v>10</v>
      </c>
      <c r="B10" s="4" t="n">
        <f aca="false">SUM(B6:B9)</f>
        <v>230</v>
      </c>
      <c r="C10" s="4" t="n">
        <f aca="false">SUM(C6:C9)</f>
        <v>167</v>
      </c>
    </row>
    <row r="12" customFormat="false" ht="15" hidden="false" customHeight="false" outlineLevel="0" collapsed="false">
      <c r="A12" s="3" t="s">
        <v>11</v>
      </c>
      <c r="B12" s="3" t="s">
        <v>4</v>
      </c>
    </row>
    <row r="13" customFormat="false" ht="15" hidden="false" customHeight="false" outlineLevel="0" collapsed="false">
      <c r="A13" s="2" t="s">
        <v>12</v>
      </c>
      <c r="B13" s="2" t="n">
        <f aca="false">COUNTIF('All Records'!$J$2:$J$231,"*"&amp;A13&amp;"*")</f>
        <v>98</v>
      </c>
    </row>
    <row r="14" customFormat="false" ht="15" hidden="false" customHeight="false" outlineLevel="0" collapsed="false">
      <c r="A14" s="2" t="s">
        <v>13</v>
      </c>
      <c r="B14" s="2" t="n">
        <f aca="false">COUNTIF('All Records'!$J$2:$J$231,"*"&amp;A14&amp;"*")</f>
        <v>30</v>
      </c>
    </row>
    <row r="15" customFormat="false" ht="15" hidden="false" customHeight="false" outlineLevel="0" collapsed="false">
      <c r="A15" s="2" t="s">
        <v>14</v>
      </c>
      <c r="B15" s="2" t="n">
        <f aca="false">COUNTIF('All Records'!$J$2:$J$231,"*"&amp;A15&amp;"*")</f>
        <v>81</v>
      </c>
    </row>
    <row r="16" customFormat="false" ht="15" hidden="false" customHeight="false" outlineLevel="0" collapsed="false">
      <c r="A16" s="2" t="s">
        <v>15</v>
      </c>
      <c r="B16" s="2" t="n">
        <f aca="false">COUNTIF('All Records'!$J$2:$J$231,"*"&amp;A16&amp;"*")</f>
        <v>5</v>
      </c>
    </row>
    <row r="17" customFormat="false" ht="15" hidden="false" customHeight="false" outlineLevel="0" collapsed="false">
      <c r="A17" s="2" t="s">
        <v>16</v>
      </c>
      <c r="B17" s="2" t="n">
        <f aca="false">COUNTIF('All Records'!$J$2:$J$231,"*"&amp;A17&amp;"*")</f>
        <v>4</v>
      </c>
    </row>
    <row r="18" customFormat="false" ht="15" hidden="false" customHeight="false" outlineLevel="0" collapsed="false">
      <c r="A18" s="2" t="s">
        <v>17</v>
      </c>
      <c r="B18" s="2" t="n">
        <f aca="false">COUNTIF('All Records'!$J$2:$J$231,"*"&amp;A18&amp;"*")</f>
        <v>8</v>
      </c>
    </row>
    <row r="19" customFormat="false" ht="15" hidden="false" customHeight="false" outlineLevel="0" collapsed="false">
      <c r="A19" s="5" t="s">
        <v>18</v>
      </c>
    </row>
    <row r="21" customFormat="false" ht="15" hidden="false" customHeight="false" outlineLevel="0" collapsed="false">
      <c r="A21" s="3" t="s">
        <v>19</v>
      </c>
      <c r="B21" s="3" t="s">
        <v>6</v>
      </c>
      <c r="C21" s="3" t="s">
        <v>7</v>
      </c>
      <c r="D21" s="3" t="s">
        <v>8</v>
      </c>
      <c r="E21" s="3" t="s">
        <v>9</v>
      </c>
      <c r="F21" s="3" t="s">
        <v>20</v>
      </c>
    </row>
    <row r="22" customFormat="false" ht="15" hidden="false" customHeight="false" outlineLevel="0" collapsed="false">
      <c r="A22" s="2" t="s">
        <v>21</v>
      </c>
      <c r="B22" s="2" t="n">
        <f aca="false">SUMPRODUCT(('All Records'!$B$2:$B$231="Books")*(IFERROR(VALUE(LEFT('All Records'!$C$2:$C$231,4)),0)&gt;=1996)*(IFERROR(VALUE(LEFT('All Records'!$C$2:$C$231,4)),0)&lt;=2000))</f>
        <v>4</v>
      </c>
      <c r="C22" s="2" t="n">
        <f aca="false">SUMPRODUCT(('All Records'!$B$2:$B$231="Research Papers")*(IFERROR(VALUE(LEFT('All Records'!$C$2:$C$231,4)),0)&gt;=1996)*(IFERROR(VALUE(LEFT('All Records'!$C$2:$C$231,4)),0)&lt;=2000))</f>
        <v>4</v>
      </c>
      <c r="D22" s="2" t="n">
        <f aca="false">SUMPRODUCT(('All Records'!$B$2:$B$231="Newspaper Articles")*(IFERROR(VALUE(LEFT('All Records'!$C$2:$C$231,4)),0)&gt;=1996)*(IFERROR(VALUE(LEFT('All Records'!$C$2:$C$231,4)),0)&lt;=2000))</f>
        <v>1</v>
      </c>
      <c r="E22" s="2" t="n">
        <f aca="false">SUMPRODUCT(('All Records'!$B$2:$B$231="Magazines/Journals")*(IFERROR(VALUE(LEFT('All Records'!$C$2:$C$231,4)),0)&gt;=1996)*(IFERROR(VALUE(LEFT('All Records'!$C$2:$C$231,4)),0)&lt;=2000))</f>
        <v>0</v>
      </c>
      <c r="F22" s="4" t="n">
        <f aca="false">SUM(B22:E22)</f>
        <v>9</v>
      </c>
    </row>
    <row r="23" customFormat="false" ht="15" hidden="false" customHeight="false" outlineLevel="0" collapsed="false">
      <c r="A23" s="2" t="s">
        <v>22</v>
      </c>
      <c r="B23" s="2" t="n">
        <f aca="false">SUMPRODUCT(('All Records'!$B$2:$B$231="Books")*(IFERROR(VALUE(LEFT('All Records'!$C$2:$C$231,4)),0)&gt;=2001)*(IFERROR(VALUE(LEFT('All Records'!$C$2:$C$231,4)),0)&lt;=2005))</f>
        <v>9</v>
      </c>
      <c r="C23" s="2" t="n">
        <f aca="false">SUMPRODUCT(('All Records'!$B$2:$B$231="Research Papers")*(IFERROR(VALUE(LEFT('All Records'!$C$2:$C$231,4)),0)&gt;=2001)*(IFERROR(VALUE(LEFT('All Records'!$C$2:$C$231,4)),0)&lt;=2005))</f>
        <v>6</v>
      </c>
      <c r="D23" s="2" t="n">
        <f aca="false">SUMPRODUCT(('All Records'!$B$2:$B$231="Newspaper Articles")*(IFERROR(VALUE(LEFT('All Records'!$C$2:$C$231,4)),0)&gt;=2001)*(IFERROR(VALUE(LEFT('All Records'!$C$2:$C$231,4)),0)&lt;=2005))</f>
        <v>0</v>
      </c>
      <c r="E23" s="2" t="n">
        <f aca="false">SUMPRODUCT(('All Records'!$B$2:$B$231="Magazines/Journals")*(IFERROR(VALUE(LEFT('All Records'!$C$2:$C$231,4)),0)&gt;=2001)*(IFERROR(VALUE(LEFT('All Records'!$C$2:$C$231,4)),0)&lt;=2005))</f>
        <v>1</v>
      </c>
      <c r="F23" s="4" t="n">
        <f aca="false">SUM(B23:E23)</f>
        <v>16</v>
      </c>
    </row>
    <row r="24" customFormat="false" ht="15" hidden="false" customHeight="false" outlineLevel="0" collapsed="false">
      <c r="A24" s="2" t="s">
        <v>23</v>
      </c>
      <c r="B24" s="2" t="n">
        <f aca="false">SUMPRODUCT(('All Records'!$B$2:$B$231="Books")*(IFERROR(VALUE(LEFT('All Records'!$C$2:$C$231,4)),0)&gt;=2006)*(IFERROR(VALUE(LEFT('All Records'!$C$2:$C$231,4)),0)&lt;=2010))</f>
        <v>3</v>
      </c>
      <c r="C24" s="2" t="n">
        <f aca="false">SUMPRODUCT(('All Records'!$B$2:$B$231="Research Papers")*(IFERROR(VALUE(LEFT('All Records'!$C$2:$C$231,4)),0)&gt;=2006)*(IFERROR(VALUE(LEFT('All Records'!$C$2:$C$231,4)),0)&lt;=2010))</f>
        <v>4</v>
      </c>
      <c r="D24" s="2" t="n">
        <f aca="false">SUMPRODUCT(('All Records'!$B$2:$B$231="Newspaper Articles")*(IFERROR(VALUE(LEFT('All Records'!$C$2:$C$231,4)),0)&gt;=2006)*(IFERROR(VALUE(LEFT('All Records'!$C$2:$C$231,4)),0)&lt;=2010))</f>
        <v>4</v>
      </c>
      <c r="E24" s="2" t="n">
        <f aca="false">SUMPRODUCT(('All Records'!$B$2:$B$231="Magazines/Journals")*(IFERROR(VALUE(LEFT('All Records'!$C$2:$C$231,4)),0)&gt;=2006)*(IFERROR(VALUE(LEFT('All Records'!$C$2:$C$231,4)),0)&lt;=2010))</f>
        <v>1</v>
      </c>
      <c r="F24" s="4" t="n">
        <f aca="false">SUM(B24:E24)</f>
        <v>12</v>
      </c>
    </row>
    <row r="25" customFormat="false" ht="15" hidden="false" customHeight="false" outlineLevel="0" collapsed="false">
      <c r="A25" s="2" t="s">
        <v>24</v>
      </c>
      <c r="B25" s="2" t="n">
        <f aca="false">SUMPRODUCT(('All Records'!$B$2:$B$231="Books")*(IFERROR(VALUE(LEFT('All Records'!$C$2:$C$231,4)),0)&gt;=2011)*(IFERROR(VALUE(LEFT('All Records'!$C$2:$C$231,4)),0)&lt;=2015))</f>
        <v>2</v>
      </c>
      <c r="C25" s="2" t="n">
        <f aca="false">SUMPRODUCT(('All Records'!$B$2:$B$231="Research Papers")*(IFERROR(VALUE(LEFT('All Records'!$C$2:$C$231,4)),0)&gt;=2011)*(IFERROR(VALUE(LEFT('All Records'!$C$2:$C$231,4)),0)&lt;=2015))</f>
        <v>7</v>
      </c>
      <c r="D25" s="2" t="n">
        <f aca="false">SUMPRODUCT(('All Records'!$B$2:$B$231="Newspaper Articles")*(IFERROR(VALUE(LEFT('All Records'!$C$2:$C$231,4)),0)&gt;=2011)*(IFERROR(VALUE(LEFT('All Records'!$C$2:$C$231,4)),0)&lt;=2015))</f>
        <v>4</v>
      </c>
      <c r="E25" s="2" t="n">
        <f aca="false">SUMPRODUCT(('All Records'!$B$2:$B$231="Magazines/Journals")*(IFERROR(VALUE(LEFT('All Records'!$C$2:$C$231,4)),0)&gt;=2011)*(IFERROR(VALUE(LEFT('All Records'!$C$2:$C$231,4)),0)&lt;=2015))</f>
        <v>2</v>
      </c>
      <c r="F25" s="4" t="n">
        <f aca="false">SUM(B25:E25)</f>
        <v>15</v>
      </c>
    </row>
    <row r="26" customFormat="false" ht="15" hidden="false" customHeight="false" outlineLevel="0" collapsed="false">
      <c r="A26" s="2" t="s">
        <v>25</v>
      </c>
      <c r="B26" s="2" t="n">
        <f aca="false">SUMPRODUCT(('All Records'!$B$2:$B$231="Books")*(IFERROR(VALUE(LEFT('All Records'!$C$2:$C$231,4)),0)&gt;=2016)*(IFERROR(VALUE(LEFT('All Records'!$C$2:$C$231,4)),0)&lt;=2020))</f>
        <v>0</v>
      </c>
      <c r="C26" s="2" t="n">
        <f aca="false">SUMPRODUCT(('All Records'!$B$2:$B$231="Research Papers")*(IFERROR(VALUE(LEFT('All Records'!$C$2:$C$231,4)),0)&gt;=2016)*(IFERROR(VALUE(LEFT('All Records'!$C$2:$C$231,4)),0)&lt;=2020))</f>
        <v>16</v>
      </c>
      <c r="D26" s="2" t="n">
        <f aca="false">SUMPRODUCT(('All Records'!$B$2:$B$231="Newspaper Articles")*(IFERROR(VALUE(LEFT('All Records'!$C$2:$C$231,4)),0)&gt;=2016)*(IFERROR(VALUE(LEFT('All Records'!$C$2:$C$231,4)),0)&lt;=2020))</f>
        <v>2</v>
      </c>
      <c r="E26" s="2" t="n">
        <f aca="false">SUMPRODUCT(('All Records'!$B$2:$B$231="Magazines/Journals")*(IFERROR(VALUE(LEFT('All Records'!$C$2:$C$231,4)),0)&gt;=2016)*(IFERROR(VALUE(LEFT('All Records'!$C$2:$C$231,4)),0)&lt;=2020))</f>
        <v>1</v>
      </c>
      <c r="F26" s="4" t="n">
        <f aca="false">SUM(B26:E26)</f>
        <v>19</v>
      </c>
    </row>
    <row r="27" customFormat="false" ht="15" hidden="false" customHeight="false" outlineLevel="0" collapsed="false">
      <c r="A27" s="2" t="s">
        <v>26</v>
      </c>
      <c r="B27" s="2" t="n">
        <f aca="false">SUMPRODUCT(('All Records'!$B$2:$B$231="Books")*(IFERROR(VALUE(LEFT('All Records'!$C$2:$C$231,4)),0)&gt;=2021)*(IFERROR(VALUE(LEFT('All Records'!$C$2:$C$231,4)),0)&lt;=2026))</f>
        <v>3</v>
      </c>
      <c r="C27" s="2" t="n">
        <f aca="false">SUMPRODUCT(('All Records'!$B$2:$B$231="Research Papers")*(IFERROR(VALUE(LEFT('All Records'!$C$2:$C$231,4)),0)&gt;=2021)*(IFERROR(VALUE(LEFT('All Records'!$C$2:$C$231,4)),0)&lt;=2026))</f>
        <v>19</v>
      </c>
      <c r="D27" s="2" t="n">
        <f aca="false">SUMPRODUCT(('All Records'!$B$2:$B$231="Newspaper Articles")*(IFERROR(VALUE(LEFT('All Records'!$C$2:$C$231,4)),0)&gt;=2021)*(IFERROR(VALUE(LEFT('All Records'!$C$2:$C$231,4)),0)&lt;=2026))</f>
        <v>3</v>
      </c>
      <c r="E27" s="2" t="n">
        <f aca="false">SUMPRODUCT(('All Records'!$B$2:$B$231="Magazines/Journals")*(IFERROR(VALUE(LEFT('All Records'!$C$2:$C$231,4)),0)&gt;=2021)*(IFERROR(VALUE(LEFT('All Records'!$C$2:$C$231,4)),0)&lt;=2026))</f>
        <v>71</v>
      </c>
      <c r="F27" s="4" t="n">
        <f aca="false">SUM(B27:E27)</f>
        <v>96</v>
      </c>
    </row>
    <row r="28" customFormat="false" ht="15" hidden="false" customHeight="false" outlineLevel="0" collapsed="false">
      <c r="A28" s="5"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
    <col collapsed="false" customWidth="true" hidden="false" outlineLevel="0" max="3" min="3" style="0" width="11"/>
    <col collapsed="false" customWidth="true" hidden="false" outlineLevel="0" max="4" min="4" style="0" width="60"/>
    <col collapsed="false" customWidth="true" hidden="false" outlineLevel="0" max="5" min="5" style="0" width="28"/>
    <col collapsed="false" customWidth="true" hidden="false" outlineLevel="0" max="6" min="6" style="0" width="34"/>
    <col collapsed="false" customWidth="true" hidden="false" outlineLevel="0" max="7" min="7" style="0" width="18"/>
    <col collapsed="false" customWidth="true" hidden="false" outlineLevel="0" max="8" min="8" style="0" width="10"/>
    <col collapsed="false" customWidth="true" hidden="false" outlineLevel="0" max="10" min="9" style="0" width="30"/>
    <col collapsed="false" customWidth="true" hidden="false" outlineLevel="0" max="11" min="11" style="0" width="14"/>
    <col collapsed="false" customWidth="true" hidden="false" outlineLevel="0" max="12" min="12" style="0" width="30"/>
    <col collapsed="false" customWidth="true" hidden="false" outlineLevel="0" max="13" min="13" style="0" width="45"/>
  </cols>
  <sheetData>
    <row r="1" customFormat="false" ht="30" hidden="false" customHeight="true" outlineLevel="0" collapsed="false">
      <c r="A1" s="6" t="s">
        <v>28</v>
      </c>
      <c r="B1" s="6" t="s">
        <v>29</v>
      </c>
      <c r="C1" s="6" t="s">
        <v>30</v>
      </c>
      <c r="D1" s="6" t="s">
        <v>31</v>
      </c>
      <c r="E1" s="6" t="s">
        <v>32</v>
      </c>
      <c r="F1" s="6" t="s">
        <v>33</v>
      </c>
      <c r="G1" s="6" t="s">
        <v>34</v>
      </c>
      <c r="H1" s="6" t="s">
        <v>35</v>
      </c>
      <c r="I1" s="6" t="s">
        <v>36</v>
      </c>
      <c r="J1" s="6" t="s">
        <v>37</v>
      </c>
      <c r="K1" s="6" t="s">
        <v>5</v>
      </c>
      <c r="L1" s="6" t="s">
        <v>38</v>
      </c>
      <c r="M1" s="6" t="s">
        <v>39</v>
      </c>
    </row>
    <row r="2" customFormat="false" ht="23.85" hidden="false" customHeight="false" outlineLevel="0" collapsed="false">
      <c r="A2" s="7" t="s">
        <v>40</v>
      </c>
      <c r="B2" s="8" t="s">
        <v>41</v>
      </c>
      <c r="C2" s="7" t="s">
        <v>42</v>
      </c>
      <c r="D2" s="9" t="s">
        <v>43</v>
      </c>
      <c r="E2" s="9" t="s">
        <v>44</v>
      </c>
      <c r="F2" s="9"/>
      <c r="G2" s="7" t="s">
        <v>45</v>
      </c>
      <c r="H2" s="7" t="s">
        <v>46</v>
      </c>
      <c r="I2" s="9" t="s">
        <v>47</v>
      </c>
      <c r="J2" s="9" t="s">
        <v>48</v>
      </c>
      <c r="K2" s="7" t="s">
        <v>49</v>
      </c>
      <c r="L2" s="9" t="s">
        <v>50</v>
      </c>
      <c r="M2" s="10" t="s">
        <v>51</v>
      </c>
    </row>
    <row r="3" customFormat="false" ht="23.85" hidden="false" customHeight="false" outlineLevel="0" collapsed="false">
      <c r="A3" s="11" t="s">
        <v>52</v>
      </c>
      <c r="B3" s="12" t="s">
        <v>53</v>
      </c>
      <c r="C3" s="11"/>
      <c r="D3" s="13" t="s">
        <v>54</v>
      </c>
      <c r="E3" s="13" t="s">
        <v>55</v>
      </c>
      <c r="F3" s="13" t="s">
        <v>56</v>
      </c>
      <c r="G3" s="11" t="s">
        <v>45</v>
      </c>
      <c r="H3" s="11" t="s">
        <v>57</v>
      </c>
      <c r="I3" s="13" t="s">
        <v>58</v>
      </c>
      <c r="J3" s="13" t="s">
        <v>59</v>
      </c>
      <c r="K3" s="11" t="s">
        <v>49</v>
      </c>
      <c r="L3" s="13" t="s">
        <v>60</v>
      </c>
      <c r="M3" s="14" t="s">
        <v>61</v>
      </c>
    </row>
    <row r="4" customFormat="false" ht="15" hidden="false" customHeight="false" outlineLevel="0" collapsed="false">
      <c r="A4" s="7" t="s">
        <v>62</v>
      </c>
      <c r="B4" s="8" t="s">
        <v>63</v>
      </c>
      <c r="C4" s="7"/>
      <c r="D4" s="9" t="s">
        <v>64</v>
      </c>
      <c r="E4" s="9" t="s">
        <v>65</v>
      </c>
      <c r="F4" s="9" t="s">
        <v>66</v>
      </c>
      <c r="G4" s="7" t="s">
        <v>45</v>
      </c>
      <c r="H4" s="7" t="s">
        <v>46</v>
      </c>
      <c r="I4" s="9" t="s">
        <v>14</v>
      </c>
      <c r="J4" s="9" t="s">
        <v>67</v>
      </c>
      <c r="K4" s="7" t="s">
        <v>49</v>
      </c>
      <c r="L4" s="9"/>
      <c r="M4" s="10" t="s">
        <v>68</v>
      </c>
    </row>
    <row r="5" customFormat="false" ht="15" hidden="false" customHeight="false" outlineLevel="0" collapsed="false">
      <c r="A5" s="11" t="s">
        <v>69</v>
      </c>
      <c r="B5" s="12" t="s">
        <v>70</v>
      </c>
      <c r="C5" s="11"/>
      <c r="D5" s="13" t="s">
        <v>71</v>
      </c>
      <c r="E5" s="13" t="s">
        <v>72</v>
      </c>
      <c r="F5" s="13" t="s">
        <v>73</v>
      </c>
      <c r="G5" s="11" t="s">
        <v>74</v>
      </c>
      <c r="H5" s="11" t="s">
        <v>57</v>
      </c>
      <c r="I5" s="13" t="s">
        <v>12</v>
      </c>
      <c r="J5" s="13" t="s">
        <v>75</v>
      </c>
      <c r="K5" s="11" t="s">
        <v>49</v>
      </c>
      <c r="L5" s="13"/>
      <c r="M5" s="14" t="s">
        <v>76</v>
      </c>
    </row>
    <row r="6" customFormat="false" ht="23.85" hidden="false" customHeight="false" outlineLevel="0" collapsed="false">
      <c r="A6" s="7" t="s">
        <v>77</v>
      </c>
      <c r="B6" s="8" t="s">
        <v>78</v>
      </c>
      <c r="C6" s="7"/>
      <c r="D6" s="9" t="s">
        <v>79</v>
      </c>
      <c r="E6" s="9" t="s">
        <v>80</v>
      </c>
      <c r="F6" s="9" t="s">
        <v>81</v>
      </c>
      <c r="G6" s="7" t="s">
        <v>74</v>
      </c>
      <c r="H6" s="7" t="s">
        <v>46</v>
      </c>
      <c r="I6" s="9" t="s">
        <v>14</v>
      </c>
      <c r="J6" s="9" t="s">
        <v>82</v>
      </c>
      <c r="K6" s="7" t="s">
        <v>49</v>
      </c>
      <c r="L6" s="9"/>
      <c r="M6" s="10" t="s">
        <v>76</v>
      </c>
    </row>
    <row r="7" customFormat="false" ht="23.85" hidden="false" customHeight="false" outlineLevel="0" collapsed="false">
      <c r="A7" s="11" t="s">
        <v>83</v>
      </c>
      <c r="B7" s="12" t="s">
        <v>84</v>
      </c>
      <c r="C7" s="11"/>
      <c r="D7" s="13" t="s">
        <v>85</v>
      </c>
      <c r="E7" s="13" t="s">
        <v>86</v>
      </c>
      <c r="F7" s="13" t="s">
        <v>87</v>
      </c>
      <c r="G7" s="11" t="s">
        <v>45</v>
      </c>
      <c r="H7" s="11" t="s">
        <v>46</v>
      </c>
      <c r="I7" s="13" t="s">
        <v>12</v>
      </c>
      <c r="J7" s="13" t="s">
        <v>88</v>
      </c>
      <c r="K7" s="11" t="s">
        <v>49</v>
      </c>
      <c r="L7" s="13" t="s">
        <v>89</v>
      </c>
      <c r="M7" s="14" t="s">
        <v>90</v>
      </c>
    </row>
    <row r="8" customFormat="false" ht="23.85" hidden="false" customHeight="false" outlineLevel="0" collapsed="false">
      <c r="A8" s="7" t="s">
        <v>91</v>
      </c>
      <c r="B8" s="8" t="s">
        <v>92</v>
      </c>
      <c r="C8" s="7"/>
      <c r="D8" s="9" t="s">
        <v>93</v>
      </c>
      <c r="E8" s="9" t="s">
        <v>44</v>
      </c>
      <c r="F8" s="9" t="s">
        <v>94</v>
      </c>
      <c r="G8" s="7" t="s">
        <v>45</v>
      </c>
      <c r="H8" s="7" t="s">
        <v>57</v>
      </c>
      <c r="I8" s="9" t="s">
        <v>12</v>
      </c>
      <c r="J8" s="9" t="s">
        <v>95</v>
      </c>
      <c r="K8" s="7" t="s">
        <v>49</v>
      </c>
      <c r="L8" s="9" t="s">
        <v>96</v>
      </c>
      <c r="M8" s="10" t="s">
        <v>97</v>
      </c>
    </row>
    <row r="9" customFormat="false" ht="23.85" hidden="false" customHeight="false" outlineLevel="0" collapsed="false">
      <c r="A9" s="11" t="s">
        <v>98</v>
      </c>
      <c r="B9" s="12" t="s">
        <v>92</v>
      </c>
      <c r="C9" s="11"/>
      <c r="D9" s="13" t="s">
        <v>99</v>
      </c>
      <c r="E9" s="13" t="s">
        <v>44</v>
      </c>
      <c r="F9" s="13" t="s">
        <v>100</v>
      </c>
      <c r="G9" s="11" t="s">
        <v>45</v>
      </c>
      <c r="H9" s="11" t="s">
        <v>57</v>
      </c>
      <c r="I9" s="13" t="s">
        <v>12</v>
      </c>
      <c r="J9" s="13" t="s">
        <v>101</v>
      </c>
      <c r="K9" s="11" t="s">
        <v>49</v>
      </c>
      <c r="L9" s="13"/>
      <c r="M9" s="14" t="s">
        <v>102</v>
      </c>
    </row>
    <row r="10" customFormat="false" ht="23.85" hidden="false" customHeight="false" outlineLevel="0" collapsed="false">
      <c r="A10" s="7" t="s">
        <v>103</v>
      </c>
      <c r="B10" s="8" t="s">
        <v>104</v>
      </c>
      <c r="C10" s="7"/>
      <c r="D10" s="9" t="s">
        <v>105</v>
      </c>
      <c r="E10" s="9" t="s">
        <v>106</v>
      </c>
      <c r="F10" s="9" t="s">
        <v>94</v>
      </c>
      <c r="G10" s="7" t="s">
        <v>107</v>
      </c>
      <c r="H10" s="7" t="s">
        <v>57</v>
      </c>
      <c r="I10" s="9"/>
      <c r="J10" s="9" t="s">
        <v>108</v>
      </c>
      <c r="K10" s="7" t="s">
        <v>49</v>
      </c>
      <c r="L10" s="9" t="s">
        <v>109</v>
      </c>
      <c r="M10" s="10" t="s">
        <v>97</v>
      </c>
    </row>
    <row r="11" customFormat="false" ht="23.85" hidden="false" customHeight="false" outlineLevel="0" collapsed="false">
      <c r="A11" s="11" t="s">
        <v>110</v>
      </c>
      <c r="B11" s="12" t="s">
        <v>104</v>
      </c>
      <c r="C11" s="11"/>
      <c r="D11" s="13" t="s">
        <v>111</v>
      </c>
      <c r="E11" s="13" t="s">
        <v>65</v>
      </c>
      <c r="F11" s="13" t="s">
        <v>112</v>
      </c>
      <c r="G11" s="11" t="s">
        <v>45</v>
      </c>
      <c r="H11" s="11" t="s">
        <v>46</v>
      </c>
      <c r="I11" s="13" t="s">
        <v>58</v>
      </c>
      <c r="J11" s="13" t="s">
        <v>113</v>
      </c>
      <c r="K11" s="11" t="s">
        <v>49</v>
      </c>
      <c r="L11" s="13"/>
      <c r="M11" s="14" t="s">
        <v>68</v>
      </c>
    </row>
    <row r="12" customFormat="false" ht="23.85" hidden="false" customHeight="false" outlineLevel="0" collapsed="false">
      <c r="A12" s="7" t="s">
        <v>114</v>
      </c>
      <c r="B12" s="8" t="s">
        <v>115</v>
      </c>
      <c r="C12" s="7"/>
      <c r="D12" s="9" t="s">
        <v>116</v>
      </c>
      <c r="E12" s="9" t="s">
        <v>117</v>
      </c>
      <c r="F12" s="9" t="s">
        <v>118</v>
      </c>
      <c r="G12" s="7" t="s">
        <v>45</v>
      </c>
      <c r="H12" s="7" t="s">
        <v>46</v>
      </c>
      <c r="I12" s="9" t="s">
        <v>12</v>
      </c>
      <c r="J12" s="9" t="s">
        <v>119</v>
      </c>
      <c r="K12" s="7" t="s">
        <v>49</v>
      </c>
      <c r="L12" s="9" t="s">
        <v>120</v>
      </c>
      <c r="M12" s="10" t="s">
        <v>121</v>
      </c>
    </row>
    <row r="13" customFormat="false" ht="15" hidden="false" customHeight="false" outlineLevel="0" collapsed="false">
      <c r="A13" s="11" t="s">
        <v>122</v>
      </c>
      <c r="B13" s="12" t="s">
        <v>115</v>
      </c>
      <c r="C13" s="11"/>
      <c r="D13" s="13" t="s">
        <v>123</v>
      </c>
      <c r="E13" s="13" t="s">
        <v>44</v>
      </c>
      <c r="F13" s="13" t="s">
        <v>118</v>
      </c>
      <c r="G13" s="11" t="s">
        <v>45</v>
      </c>
      <c r="H13" s="11" t="s">
        <v>57</v>
      </c>
      <c r="I13" s="13"/>
      <c r="J13" s="13" t="s">
        <v>124</v>
      </c>
      <c r="K13" s="11" t="s">
        <v>49</v>
      </c>
      <c r="L13" s="13"/>
      <c r="M13" s="14" t="s">
        <v>97</v>
      </c>
    </row>
    <row r="14" customFormat="false" ht="15" hidden="false" customHeight="false" outlineLevel="0" collapsed="false">
      <c r="A14" s="7" t="s">
        <v>125</v>
      </c>
      <c r="B14" s="8" t="s">
        <v>115</v>
      </c>
      <c r="C14" s="7"/>
      <c r="D14" s="9" t="s">
        <v>126</v>
      </c>
      <c r="E14" s="9" t="s">
        <v>44</v>
      </c>
      <c r="F14" s="9" t="s">
        <v>127</v>
      </c>
      <c r="G14" s="7" t="s">
        <v>45</v>
      </c>
      <c r="H14" s="7" t="s">
        <v>57</v>
      </c>
      <c r="I14" s="9"/>
      <c r="J14" s="9" t="s">
        <v>128</v>
      </c>
      <c r="K14" s="7" t="s">
        <v>49</v>
      </c>
      <c r="L14" s="9"/>
      <c r="M14" s="10" t="s">
        <v>102</v>
      </c>
    </row>
    <row r="15" customFormat="false" ht="23.85" hidden="false" customHeight="false" outlineLevel="0" collapsed="false">
      <c r="A15" s="11" t="s">
        <v>129</v>
      </c>
      <c r="B15" s="12" t="s">
        <v>130</v>
      </c>
      <c r="C15" s="11"/>
      <c r="D15" s="13" t="s">
        <v>131</v>
      </c>
      <c r="E15" s="13" t="s">
        <v>132</v>
      </c>
      <c r="F15" s="13" t="s">
        <v>133</v>
      </c>
      <c r="G15" s="11" t="s">
        <v>45</v>
      </c>
      <c r="H15" s="11" t="s">
        <v>46</v>
      </c>
      <c r="I15" s="13" t="s">
        <v>58</v>
      </c>
      <c r="J15" s="13" t="s">
        <v>134</v>
      </c>
      <c r="K15" s="11" t="s">
        <v>49</v>
      </c>
      <c r="L15" s="13" t="s">
        <v>135</v>
      </c>
      <c r="M15" s="14" t="s">
        <v>136</v>
      </c>
    </row>
    <row r="16" customFormat="false" ht="15" hidden="false" customHeight="false" outlineLevel="0" collapsed="false">
      <c r="A16" s="7" t="s">
        <v>137</v>
      </c>
      <c r="B16" s="8" t="s">
        <v>130</v>
      </c>
      <c r="C16" s="7"/>
      <c r="D16" s="9" t="s">
        <v>138</v>
      </c>
      <c r="E16" s="9" t="s">
        <v>139</v>
      </c>
      <c r="F16" s="9" t="s">
        <v>140</v>
      </c>
      <c r="G16" s="7" t="s">
        <v>74</v>
      </c>
      <c r="H16" s="7" t="s">
        <v>46</v>
      </c>
      <c r="I16" s="9" t="s">
        <v>14</v>
      </c>
      <c r="J16" s="9" t="s">
        <v>141</v>
      </c>
      <c r="K16" s="7" t="s">
        <v>49</v>
      </c>
      <c r="L16" s="9"/>
      <c r="M16" s="10" t="s">
        <v>97</v>
      </c>
    </row>
    <row r="17" customFormat="false" ht="23.85" hidden="false" customHeight="false" outlineLevel="0" collapsed="false">
      <c r="A17" s="11" t="s">
        <v>142</v>
      </c>
      <c r="B17" s="12" t="s">
        <v>143</v>
      </c>
      <c r="C17" s="11"/>
      <c r="D17" s="13" t="s">
        <v>144</v>
      </c>
      <c r="E17" s="13" t="s">
        <v>145</v>
      </c>
      <c r="F17" s="13" t="s">
        <v>146</v>
      </c>
      <c r="G17" s="11" t="s">
        <v>45</v>
      </c>
      <c r="H17" s="11" t="s">
        <v>46</v>
      </c>
      <c r="I17" s="13" t="s">
        <v>47</v>
      </c>
      <c r="J17" s="13" t="s">
        <v>147</v>
      </c>
      <c r="K17" s="11" t="s">
        <v>49</v>
      </c>
      <c r="L17" s="13" t="s">
        <v>148</v>
      </c>
      <c r="M17" s="14" t="s">
        <v>149</v>
      </c>
    </row>
    <row r="18" customFormat="false" ht="23.85" hidden="false" customHeight="false" outlineLevel="0" collapsed="false">
      <c r="A18" s="7" t="s">
        <v>150</v>
      </c>
      <c r="B18" s="8" t="s">
        <v>151</v>
      </c>
      <c r="C18" s="7"/>
      <c r="D18" s="9" t="s">
        <v>152</v>
      </c>
      <c r="E18" s="9" t="s">
        <v>153</v>
      </c>
      <c r="F18" s="9" t="s">
        <v>154</v>
      </c>
      <c r="G18" s="7" t="s">
        <v>45</v>
      </c>
      <c r="H18" s="7" t="s">
        <v>57</v>
      </c>
      <c r="I18" s="9" t="s">
        <v>14</v>
      </c>
      <c r="J18" s="9" t="s">
        <v>155</v>
      </c>
      <c r="K18" s="7" t="s">
        <v>49</v>
      </c>
      <c r="L18" s="9"/>
      <c r="M18" s="10" t="s">
        <v>102</v>
      </c>
    </row>
    <row r="19" customFormat="false" ht="35.05" hidden="false" customHeight="false" outlineLevel="0" collapsed="false">
      <c r="A19" s="11" t="s">
        <v>156</v>
      </c>
      <c r="B19" s="12" t="s">
        <v>157</v>
      </c>
      <c r="C19" s="11"/>
      <c r="D19" s="13" t="s">
        <v>158</v>
      </c>
      <c r="E19" s="13" t="s">
        <v>159</v>
      </c>
      <c r="F19" s="13" t="s">
        <v>160</v>
      </c>
      <c r="G19" s="11" t="s">
        <v>74</v>
      </c>
      <c r="H19" s="11" t="s">
        <v>46</v>
      </c>
      <c r="I19" s="13" t="s">
        <v>14</v>
      </c>
      <c r="J19" s="13" t="s">
        <v>67</v>
      </c>
      <c r="K19" s="11" t="s">
        <v>49</v>
      </c>
      <c r="L19" s="13"/>
      <c r="M19" s="14" t="s">
        <v>97</v>
      </c>
    </row>
    <row r="20" customFormat="false" ht="15" hidden="false" customHeight="false" outlineLevel="0" collapsed="false">
      <c r="A20" s="7" t="s">
        <v>161</v>
      </c>
      <c r="B20" s="8" t="s">
        <v>157</v>
      </c>
      <c r="C20" s="7"/>
      <c r="D20" s="9" t="s">
        <v>162</v>
      </c>
      <c r="E20" s="9" t="s">
        <v>163</v>
      </c>
      <c r="F20" s="9" t="s">
        <v>164</v>
      </c>
      <c r="G20" s="7" t="s">
        <v>74</v>
      </c>
      <c r="H20" s="7" t="s">
        <v>46</v>
      </c>
      <c r="I20" s="9" t="s">
        <v>12</v>
      </c>
      <c r="J20" s="9" t="s">
        <v>165</v>
      </c>
      <c r="K20" s="7" t="s">
        <v>49</v>
      </c>
      <c r="L20" s="9" t="s">
        <v>166</v>
      </c>
      <c r="M20" s="10" t="s">
        <v>97</v>
      </c>
    </row>
    <row r="21" customFormat="false" ht="23.85" hidden="false" customHeight="false" outlineLevel="0" collapsed="false">
      <c r="A21" s="11" t="s">
        <v>167</v>
      </c>
      <c r="B21" s="12" t="s">
        <v>168</v>
      </c>
      <c r="C21" s="11"/>
      <c r="D21" s="13" t="s">
        <v>169</v>
      </c>
      <c r="E21" s="13" t="s">
        <v>170</v>
      </c>
      <c r="F21" s="13" t="s">
        <v>171</v>
      </c>
      <c r="G21" s="11" t="s">
        <v>45</v>
      </c>
      <c r="H21" s="11" t="s">
        <v>46</v>
      </c>
      <c r="I21" s="13" t="s">
        <v>17</v>
      </c>
      <c r="J21" s="13" t="s">
        <v>172</v>
      </c>
      <c r="K21" s="11" t="s">
        <v>49</v>
      </c>
      <c r="L21" s="13" t="s">
        <v>173</v>
      </c>
      <c r="M21" s="14" t="s">
        <v>174</v>
      </c>
    </row>
    <row r="22" customFormat="false" ht="23.85" hidden="false" customHeight="false" outlineLevel="0" collapsed="false">
      <c r="A22" s="7" t="s">
        <v>175</v>
      </c>
      <c r="B22" s="8" t="s">
        <v>168</v>
      </c>
      <c r="C22" s="7"/>
      <c r="D22" s="9" t="s">
        <v>176</v>
      </c>
      <c r="E22" s="9" t="s">
        <v>177</v>
      </c>
      <c r="F22" s="9" t="s">
        <v>178</v>
      </c>
      <c r="G22" s="7" t="s">
        <v>45</v>
      </c>
      <c r="H22" s="7" t="s">
        <v>46</v>
      </c>
      <c r="I22" s="9"/>
      <c r="J22" s="9" t="s">
        <v>179</v>
      </c>
      <c r="K22" s="7" t="s">
        <v>49</v>
      </c>
      <c r="L22" s="9" t="s">
        <v>180</v>
      </c>
      <c r="M22" s="10" t="s">
        <v>181</v>
      </c>
    </row>
    <row r="23" customFormat="false" ht="23.85" hidden="false" customHeight="false" outlineLevel="0" collapsed="false">
      <c r="A23" s="11" t="s">
        <v>182</v>
      </c>
      <c r="B23" s="12" t="s">
        <v>183</v>
      </c>
      <c r="C23" s="11"/>
      <c r="D23" s="13" t="s">
        <v>184</v>
      </c>
      <c r="E23" s="13" t="s">
        <v>185</v>
      </c>
      <c r="F23" s="13" t="s">
        <v>186</v>
      </c>
      <c r="G23" s="11" t="s">
        <v>45</v>
      </c>
      <c r="H23" s="11" t="s">
        <v>46</v>
      </c>
      <c r="I23" s="13" t="s">
        <v>12</v>
      </c>
      <c r="J23" s="13" t="s">
        <v>187</v>
      </c>
      <c r="K23" s="11" t="s">
        <v>188</v>
      </c>
      <c r="L23" s="13" t="s">
        <v>189</v>
      </c>
      <c r="M23" s="14" t="s">
        <v>190</v>
      </c>
    </row>
    <row r="24" customFormat="false" ht="23.85" hidden="false" customHeight="false" outlineLevel="0" collapsed="false">
      <c r="A24" s="7" t="s">
        <v>191</v>
      </c>
      <c r="B24" s="8" t="s">
        <v>192</v>
      </c>
      <c r="C24" s="7"/>
      <c r="D24" s="9" t="s">
        <v>193</v>
      </c>
      <c r="E24" s="9" t="s">
        <v>194</v>
      </c>
      <c r="F24" s="9" t="s">
        <v>94</v>
      </c>
      <c r="G24" s="7" t="s">
        <v>45</v>
      </c>
      <c r="H24" s="7" t="s">
        <v>57</v>
      </c>
      <c r="I24" s="9" t="s">
        <v>12</v>
      </c>
      <c r="J24" s="9" t="s">
        <v>195</v>
      </c>
      <c r="K24" s="7" t="s">
        <v>188</v>
      </c>
      <c r="L24" s="9" t="s">
        <v>196</v>
      </c>
      <c r="M24" s="10" t="s">
        <v>197</v>
      </c>
    </row>
    <row r="25" customFormat="false" ht="23.85" hidden="false" customHeight="false" outlineLevel="0" collapsed="false">
      <c r="A25" s="11" t="s">
        <v>198</v>
      </c>
      <c r="B25" s="12" t="s">
        <v>192</v>
      </c>
      <c r="C25" s="11"/>
      <c r="D25" s="13" t="s">
        <v>199</v>
      </c>
      <c r="E25" s="13" t="s">
        <v>145</v>
      </c>
      <c r="F25" s="13" t="s">
        <v>200</v>
      </c>
      <c r="G25" s="11" t="s">
        <v>45</v>
      </c>
      <c r="H25" s="11" t="s">
        <v>57</v>
      </c>
      <c r="I25" s="13" t="s">
        <v>201</v>
      </c>
      <c r="J25" s="13" t="s">
        <v>202</v>
      </c>
      <c r="K25" s="11" t="s">
        <v>188</v>
      </c>
      <c r="L25" s="13" t="s">
        <v>203</v>
      </c>
      <c r="M25" s="14" t="s">
        <v>204</v>
      </c>
    </row>
    <row r="26" customFormat="false" ht="15" hidden="false" customHeight="false" outlineLevel="0" collapsed="false">
      <c r="A26" s="7" t="s">
        <v>205</v>
      </c>
      <c r="B26" s="8" t="s">
        <v>206</v>
      </c>
      <c r="C26" s="7"/>
      <c r="D26" s="9" t="s">
        <v>207</v>
      </c>
      <c r="E26" s="9" t="s">
        <v>208</v>
      </c>
      <c r="F26" s="9" t="s">
        <v>209</v>
      </c>
      <c r="G26" s="7" t="s">
        <v>45</v>
      </c>
      <c r="H26" s="7" t="s">
        <v>46</v>
      </c>
      <c r="I26" s="9" t="s">
        <v>14</v>
      </c>
      <c r="J26" s="9" t="s">
        <v>210</v>
      </c>
      <c r="K26" s="7" t="s">
        <v>188</v>
      </c>
      <c r="L26" s="9" t="s">
        <v>211</v>
      </c>
      <c r="M26" s="10" t="s">
        <v>212</v>
      </c>
    </row>
    <row r="27" customFormat="false" ht="15" hidden="false" customHeight="false" outlineLevel="0" collapsed="false">
      <c r="A27" s="11" t="s">
        <v>213</v>
      </c>
      <c r="B27" s="12" t="s">
        <v>214</v>
      </c>
      <c r="C27" s="11"/>
      <c r="D27" s="13" t="s">
        <v>215</v>
      </c>
      <c r="E27" s="13" t="s">
        <v>216</v>
      </c>
      <c r="F27" s="13" t="s">
        <v>217</v>
      </c>
      <c r="G27" s="11" t="s">
        <v>45</v>
      </c>
      <c r="H27" s="11" t="s">
        <v>46</v>
      </c>
      <c r="I27" s="13" t="s">
        <v>12</v>
      </c>
      <c r="J27" s="13" t="s">
        <v>218</v>
      </c>
      <c r="K27" s="11" t="s">
        <v>188</v>
      </c>
      <c r="L27" s="13" t="s">
        <v>211</v>
      </c>
      <c r="M27" s="14" t="s">
        <v>219</v>
      </c>
    </row>
    <row r="28" customFormat="false" ht="15" hidden="false" customHeight="false" outlineLevel="0" collapsed="false">
      <c r="A28" s="7" t="s">
        <v>220</v>
      </c>
      <c r="B28" s="8" t="s">
        <v>214</v>
      </c>
      <c r="C28" s="7"/>
      <c r="D28" s="9" t="s">
        <v>221</v>
      </c>
      <c r="E28" s="9" t="s">
        <v>222</v>
      </c>
      <c r="F28" s="9" t="s">
        <v>223</v>
      </c>
      <c r="G28" s="7" t="s">
        <v>45</v>
      </c>
      <c r="H28" s="7" t="s">
        <v>46</v>
      </c>
      <c r="I28" s="9" t="s">
        <v>12</v>
      </c>
      <c r="J28" s="9" t="s">
        <v>218</v>
      </c>
      <c r="K28" s="7" t="s">
        <v>188</v>
      </c>
      <c r="L28" s="9" t="s">
        <v>211</v>
      </c>
      <c r="M28" s="10" t="s">
        <v>224</v>
      </c>
    </row>
    <row r="29" customFormat="false" ht="15" hidden="false" customHeight="false" outlineLevel="0" collapsed="false">
      <c r="A29" s="11" t="s">
        <v>225</v>
      </c>
      <c r="B29" s="12"/>
      <c r="C29" s="11"/>
      <c r="D29" s="13" t="s">
        <v>226</v>
      </c>
      <c r="E29" s="13"/>
      <c r="F29" s="13" t="s">
        <v>227</v>
      </c>
      <c r="G29" s="11" t="s">
        <v>45</v>
      </c>
      <c r="H29" s="11" t="s">
        <v>46</v>
      </c>
      <c r="I29" s="13" t="s">
        <v>14</v>
      </c>
      <c r="J29" s="13" t="s">
        <v>228</v>
      </c>
      <c r="K29" s="11" t="s">
        <v>229</v>
      </c>
      <c r="L29" s="13" t="s">
        <v>230</v>
      </c>
      <c r="M29" s="14" t="s">
        <v>231</v>
      </c>
    </row>
    <row r="30" customFormat="false" ht="15" hidden="false" customHeight="false" outlineLevel="0" collapsed="false">
      <c r="A30" s="7" t="s">
        <v>232</v>
      </c>
      <c r="B30" s="8"/>
      <c r="C30" s="7"/>
      <c r="D30" s="9" t="s">
        <v>233</v>
      </c>
      <c r="E30" s="9" t="s">
        <v>234</v>
      </c>
      <c r="F30" s="9" t="s">
        <v>227</v>
      </c>
      <c r="G30" s="7" t="s">
        <v>45</v>
      </c>
      <c r="H30" s="7" t="s">
        <v>46</v>
      </c>
      <c r="I30" s="9" t="s">
        <v>14</v>
      </c>
      <c r="J30" s="9" t="s">
        <v>235</v>
      </c>
      <c r="K30" s="7" t="s">
        <v>229</v>
      </c>
      <c r="L30" s="9" t="s">
        <v>236</v>
      </c>
      <c r="M30" s="10" t="s">
        <v>237</v>
      </c>
    </row>
    <row r="31" customFormat="false" ht="15" hidden="false" customHeight="false" outlineLevel="0" collapsed="false">
      <c r="A31" s="11" t="s">
        <v>238</v>
      </c>
      <c r="B31" s="12"/>
      <c r="C31" s="11"/>
      <c r="D31" s="13" t="s">
        <v>239</v>
      </c>
      <c r="E31" s="13"/>
      <c r="F31" s="13" t="s">
        <v>227</v>
      </c>
      <c r="G31" s="11" t="s">
        <v>45</v>
      </c>
      <c r="H31" s="11" t="s">
        <v>46</v>
      </c>
      <c r="I31" s="13" t="s">
        <v>14</v>
      </c>
      <c r="J31" s="13" t="s">
        <v>240</v>
      </c>
      <c r="K31" s="11" t="s">
        <v>229</v>
      </c>
      <c r="L31" s="13" t="s">
        <v>230</v>
      </c>
      <c r="M31" s="14" t="s">
        <v>241</v>
      </c>
    </row>
    <row r="32" customFormat="false" ht="23.85" hidden="false" customHeight="false" outlineLevel="0" collapsed="false">
      <c r="A32" s="7" t="s">
        <v>242</v>
      </c>
      <c r="B32" s="8"/>
      <c r="C32" s="7"/>
      <c r="D32" s="9" t="s">
        <v>243</v>
      </c>
      <c r="E32" s="9"/>
      <c r="F32" s="9" t="s">
        <v>244</v>
      </c>
      <c r="G32" s="7" t="s">
        <v>45</v>
      </c>
      <c r="H32" s="7" t="s">
        <v>46</v>
      </c>
      <c r="I32" s="9" t="s">
        <v>14</v>
      </c>
      <c r="J32" s="9" t="s">
        <v>245</v>
      </c>
      <c r="K32" s="7" t="s">
        <v>229</v>
      </c>
      <c r="L32" s="9" t="s">
        <v>246</v>
      </c>
      <c r="M32" s="10" t="s">
        <v>247</v>
      </c>
    </row>
  </sheetData>
  <autoFilter ref="A1:M32"/>
  <hyperlinks>
    <hyperlink ref="M2" r:id="rId1" display="https://www.tamilguardian.com/content/prof-pathmanathans-new-book-sheds-light-early-jaffna-civilisation"/>
    <hyperlink ref="M3" r:id="rId2" display="https://www.ezhunaonline.com/books/tamils-in-the-inscriptions-of-brahmi-and-sinhala/"/>
    <hyperlink ref="M4" r:id="rId3" display="https://en.wikipedia.org/wiki/K._Indrapala"/>
    <hyperlink ref="M5" r:id="rId4" display="https://www.his.jfn.ac.lk/index.php/profkarunthavarajah/"/>
    <hyperlink ref="M6" r:id="rId5" display="https://www.his.jfn.ac.lk/index.php/profkarunthavarajah/"/>
    <hyperlink ref="M7" r:id="rId6" display="https://opac.busl.ac.lk/bib/14671"/>
    <hyperlink ref="M8" r:id="rId7" display="https://jfn.ac.lk/prof-s-pathmanathan/"/>
    <hyperlink ref="M9" r:id="rId8" display="https://en.wikipedia.org/wiki/S._Pathmanathan"/>
    <hyperlink ref="M10" r:id="rId9" display="https://jfn.ac.lk/prof-s-pathmanathan/"/>
    <hyperlink ref="M11" r:id="rId10" display="https://en.wikipedia.org/wiki/K._Indrapala"/>
    <hyperlink ref="M12" r:id="rId11" display="https://unioncatalogue.dlp.gov.lk/Record/batt.35119/Similar"/>
    <hyperlink ref="M13" r:id="rId12" display="https://jfn.ac.lk/prof-s-pathmanathan/"/>
    <hyperlink ref="M14" r:id="rId13" display="https://en.wikipedia.org/wiki/S._Pathmanathan"/>
    <hyperlink ref="M15" r:id="rId14" display="https://vedamsbooks.com/books/early_tamil_epigraphy_from_the_earliest_times_to_the_sixth_century_c_e_volume_1_tamil_brahmi_inscriptions"/>
    <hyperlink ref="M16" r:id="rId15" display="https://jfn.ac.lk/prof-s-pathmanathan/"/>
    <hyperlink ref="M17" r:id="rId16" display="https://mannar.dlp.gov.lk/bib/9820"/>
    <hyperlink ref="M18" r:id="rId17" display="https://en.wikipedia.org/wiki/S._Pathmanathan"/>
    <hyperlink ref="M19" r:id="rId18" display="https://jfn.ac.lk/prof-s-pathmanathan/"/>
    <hyperlink ref="M20" r:id="rId19" display="https://jfn.ac.lk/prof-s-pathmanathan/"/>
    <hyperlink ref="M21" r:id="rId20" display="https://www.sundaytimes.lk/000423/plus3.html"/>
    <hyperlink ref="M22" r:id="rId21" display="https://unioncatalogue.dlp.gov.lk/Record/poin.4050/Description"/>
    <hyperlink ref="M23" r:id="rId22" display="https://noolaham.org/wiki/index.php/Epigraphia_Zeylanica_3"/>
    <hyperlink ref="M24" r:id="rId23" display="https://noolaham.org/wiki/index.php/%E0%AE%95%E0%AF%8B%E0%AE%A3%E0%AF%87%E0%AE%9A%E0%AE%B0%E0%AF%8D_%E0%AE%95%E0%AE%B2%E0%AF%8D%E0%AE%B5%E0%AF%86%E0%AE%9F%E0%AF%8D%E0%AE%9F%E0%AF%81"/>
    <hyperlink ref="M25" r:id="rId24" display="https://noolaham.org/wiki/index.php/%E0%AE%AA%E0%AF%82%E0%AE%A8%E0%AE%95%E0%AE%B0%E0%AE%BF_%E0%AE%A4%E0%AF%8A%E0%AE%B2%E0%AF%8D%E0%AE%AA%E0%AF%8A%E0%AE%B0%E0%AF%81%E0%AE%B3%E0%AE%BE%E0%AE%AF%E0%AF%8D%E0%AE%B5%E0%AF%81"/>
    <hyperlink ref="M26" r:id="rId25" display="https://noolaham.net/project/18/1733/1733.html"/>
    <hyperlink ref="M27" r:id="rId26" display="https://find.library.upenn.edu/catalog/997779313503681"/>
    <hyperlink ref="M28" r:id="rId27" display="https://www.lankapradeepa.com/2020/04/tamil-inscriptions-in-sri-lanka_16.html"/>
    <hyperlink ref="M29" r:id="rId28" display="https://noolaham.net/project/977/97628/97628.pdf"/>
    <hyperlink ref="M30" r:id="rId29" display="https://noolaham.net/project/1316/131542/131542.pdf"/>
    <hyperlink ref="M31" r:id="rId30" display="https://noolaham.net/project/810/80954/80954.pdf"/>
    <hyperlink ref="M32" r:id="rId31" display="http://lib.vau.jfn.ac.lk/cgi-bin/koha/opac-detail.pl?biblionumber=44042&amp;shelfbrowse_itemnumber=5526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
    <col collapsed="false" customWidth="true" hidden="false" outlineLevel="0" max="3" min="3" style="0" width="11"/>
    <col collapsed="false" customWidth="true" hidden="false" outlineLevel="0" max="4" min="4" style="0" width="60"/>
    <col collapsed="false" customWidth="true" hidden="false" outlineLevel="0" max="5" min="5" style="0" width="28"/>
    <col collapsed="false" customWidth="true" hidden="false" outlineLevel="0" max="6" min="6" style="0" width="34"/>
    <col collapsed="false" customWidth="true" hidden="false" outlineLevel="0" max="7" min="7" style="0" width="18"/>
    <col collapsed="false" customWidth="true" hidden="false" outlineLevel="0" max="8" min="8" style="0" width="10"/>
    <col collapsed="false" customWidth="true" hidden="false" outlineLevel="0" max="10" min="9" style="0" width="30"/>
    <col collapsed="false" customWidth="true" hidden="false" outlineLevel="0" max="11" min="11" style="0" width="14"/>
    <col collapsed="false" customWidth="true" hidden="false" outlineLevel="0" max="12" min="12" style="0" width="30"/>
    <col collapsed="false" customWidth="true" hidden="false" outlineLevel="0" max="13" min="13" style="0" width="45"/>
  </cols>
  <sheetData>
    <row r="1" customFormat="false" ht="30" hidden="false" customHeight="true" outlineLevel="0" collapsed="false">
      <c r="A1" s="6" t="s">
        <v>28</v>
      </c>
      <c r="B1" s="6" t="s">
        <v>29</v>
      </c>
      <c r="C1" s="6" t="s">
        <v>30</v>
      </c>
      <c r="D1" s="6" t="s">
        <v>31</v>
      </c>
      <c r="E1" s="6" t="s">
        <v>32</v>
      </c>
      <c r="F1" s="6" t="s">
        <v>33</v>
      </c>
      <c r="G1" s="6" t="s">
        <v>34</v>
      </c>
      <c r="H1" s="6" t="s">
        <v>35</v>
      </c>
      <c r="I1" s="6" t="s">
        <v>36</v>
      </c>
      <c r="J1" s="6" t="s">
        <v>37</v>
      </c>
      <c r="K1" s="6" t="s">
        <v>5</v>
      </c>
      <c r="L1" s="6" t="s">
        <v>38</v>
      </c>
      <c r="M1" s="6" t="s">
        <v>39</v>
      </c>
    </row>
    <row r="2" customFormat="false" ht="23.85" hidden="false" customHeight="false" outlineLevel="0" collapsed="false">
      <c r="A2" s="7" t="s">
        <v>248</v>
      </c>
      <c r="B2" s="8" t="s">
        <v>41</v>
      </c>
      <c r="C2" s="7"/>
      <c r="D2" s="9" t="s">
        <v>249</v>
      </c>
      <c r="E2" s="9" t="s">
        <v>250</v>
      </c>
      <c r="F2" s="9" t="s">
        <v>251</v>
      </c>
      <c r="G2" s="7" t="s">
        <v>252</v>
      </c>
      <c r="H2" s="7" t="s">
        <v>46</v>
      </c>
      <c r="I2" s="9" t="s">
        <v>14</v>
      </c>
      <c r="J2" s="9" t="s">
        <v>253</v>
      </c>
      <c r="K2" s="7" t="s">
        <v>49</v>
      </c>
      <c r="L2" s="9"/>
      <c r="M2" s="10" t="s">
        <v>254</v>
      </c>
    </row>
    <row r="3" customFormat="false" ht="23.85" hidden="false" customHeight="false" outlineLevel="0" collapsed="false">
      <c r="A3" s="11" t="s">
        <v>255</v>
      </c>
      <c r="B3" s="12" t="s">
        <v>53</v>
      </c>
      <c r="C3" s="11"/>
      <c r="D3" s="13" t="s">
        <v>256</v>
      </c>
      <c r="E3" s="13"/>
      <c r="F3" s="13" t="s">
        <v>257</v>
      </c>
      <c r="G3" s="11" t="s">
        <v>258</v>
      </c>
      <c r="H3" s="11" t="s">
        <v>46</v>
      </c>
      <c r="I3" s="13" t="s">
        <v>14</v>
      </c>
      <c r="J3" s="13" t="s">
        <v>259</v>
      </c>
      <c r="K3" s="11" t="s">
        <v>49</v>
      </c>
      <c r="L3" s="13" t="s">
        <v>260</v>
      </c>
      <c r="M3" s="14" t="s">
        <v>261</v>
      </c>
    </row>
    <row r="4" customFormat="false" ht="35.05" hidden="false" customHeight="false" outlineLevel="0" collapsed="false">
      <c r="A4" s="7" t="s">
        <v>262</v>
      </c>
      <c r="B4" s="8" t="s">
        <v>53</v>
      </c>
      <c r="C4" s="7"/>
      <c r="D4" s="9" t="s">
        <v>263</v>
      </c>
      <c r="E4" s="9" t="s">
        <v>264</v>
      </c>
      <c r="F4" s="9" t="s">
        <v>265</v>
      </c>
      <c r="G4" s="7" t="s">
        <v>252</v>
      </c>
      <c r="H4" s="7" t="s">
        <v>57</v>
      </c>
      <c r="I4" s="9" t="s">
        <v>12</v>
      </c>
      <c r="J4" s="9" t="s">
        <v>266</v>
      </c>
      <c r="K4" s="7" t="s">
        <v>49</v>
      </c>
      <c r="L4" s="9"/>
      <c r="M4" s="10" t="s">
        <v>254</v>
      </c>
    </row>
    <row r="5" customFormat="false" ht="23.85" hidden="false" customHeight="false" outlineLevel="0" collapsed="false">
      <c r="A5" s="11" t="s">
        <v>267</v>
      </c>
      <c r="B5" s="12" t="s">
        <v>53</v>
      </c>
      <c r="C5" s="11" t="s">
        <v>268</v>
      </c>
      <c r="D5" s="13" t="s">
        <v>269</v>
      </c>
      <c r="E5" s="13" t="s">
        <v>270</v>
      </c>
      <c r="F5" s="13" t="s">
        <v>271</v>
      </c>
      <c r="G5" s="11" t="s">
        <v>252</v>
      </c>
      <c r="H5" s="11" t="s">
        <v>46</v>
      </c>
      <c r="I5" s="13" t="s">
        <v>14</v>
      </c>
      <c r="J5" s="13" t="s">
        <v>272</v>
      </c>
      <c r="K5" s="11" t="s">
        <v>49</v>
      </c>
      <c r="L5" s="13"/>
      <c r="M5" s="14" t="s">
        <v>273</v>
      </c>
    </row>
    <row r="6" customFormat="false" ht="15" hidden="false" customHeight="false" outlineLevel="0" collapsed="false">
      <c r="A6" s="7" t="s">
        <v>274</v>
      </c>
      <c r="B6" s="8" t="s">
        <v>53</v>
      </c>
      <c r="C6" s="7" t="s">
        <v>275</v>
      </c>
      <c r="D6" s="9" t="s">
        <v>276</v>
      </c>
      <c r="E6" s="9"/>
      <c r="F6" s="9" t="s">
        <v>277</v>
      </c>
      <c r="G6" s="7" t="s">
        <v>278</v>
      </c>
      <c r="H6" s="7" t="s">
        <v>46</v>
      </c>
      <c r="I6" s="9" t="s">
        <v>15</v>
      </c>
      <c r="J6" s="9" t="s">
        <v>279</v>
      </c>
      <c r="K6" s="7" t="s">
        <v>49</v>
      </c>
      <c r="L6" s="9" t="s">
        <v>280</v>
      </c>
      <c r="M6" s="10" t="s">
        <v>281</v>
      </c>
    </row>
    <row r="7" customFormat="false" ht="23.85" hidden="false" customHeight="false" outlineLevel="0" collapsed="false">
      <c r="A7" s="11" t="s">
        <v>282</v>
      </c>
      <c r="B7" s="12" t="s">
        <v>283</v>
      </c>
      <c r="C7" s="11"/>
      <c r="D7" s="13" t="s">
        <v>284</v>
      </c>
      <c r="E7" s="13" t="s">
        <v>270</v>
      </c>
      <c r="F7" s="13" t="s">
        <v>285</v>
      </c>
      <c r="G7" s="11" t="s">
        <v>252</v>
      </c>
      <c r="H7" s="11" t="s">
        <v>46</v>
      </c>
      <c r="I7" s="13" t="s">
        <v>14</v>
      </c>
      <c r="J7" s="13" t="s">
        <v>286</v>
      </c>
      <c r="K7" s="11" t="s">
        <v>49</v>
      </c>
      <c r="L7" s="13"/>
      <c r="M7" s="14" t="s">
        <v>273</v>
      </c>
    </row>
    <row r="8" customFormat="false" ht="23.85" hidden="false" customHeight="false" outlineLevel="0" collapsed="false">
      <c r="A8" s="7" t="s">
        <v>287</v>
      </c>
      <c r="B8" s="8" t="s">
        <v>283</v>
      </c>
      <c r="C8" s="7"/>
      <c r="D8" s="9" t="s">
        <v>288</v>
      </c>
      <c r="E8" s="9" t="s">
        <v>264</v>
      </c>
      <c r="F8" s="9" t="s">
        <v>289</v>
      </c>
      <c r="G8" s="7" t="s">
        <v>252</v>
      </c>
      <c r="H8" s="7" t="s">
        <v>46</v>
      </c>
      <c r="I8" s="9" t="s">
        <v>12</v>
      </c>
      <c r="J8" s="9" t="s">
        <v>290</v>
      </c>
      <c r="K8" s="7" t="s">
        <v>49</v>
      </c>
      <c r="L8" s="9"/>
      <c r="M8" s="10" t="s">
        <v>254</v>
      </c>
    </row>
    <row r="9" customFormat="false" ht="23.85" hidden="false" customHeight="false" outlineLevel="0" collapsed="false">
      <c r="A9" s="11" t="s">
        <v>291</v>
      </c>
      <c r="B9" s="12" t="s">
        <v>292</v>
      </c>
      <c r="C9" s="11"/>
      <c r="D9" s="13" t="s">
        <v>293</v>
      </c>
      <c r="E9" s="13" t="s">
        <v>264</v>
      </c>
      <c r="F9" s="13" t="s">
        <v>294</v>
      </c>
      <c r="G9" s="11" t="s">
        <v>252</v>
      </c>
      <c r="H9" s="11" t="s">
        <v>46</v>
      </c>
      <c r="I9" s="13" t="s">
        <v>12</v>
      </c>
      <c r="J9" s="13" t="s">
        <v>295</v>
      </c>
      <c r="K9" s="11" t="s">
        <v>49</v>
      </c>
      <c r="L9" s="13"/>
      <c r="M9" s="14" t="s">
        <v>254</v>
      </c>
    </row>
    <row r="10" customFormat="false" ht="35.05" hidden="false" customHeight="false" outlineLevel="0" collapsed="false">
      <c r="A10" s="7" t="s">
        <v>296</v>
      </c>
      <c r="B10" s="8" t="s">
        <v>292</v>
      </c>
      <c r="C10" s="7"/>
      <c r="D10" s="9" t="s">
        <v>297</v>
      </c>
      <c r="E10" s="9" t="s">
        <v>298</v>
      </c>
      <c r="F10" s="9" t="s">
        <v>299</v>
      </c>
      <c r="G10" s="7" t="s">
        <v>258</v>
      </c>
      <c r="H10" s="7" t="s">
        <v>46</v>
      </c>
      <c r="I10" s="9" t="s">
        <v>14</v>
      </c>
      <c r="J10" s="9" t="s">
        <v>300</v>
      </c>
      <c r="K10" s="7" t="s">
        <v>49</v>
      </c>
      <c r="L10" s="9"/>
      <c r="M10" s="10" t="s">
        <v>273</v>
      </c>
    </row>
    <row r="11" customFormat="false" ht="23.85" hidden="false" customHeight="false" outlineLevel="0" collapsed="false">
      <c r="A11" s="11" t="s">
        <v>301</v>
      </c>
      <c r="B11" s="12" t="s">
        <v>292</v>
      </c>
      <c r="C11" s="11"/>
      <c r="D11" s="13" t="s">
        <v>302</v>
      </c>
      <c r="E11" s="13" t="s">
        <v>270</v>
      </c>
      <c r="F11" s="13" t="s">
        <v>303</v>
      </c>
      <c r="G11" s="11" t="s">
        <v>258</v>
      </c>
      <c r="H11" s="11" t="s">
        <v>46</v>
      </c>
      <c r="I11" s="13" t="s">
        <v>14</v>
      </c>
      <c r="J11" s="13" t="s">
        <v>304</v>
      </c>
      <c r="K11" s="11" t="s">
        <v>49</v>
      </c>
      <c r="L11" s="13"/>
      <c r="M11" s="14" t="s">
        <v>273</v>
      </c>
    </row>
    <row r="12" customFormat="false" ht="35.05" hidden="false" customHeight="false" outlineLevel="0" collapsed="false">
      <c r="A12" s="7" t="s">
        <v>305</v>
      </c>
      <c r="B12" s="8" t="s">
        <v>292</v>
      </c>
      <c r="C12" s="7"/>
      <c r="D12" s="9" t="s">
        <v>306</v>
      </c>
      <c r="E12" s="9" t="s">
        <v>264</v>
      </c>
      <c r="F12" s="9" t="s">
        <v>307</v>
      </c>
      <c r="G12" s="7" t="s">
        <v>252</v>
      </c>
      <c r="H12" s="7" t="s">
        <v>46</v>
      </c>
      <c r="I12" s="9" t="s">
        <v>12</v>
      </c>
      <c r="J12" s="9" t="s">
        <v>308</v>
      </c>
      <c r="K12" s="7" t="s">
        <v>49</v>
      </c>
      <c r="L12" s="9"/>
      <c r="M12" s="10" t="s">
        <v>254</v>
      </c>
    </row>
    <row r="13" customFormat="false" ht="23.85" hidden="false" customHeight="false" outlineLevel="0" collapsed="false">
      <c r="A13" s="11" t="s">
        <v>309</v>
      </c>
      <c r="B13" s="12" t="s">
        <v>292</v>
      </c>
      <c r="C13" s="11"/>
      <c r="D13" s="13" t="s">
        <v>310</v>
      </c>
      <c r="E13" s="13" t="s">
        <v>264</v>
      </c>
      <c r="F13" s="13" t="s">
        <v>311</v>
      </c>
      <c r="G13" s="11" t="s">
        <v>252</v>
      </c>
      <c r="H13" s="11" t="s">
        <v>46</v>
      </c>
      <c r="I13" s="13" t="s">
        <v>58</v>
      </c>
      <c r="J13" s="13" t="s">
        <v>312</v>
      </c>
      <c r="K13" s="11" t="s">
        <v>49</v>
      </c>
      <c r="L13" s="13"/>
      <c r="M13" s="14" t="s">
        <v>254</v>
      </c>
    </row>
    <row r="14" customFormat="false" ht="23.85" hidden="false" customHeight="false" outlineLevel="0" collapsed="false">
      <c r="A14" s="7" t="s">
        <v>313</v>
      </c>
      <c r="B14" s="8" t="s">
        <v>292</v>
      </c>
      <c r="C14" s="7"/>
      <c r="D14" s="9" t="s">
        <v>314</v>
      </c>
      <c r="E14" s="9" t="s">
        <v>264</v>
      </c>
      <c r="F14" s="9" t="s">
        <v>315</v>
      </c>
      <c r="G14" s="7" t="s">
        <v>252</v>
      </c>
      <c r="H14" s="7" t="s">
        <v>46</v>
      </c>
      <c r="I14" s="9" t="s">
        <v>12</v>
      </c>
      <c r="J14" s="9" t="s">
        <v>316</v>
      </c>
      <c r="K14" s="7" t="s">
        <v>49</v>
      </c>
      <c r="L14" s="9"/>
      <c r="M14" s="10" t="s">
        <v>254</v>
      </c>
    </row>
    <row r="15" customFormat="false" ht="23.85" hidden="false" customHeight="false" outlineLevel="0" collapsed="false">
      <c r="A15" s="11" t="s">
        <v>317</v>
      </c>
      <c r="B15" s="12" t="s">
        <v>63</v>
      </c>
      <c r="C15" s="11"/>
      <c r="D15" s="13" t="s">
        <v>318</v>
      </c>
      <c r="E15" s="13" t="s">
        <v>319</v>
      </c>
      <c r="F15" s="13" t="s">
        <v>320</v>
      </c>
      <c r="G15" s="11" t="s">
        <v>258</v>
      </c>
      <c r="H15" s="11" t="s">
        <v>46</v>
      </c>
      <c r="I15" s="13" t="s">
        <v>321</v>
      </c>
      <c r="J15" s="13" t="s">
        <v>322</v>
      </c>
      <c r="K15" s="11" t="s">
        <v>49</v>
      </c>
      <c r="L15" s="13" t="s">
        <v>323</v>
      </c>
      <c r="M15" s="14" t="s">
        <v>324</v>
      </c>
    </row>
    <row r="16" customFormat="false" ht="23.85" hidden="false" customHeight="false" outlineLevel="0" collapsed="false">
      <c r="A16" s="7" t="s">
        <v>325</v>
      </c>
      <c r="B16" s="8" t="s">
        <v>63</v>
      </c>
      <c r="C16" s="7"/>
      <c r="D16" s="9" t="s">
        <v>326</v>
      </c>
      <c r="E16" s="9" t="s">
        <v>327</v>
      </c>
      <c r="F16" s="9" t="s">
        <v>328</v>
      </c>
      <c r="G16" s="7" t="s">
        <v>252</v>
      </c>
      <c r="H16" s="7" t="s">
        <v>46</v>
      </c>
      <c r="I16" s="9" t="s">
        <v>14</v>
      </c>
      <c r="J16" s="9" t="s">
        <v>329</v>
      </c>
      <c r="K16" s="7" t="s">
        <v>49</v>
      </c>
      <c r="L16" s="9"/>
      <c r="M16" s="10" t="s">
        <v>330</v>
      </c>
    </row>
    <row r="17" customFormat="false" ht="23.85" hidden="false" customHeight="false" outlineLevel="0" collapsed="false">
      <c r="A17" s="11" t="s">
        <v>331</v>
      </c>
      <c r="B17" s="12" t="s">
        <v>63</v>
      </c>
      <c r="C17" s="11"/>
      <c r="D17" s="13" t="s">
        <v>332</v>
      </c>
      <c r="E17" s="13" t="s">
        <v>270</v>
      </c>
      <c r="F17" s="13" t="s">
        <v>333</v>
      </c>
      <c r="G17" s="11" t="s">
        <v>258</v>
      </c>
      <c r="H17" s="11" t="s">
        <v>46</v>
      </c>
      <c r="I17" s="13" t="s">
        <v>14</v>
      </c>
      <c r="J17" s="13" t="s">
        <v>259</v>
      </c>
      <c r="K17" s="11" t="s">
        <v>49</v>
      </c>
      <c r="L17" s="13"/>
      <c r="M17" s="14" t="s">
        <v>273</v>
      </c>
    </row>
    <row r="18" customFormat="false" ht="15" hidden="false" customHeight="false" outlineLevel="0" collapsed="false">
      <c r="A18" s="7" t="s">
        <v>334</v>
      </c>
      <c r="B18" s="8" t="s">
        <v>335</v>
      </c>
      <c r="C18" s="7"/>
      <c r="D18" s="9" t="s">
        <v>336</v>
      </c>
      <c r="E18" s="9" t="s">
        <v>337</v>
      </c>
      <c r="F18" s="9" t="s">
        <v>338</v>
      </c>
      <c r="G18" s="7" t="s">
        <v>339</v>
      </c>
      <c r="H18" s="7" t="s">
        <v>57</v>
      </c>
      <c r="I18" s="9" t="s">
        <v>14</v>
      </c>
      <c r="J18" s="9" t="s">
        <v>340</v>
      </c>
      <c r="K18" s="7" t="s">
        <v>49</v>
      </c>
      <c r="L18" s="9"/>
      <c r="M18" s="10" t="s">
        <v>341</v>
      </c>
    </row>
    <row r="19" customFormat="false" ht="23.85" hidden="false" customHeight="false" outlineLevel="0" collapsed="false">
      <c r="A19" s="11" t="s">
        <v>342</v>
      </c>
      <c r="B19" s="12" t="s">
        <v>335</v>
      </c>
      <c r="C19" s="11"/>
      <c r="D19" s="13" t="s">
        <v>343</v>
      </c>
      <c r="E19" s="13" t="s">
        <v>264</v>
      </c>
      <c r="F19" s="13" t="s">
        <v>344</v>
      </c>
      <c r="G19" s="11" t="s">
        <v>258</v>
      </c>
      <c r="H19" s="11" t="s">
        <v>46</v>
      </c>
      <c r="I19" s="13" t="s">
        <v>12</v>
      </c>
      <c r="J19" s="13" t="s">
        <v>345</v>
      </c>
      <c r="K19" s="11" t="s">
        <v>49</v>
      </c>
      <c r="L19" s="13"/>
      <c r="M19" s="14" t="s">
        <v>254</v>
      </c>
    </row>
    <row r="20" customFormat="false" ht="23.85" hidden="false" customHeight="false" outlineLevel="0" collapsed="false">
      <c r="A20" s="7" t="s">
        <v>346</v>
      </c>
      <c r="B20" s="8" t="s">
        <v>335</v>
      </c>
      <c r="C20" s="7"/>
      <c r="D20" s="9" t="s">
        <v>347</v>
      </c>
      <c r="E20" s="9" t="s">
        <v>348</v>
      </c>
      <c r="F20" s="9" t="s">
        <v>349</v>
      </c>
      <c r="G20" s="7" t="s">
        <v>258</v>
      </c>
      <c r="H20" s="7" t="s">
        <v>57</v>
      </c>
      <c r="I20" s="9" t="s">
        <v>12</v>
      </c>
      <c r="J20" s="9" t="s">
        <v>350</v>
      </c>
      <c r="K20" s="7" t="s">
        <v>49</v>
      </c>
      <c r="L20" s="9"/>
      <c r="M20" s="10" t="s">
        <v>254</v>
      </c>
    </row>
    <row r="21" customFormat="false" ht="23.85" hidden="false" customHeight="false" outlineLevel="0" collapsed="false">
      <c r="A21" s="11" t="s">
        <v>351</v>
      </c>
      <c r="B21" s="12" t="s">
        <v>352</v>
      </c>
      <c r="C21" s="11"/>
      <c r="D21" s="13" t="s">
        <v>353</v>
      </c>
      <c r="E21" s="13" t="s">
        <v>327</v>
      </c>
      <c r="F21" s="13" t="s">
        <v>354</v>
      </c>
      <c r="G21" s="11" t="s">
        <v>258</v>
      </c>
      <c r="H21" s="11" t="s">
        <v>57</v>
      </c>
      <c r="I21" s="13" t="s">
        <v>14</v>
      </c>
      <c r="J21" s="13" t="s">
        <v>355</v>
      </c>
      <c r="K21" s="11" t="s">
        <v>49</v>
      </c>
      <c r="L21" s="13"/>
      <c r="M21" s="14" t="s">
        <v>330</v>
      </c>
    </row>
    <row r="22" customFormat="false" ht="15" hidden="false" customHeight="false" outlineLevel="0" collapsed="false">
      <c r="A22" s="7" t="s">
        <v>356</v>
      </c>
      <c r="B22" s="8" t="s">
        <v>352</v>
      </c>
      <c r="C22" s="7"/>
      <c r="D22" s="9" t="s">
        <v>357</v>
      </c>
      <c r="E22" s="9" t="s">
        <v>327</v>
      </c>
      <c r="F22" s="9" t="s">
        <v>358</v>
      </c>
      <c r="G22" s="7" t="s">
        <v>258</v>
      </c>
      <c r="H22" s="7" t="s">
        <v>46</v>
      </c>
      <c r="I22" s="9" t="s">
        <v>14</v>
      </c>
      <c r="J22" s="9" t="s">
        <v>359</v>
      </c>
      <c r="K22" s="7" t="s">
        <v>49</v>
      </c>
      <c r="L22" s="9"/>
      <c r="M22" s="10" t="s">
        <v>330</v>
      </c>
    </row>
    <row r="23" customFormat="false" ht="35.05" hidden="false" customHeight="false" outlineLevel="0" collapsed="false">
      <c r="A23" s="11" t="s">
        <v>360</v>
      </c>
      <c r="B23" s="12" t="s">
        <v>352</v>
      </c>
      <c r="C23" s="11"/>
      <c r="D23" s="13" t="s">
        <v>361</v>
      </c>
      <c r="E23" s="13" t="s">
        <v>270</v>
      </c>
      <c r="F23" s="13" t="s">
        <v>362</v>
      </c>
      <c r="G23" s="11" t="s">
        <v>252</v>
      </c>
      <c r="H23" s="11" t="s">
        <v>57</v>
      </c>
      <c r="I23" s="13" t="s">
        <v>16</v>
      </c>
      <c r="J23" s="13" t="s">
        <v>363</v>
      </c>
      <c r="K23" s="11" t="s">
        <v>49</v>
      </c>
      <c r="L23" s="13"/>
      <c r="M23" s="14" t="s">
        <v>273</v>
      </c>
    </row>
    <row r="24" customFormat="false" ht="23.85" hidden="false" customHeight="false" outlineLevel="0" collapsed="false">
      <c r="A24" s="7" t="s">
        <v>364</v>
      </c>
      <c r="B24" s="8" t="s">
        <v>365</v>
      </c>
      <c r="C24" s="7"/>
      <c r="D24" s="9" t="s">
        <v>366</v>
      </c>
      <c r="E24" s="9" t="s">
        <v>327</v>
      </c>
      <c r="F24" s="9" t="s">
        <v>367</v>
      </c>
      <c r="G24" s="7" t="s">
        <v>252</v>
      </c>
      <c r="H24" s="7" t="s">
        <v>57</v>
      </c>
      <c r="I24" s="9" t="s">
        <v>368</v>
      </c>
      <c r="J24" s="9" t="s">
        <v>369</v>
      </c>
      <c r="K24" s="7" t="s">
        <v>49</v>
      </c>
      <c r="L24" s="9"/>
      <c r="M24" s="10" t="s">
        <v>330</v>
      </c>
    </row>
    <row r="25" customFormat="false" ht="23.85" hidden="false" customHeight="false" outlineLevel="0" collapsed="false">
      <c r="A25" s="11" t="s">
        <v>370</v>
      </c>
      <c r="B25" s="12" t="s">
        <v>365</v>
      </c>
      <c r="C25" s="11"/>
      <c r="D25" s="13" t="s">
        <v>371</v>
      </c>
      <c r="E25" s="13" t="s">
        <v>327</v>
      </c>
      <c r="F25" s="13" t="s">
        <v>372</v>
      </c>
      <c r="G25" s="11" t="s">
        <v>252</v>
      </c>
      <c r="H25" s="11" t="s">
        <v>57</v>
      </c>
      <c r="I25" s="13" t="s">
        <v>14</v>
      </c>
      <c r="J25" s="13" t="s">
        <v>373</v>
      </c>
      <c r="K25" s="11" t="s">
        <v>49</v>
      </c>
      <c r="L25" s="13"/>
      <c r="M25" s="14" t="s">
        <v>330</v>
      </c>
    </row>
    <row r="26" customFormat="false" ht="23.85" hidden="false" customHeight="false" outlineLevel="0" collapsed="false">
      <c r="A26" s="7" t="s">
        <v>374</v>
      </c>
      <c r="B26" s="8" t="s">
        <v>365</v>
      </c>
      <c r="C26" s="7"/>
      <c r="D26" s="9" t="s">
        <v>375</v>
      </c>
      <c r="E26" s="9" t="s">
        <v>376</v>
      </c>
      <c r="F26" s="9" t="s">
        <v>377</v>
      </c>
      <c r="G26" s="7" t="s">
        <v>258</v>
      </c>
      <c r="H26" s="7" t="s">
        <v>46</v>
      </c>
      <c r="I26" s="9" t="s">
        <v>14</v>
      </c>
      <c r="J26" s="9" t="s">
        <v>378</v>
      </c>
      <c r="K26" s="7" t="s">
        <v>49</v>
      </c>
      <c r="L26" s="9" t="s">
        <v>379</v>
      </c>
      <c r="M26" s="10" t="s">
        <v>380</v>
      </c>
    </row>
    <row r="27" customFormat="false" ht="23.85" hidden="false" customHeight="false" outlineLevel="0" collapsed="false">
      <c r="A27" s="11" t="s">
        <v>381</v>
      </c>
      <c r="B27" s="12" t="s">
        <v>365</v>
      </c>
      <c r="C27" s="11"/>
      <c r="D27" s="13" t="s">
        <v>382</v>
      </c>
      <c r="E27" s="13" t="s">
        <v>264</v>
      </c>
      <c r="F27" s="13" t="s">
        <v>383</v>
      </c>
      <c r="G27" s="11" t="s">
        <v>252</v>
      </c>
      <c r="H27" s="11" t="s">
        <v>46</v>
      </c>
      <c r="I27" s="13"/>
      <c r="J27" s="13" t="s">
        <v>384</v>
      </c>
      <c r="K27" s="11" t="s">
        <v>49</v>
      </c>
      <c r="L27" s="13"/>
      <c r="M27" s="14" t="s">
        <v>254</v>
      </c>
    </row>
    <row r="28" customFormat="false" ht="35.05" hidden="false" customHeight="false" outlineLevel="0" collapsed="false">
      <c r="A28" s="7" t="s">
        <v>385</v>
      </c>
      <c r="B28" s="8" t="s">
        <v>365</v>
      </c>
      <c r="C28" s="7"/>
      <c r="D28" s="9" t="s">
        <v>386</v>
      </c>
      <c r="E28" s="9" t="s">
        <v>327</v>
      </c>
      <c r="F28" s="9" t="s">
        <v>387</v>
      </c>
      <c r="G28" s="7" t="s">
        <v>258</v>
      </c>
      <c r="H28" s="7" t="s">
        <v>57</v>
      </c>
      <c r="I28" s="9" t="s">
        <v>388</v>
      </c>
      <c r="J28" s="9" t="s">
        <v>389</v>
      </c>
      <c r="K28" s="7" t="s">
        <v>49</v>
      </c>
      <c r="L28" s="9"/>
      <c r="M28" s="10" t="s">
        <v>330</v>
      </c>
    </row>
    <row r="29" customFormat="false" ht="23.85" hidden="false" customHeight="false" outlineLevel="0" collapsed="false">
      <c r="A29" s="11" t="s">
        <v>390</v>
      </c>
      <c r="B29" s="12" t="s">
        <v>391</v>
      </c>
      <c r="C29" s="11"/>
      <c r="D29" s="13" t="s">
        <v>392</v>
      </c>
      <c r="E29" s="13" t="s">
        <v>264</v>
      </c>
      <c r="F29" s="13" t="s">
        <v>393</v>
      </c>
      <c r="G29" s="11" t="s">
        <v>252</v>
      </c>
      <c r="H29" s="11" t="s">
        <v>57</v>
      </c>
      <c r="I29" s="13" t="s">
        <v>12</v>
      </c>
      <c r="J29" s="13" t="s">
        <v>394</v>
      </c>
      <c r="K29" s="11" t="s">
        <v>49</v>
      </c>
      <c r="L29" s="13"/>
      <c r="M29" s="14" t="s">
        <v>254</v>
      </c>
    </row>
    <row r="30" customFormat="false" ht="23.85" hidden="false" customHeight="false" outlineLevel="0" collapsed="false">
      <c r="A30" s="7" t="s">
        <v>395</v>
      </c>
      <c r="B30" s="8" t="s">
        <v>391</v>
      </c>
      <c r="C30" s="7"/>
      <c r="D30" s="9" t="s">
        <v>396</v>
      </c>
      <c r="E30" s="9" t="s">
        <v>327</v>
      </c>
      <c r="F30" s="9" t="s">
        <v>397</v>
      </c>
      <c r="G30" s="7" t="s">
        <v>258</v>
      </c>
      <c r="H30" s="7" t="s">
        <v>57</v>
      </c>
      <c r="I30" s="9"/>
      <c r="J30" s="9" t="s">
        <v>398</v>
      </c>
      <c r="K30" s="7" t="s">
        <v>49</v>
      </c>
      <c r="L30" s="9"/>
      <c r="M30" s="10" t="s">
        <v>330</v>
      </c>
    </row>
    <row r="31" customFormat="false" ht="23.85" hidden="false" customHeight="false" outlineLevel="0" collapsed="false">
      <c r="A31" s="11" t="s">
        <v>399</v>
      </c>
      <c r="B31" s="12" t="s">
        <v>391</v>
      </c>
      <c r="C31" s="11"/>
      <c r="D31" s="13" t="s">
        <v>400</v>
      </c>
      <c r="E31" s="13" t="s">
        <v>327</v>
      </c>
      <c r="F31" s="13" t="s">
        <v>401</v>
      </c>
      <c r="G31" s="11" t="s">
        <v>252</v>
      </c>
      <c r="H31" s="11" t="s">
        <v>57</v>
      </c>
      <c r="I31" s="13"/>
      <c r="J31" s="13" t="s">
        <v>402</v>
      </c>
      <c r="K31" s="11" t="s">
        <v>49</v>
      </c>
      <c r="L31" s="13"/>
      <c r="M31" s="14" t="s">
        <v>330</v>
      </c>
    </row>
    <row r="32" customFormat="false" ht="23.85" hidden="false" customHeight="false" outlineLevel="0" collapsed="false">
      <c r="A32" s="7" t="s">
        <v>403</v>
      </c>
      <c r="B32" s="8" t="s">
        <v>391</v>
      </c>
      <c r="C32" s="7"/>
      <c r="D32" s="9" t="s">
        <v>404</v>
      </c>
      <c r="E32" s="9" t="s">
        <v>327</v>
      </c>
      <c r="F32" s="9" t="s">
        <v>405</v>
      </c>
      <c r="G32" s="7" t="s">
        <v>258</v>
      </c>
      <c r="H32" s="7" t="s">
        <v>57</v>
      </c>
      <c r="I32" s="9" t="s">
        <v>14</v>
      </c>
      <c r="J32" s="9" t="s">
        <v>406</v>
      </c>
      <c r="K32" s="7" t="s">
        <v>49</v>
      </c>
      <c r="L32" s="9"/>
      <c r="M32" s="10" t="s">
        <v>330</v>
      </c>
    </row>
    <row r="33" customFormat="false" ht="23.85" hidden="false" customHeight="false" outlineLevel="0" collapsed="false">
      <c r="A33" s="11" t="s">
        <v>407</v>
      </c>
      <c r="B33" s="12" t="s">
        <v>391</v>
      </c>
      <c r="C33" s="11"/>
      <c r="D33" s="13" t="s">
        <v>408</v>
      </c>
      <c r="E33" s="13" t="s">
        <v>327</v>
      </c>
      <c r="F33" s="13" t="s">
        <v>409</v>
      </c>
      <c r="G33" s="11" t="s">
        <v>339</v>
      </c>
      <c r="H33" s="11" t="s">
        <v>57</v>
      </c>
      <c r="I33" s="13" t="s">
        <v>14</v>
      </c>
      <c r="J33" s="13" t="s">
        <v>329</v>
      </c>
      <c r="K33" s="11" t="s">
        <v>49</v>
      </c>
      <c r="L33" s="13"/>
      <c r="M33" s="14" t="s">
        <v>330</v>
      </c>
    </row>
    <row r="34" customFormat="false" ht="23.85" hidden="false" customHeight="false" outlineLevel="0" collapsed="false">
      <c r="A34" s="7" t="s">
        <v>410</v>
      </c>
      <c r="B34" s="8" t="s">
        <v>411</v>
      </c>
      <c r="C34" s="7"/>
      <c r="D34" s="9" t="s">
        <v>412</v>
      </c>
      <c r="E34" s="9" t="s">
        <v>327</v>
      </c>
      <c r="F34" s="9" t="s">
        <v>413</v>
      </c>
      <c r="G34" s="7" t="s">
        <v>252</v>
      </c>
      <c r="H34" s="7" t="s">
        <v>57</v>
      </c>
      <c r="I34" s="9" t="s">
        <v>12</v>
      </c>
      <c r="J34" s="9" t="s">
        <v>414</v>
      </c>
      <c r="K34" s="7" t="s">
        <v>49</v>
      </c>
      <c r="L34" s="9"/>
      <c r="M34" s="10" t="s">
        <v>330</v>
      </c>
    </row>
    <row r="35" customFormat="false" ht="23.85" hidden="false" customHeight="false" outlineLevel="0" collapsed="false">
      <c r="A35" s="11" t="s">
        <v>415</v>
      </c>
      <c r="B35" s="12" t="s">
        <v>411</v>
      </c>
      <c r="C35" s="11"/>
      <c r="D35" s="13" t="s">
        <v>416</v>
      </c>
      <c r="E35" s="13" t="s">
        <v>270</v>
      </c>
      <c r="F35" s="13" t="s">
        <v>417</v>
      </c>
      <c r="G35" s="11" t="s">
        <v>252</v>
      </c>
      <c r="H35" s="11" t="s">
        <v>46</v>
      </c>
      <c r="I35" s="13"/>
      <c r="J35" s="13" t="s">
        <v>418</v>
      </c>
      <c r="K35" s="11" t="s">
        <v>49</v>
      </c>
      <c r="L35" s="13"/>
      <c r="M35" s="14" t="s">
        <v>273</v>
      </c>
    </row>
    <row r="36" customFormat="false" ht="23.85" hidden="false" customHeight="false" outlineLevel="0" collapsed="false">
      <c r="A36" s="7" t="s">
        <v>419</v>
      </c>
      <c r="B36" s="8" t="s">
        <v>411</v>
      </c>
      <c r="C36" s="7"/>
      <c r="D36" s="9" t="s">
        <v>420</v>
      </c>
      <c r="E36" s="9" t="s">
        <v>327</v>
      </c>
      <c r="F36" s="9" t="s">
        <v>421</v>
      </c>
      <c r="G36" s="7" t="s">
        <v>258</v>
      </c>
      <c r="H36" s="7" t="s">
        <v>57</v>
      </c>
      <c r="I36" s="9" t="s">
        <v>14</v>
      </c>
      <c r="J36" s="9" t="s">
        <v>422</v>
      </c>
      <c r="K36" s="7" t="s">
        <v>49</v>
      </c>
      <c r="L36" s="9"/>
      <c r="M36" s="10" t="s">
        <v>330</v>
      </c>
    </row>
    <row r="37" customFormat="false" ht="35.05" hidden="false" customHeight="false" outlineLevel="0" collapsed="false">
      <c r="A37" s="11" t="s">
        <v>423</v>
      </c>
      <c r="B37" s="12" t="s">
        <v>424</v>
      </c>
      <c r="C37" s="11"/>
      <c r="D37" s="13" t="s">
        <v>425</v>
      </c>
      <c r="E37" s="13" t="s">
        <v>426</v>
      </c>
      <c r="F37" s="13" t="s">
        <v>427</v>
      </c>
      <c r="G37" s="11" t="s">
        <v>252</v>
      </c>
      <c r="H37" s="11" t="s">
        <v>46</v>
      </c>
      <c r="I37" s="13" t="s">
        <v>12</v>
      </c>
      <c r="J37" s="13" t="s">
        <v>428</v>
      </c>
      <c r="K37" s="11" t="s">
        <v>49</v>
      </c>
      <c r="L37" s="13" t="s">
        <v>429</v>
      </c>
      <c r="M37" s="14" t="s">
        <v>76</v>
      </c>
    </row>
    <row r="38" customFormat="false" ht="23.85" hidden="false" customHeight="false" outlineLevel="0" collapsed="false">
      <c r="A38" s="7" t="s">
        <v>430</v>
      </c>
      <c r="B38" s="8" t="s">
        <v>424</v>
      </c>
      <c r="C38" s="7"/>
      <c r="D38" s="9" t="s">
        <v>431</v>
      </c>
      <c r="E38" s="9" t="s">
        <v>337</v>
      </c>
      <c r="F38" s="9" t="s">
        <v>432</v>
      </c>
      <c r="G38" s="7" t="s">
        <v>252</v>
      </c>
      <c r="H38" s="7" t="s">
        <v>57</v>
      </c>
      <c r="I38" s="9" t="s">
        <v>14</v>
      </c>
      <c r="J38" s="9" t="s">
        <v>433</v>
      </c>
      <c r="K38" s="7" t="s">
        <v>49</v>
      </c>
      <c r="L38" s="9"/>
      <c r="M38" s="10" t="s">
        <v>341</v>
      </c>
    </row>
    <row r="39" customFormat="false" ht="23.85" hidden="false" customHeight="false" outlineLevel="0" collapsed="false">
      <c r="A39" s="11" t="s">
        <v>434</v>
      </c>
      <c r="B39" s="12" t="s">
        <v>70</v>
      </c>
      <c r="C39" s="11"/>
      <c r="D39" s="13" t="s">
        <v>435</v>
      </c>
      <c r="E39" s="13" t="s">
        <v>145</v>
      </c>
      <c r="F39" s="13" t="s">
        <v>436</v>
      </c>
      <c r="G39" s="11" t="s">
        <v>252</v>
      </c>
      <c r="H39" s="11" t="s">
        <v>46</v>
      </c>
      <c r="I39" s="13" t="s">
        <v>437</v>
      </c>
      <c r="J39" s="13" t="s">
        <v>438</v>
      </c>
      <c r="K39" s="11" t="s">
        <v>49</v>
      </c>
      <c r="L39" s="13"/>
      <c r="M39" s="14" t="s">
        <v>439</v>
      </c>
    </row>
    <row r="40" customFormat="false" ht="35.05" hidden="false" customHeight="false" outlineLevel="0" collapsed="false">
      <c r="A40" s="7" t="s">
        <v>440</v>
      </c>
      <c r="B40" s="8" t="s">
        <v>70</v>
      </c>
      <c r="C40" s="7"/>
      <c r="D40" s="9" t="s">
        <v>441</v>
      </c>
      <c r="E40" s="9" t="s">
        <v>327</v>
      </c>
      <c r="F40" s="9" t="s">
        <v>442</v>
      </c>
      <c r="G40" s="7" t="s">
        <v>252</v>
      </c>
      <c r="H40" s="7" t="s">
        <v>46</v>
      </c>
      <c r="I40" s="9" t="s">
        <v>14</v>
      </c>
      <c r="J40" s="9" t="s">
        <v>406</v>
      </c>
      <c r="K40" s="7" t="s">
        <v>49</v>
      </c>
      <c r="L40" s="9"/>
      <c r="M40" s="10" t="s">
        <v>330</v>
      </c>
    </row>
    <row r="41" customFormat="false" ht="23.85" hidden="false" customHeight="false" outlineLevel="0" collapsed="false">
      <c r="A41" s="11" t="s">
        <v>443</v>
      </c>
      <c r="B41" s="12" t="s">
        <v>444</v>
      </c>
      <c r="C41" s="11"/>
      <c r="D41" s="13" t="s">
        <v>445</v>
      </c>
      <c r="E41" s="13" t="s">
        <v>337</v>
      </c>
      <c r="F41" s="13" t="s">
        <v>446</v>
      </c>
      <c r="G41" s="11" t="s">
        <v>252</v>
      </c>
      <c r="H41" s="11" t="s">
        <v>46</v>
      </c>
      <c r="I41" s="13" t="s">
        <v>14</v>
      </c>
      <c r="J41" s="13" t="s">
        <v>447</v>
      </c>
      <c r="K41" s="11" t="s">
        <v>49</v>
      </c>
      <c r="L41" s="13"/>
      <c r="M41" s="14" t="s">
        <v>341</v>
      </c>
    </row>
    <row r="42" customFormat="false" ht="23.85" hidden="false" customHeight="false" outlineLevel="0" collapsed="false">
      <c r="A42" s="7" t="s">
        <v>448</v>
      </c>
      <c r="B42" s="8" t="s">
        <v>449</v>
      </c>
      <c r="C42" s="7"/>
      <c r="D42" s="9" t="s">
        <v>450</v>
      </c>
      <c r="E42" s="9" t="s">
        <v>426</v>
      </c>
      <c r="F42" s="9" t="s">
        <v>451</v>
      </c>
      <c r="G42" s="7" t="s">
        <v>252</v>
      </c>
      <c r="H42" s="7" t="s">
        <v>57</v>
      </c>
      <c r="I42" s="9"/>
      <c r="J42" s="9" t="s">
        <v>452</v>
      </c>
      <c r="K42" s="7" t="s">
        <v>49</v>
      </c>
      <c r="L42" s="9"/>
      <c r="M42" s="10" t="s">
        <v>76</v>
      </c>
    </row>
    <row r="43" customFormat="false" ht="15" hidden="false" customHeight="false" outlineLevel="0" collapsed="false">
      <c r="A43" s="11" t="s">
        <v>453</v>
      </c>
      <c r="B43" s="12" t="s">
        <v>449</v>
      </c>
      <c r="C43" s="11"/>
      <c r="D43" s="13" t="s">
        <v>454</v>
      </c>
      <c r="E43" s="13" t="s">
        <v>426</v>
      </c>
      <c r="F43" s="13" t="s">
        <v>455</v>
      </c>
      <c r="G43" s="11" t="s">
        <v>252</v>
      </c>
      <c r="H43" s="11" t="s">
        <v>57</v>
      </c>
      <c r="I43" s="13"/>
      <c r="J43" s="13" t="s">
        <v>456</v>
      </c>
      <c r="K43" s="11" t="s">
        <v>49</v>
      </c>
      <c r="L43" s="13"/>
      <c r="M43" s="14" t="s">
        <v>76</v>
      </c>
    </row>
    <row r="44" customFormat="false" ht="15" hidden="false" customHeight="false" outlineLevel="0" collapsed="false">
      <c r="A44" s="7" t="s">
        <v>457</v>
      </c>
      <c r="B44" s="8" t="s">
        <v>84</v>
      </c>
      <c r="C44" s="7"/>
      <c r="D44" s="9" t="s">
        <v>458</v>
      </c>
      <c r="E44" s="9" t="s">
        <v>426</v>
      </c>
      <c r="F44" s="9" t="s">
        <v>459</v>
      </c>
      <c r="G44" s="7" t="s">
        <v>252</v>
      </c>
      <c r="H44" s="7" t="s">
        <v>46</v>
      </c>
      <c r="I44" s="9"/>
      <c r="J44" s="9" t="s">
        <v>460</v>
      </c>
      <c r="K44" s="7" t="s">
        <v>49</v>
      </c>
      <c r="L44" s="9"/>
      <c r="M44" s="10" t="s">
        <v>76</v>
      </c>
    </row>
    <row r="45" customFormat="false" ht="23.85" hidden="false" customHeight="false" outlineLevel="0" collapsed="false">
      <c r="A45" s="11" t="s">
        <v>461</v>
      </c>
      <c r="B45" s="12" t="s">
        <v>84</v>
      </c>
      <c r="C45" s="11"/>
      <c r="D45" s="13" t="s">
        <v>462</v>
      </c>
      <c r="E45" s="13" t="s">
        <v>337</v>
      </c>
      <c r="F45" s="13" t="s">
        <v>463</v>
      </c>
      <c r="G45" s="11" t="s">
        <v>339</v>
      </c>
      <c r="H45" s="11" t="s">
        <v>57</v>
      </c>
      <c r="I45" s="13" t="s">
        <v>14</v>
      </c>
      <c r="J45" s="13" t="s">
        <v>464</v>
      </c>
      <c r="K45" s="11" t="s">
        <v>49</v>
      </c>
      <c r="L45" s="13"/>
      <c r="M45" s="14" t="s">
        <v>341</v>
      </c>
    </row>
    <row r="46" customFormat="false" ht="23.85" hidden="false" customHeight="false" outlineLevel="0" collapsed="false">
      <c r="A46" s="7" t="s">
        <v>465</v>
      </c>
      <c r="B46" s="8" t="s">
        <v>84</v>
      </c>
      <c r="C46" s="7"/>
      <c r="D46" s="9" t="s">
        <v>466</v>
      </c>
      <c r="E46" s="9" t="s">
        <v>467</v>
      </c>
      <c r="F46" s="9" t="s">
        <v>468</v>
      </c>
      <c r="G46" s="7" t="s">
        <v>258</v>
      </c>
      <c r="H46" s="7" t="s">
        <v>469</v>
      </c>
      <c r="I46" s="9" t="s">
        <v>58</v>
      </c>
      <c r="J46" s="9" t="s">
        <v>470</v>
      </c>
      <c r="K46" s="7" t="s">
        <v>49</v>
      </c>
      <c r="L46" s="9" t="s">
        <v>471</v>
      </c>
      <c r="M46" s="10" t="s">
        <v>224</v>
      </c>
    </row>
    <row r="47" customFormat="false" ht="23.85" hidden="false" customHeight="false" outlineLevel="0" collapsed="false">
      <c r="A47" s="11" t="s">
        <v>472</v>
      </c>
      <c r="B47" s="12" t="s">
        <v>92</v>
      </c>
      <c r="C47" s="11"/>
      <c r="D47" s="13" t="s">
        <v>473</v>
      </c>
      <c r="E47" s="13" t="s">
        <v>44</v>
      </c>
      <c r="F47" s="13" t="s">
        <v>474</v>
      </c>
      <c r="G47" s="11" t="s">
        <v>339</v>
      </c>
      <c r="H47" s="11" t="s">
        <v>46</v>
      </c>
      <c r="I47" s="13"/>
      <c r="J47" s="13" t="s">
        <v>475</v>
      </c>
      <c r="K47" s="11" t="s">
        <v>49</v>
      </c>
      <c r="L47" s="13"/>
      <c r="M47" s="14" t="s">
        <v>97</v>
      </c>
    </row>
    <row r="48" customFormat="false" ht="23.85" hidden="false" customHeight="false" outlineLevel="0" collapsed="false">
      <c r="A48" s="7" t="s">
        <v>476</v>
      </c>
      <c r="B48" s="8" t="s">
        <v>104</v>
      </c>
      <c r="C48" s="7"/>
      <c r="D48" s="9" t="s">
        <v>477</v>
      </c>
      <c r="E48" s="9" t="s">
        <v>44</v>
      </c>
      <c r="F48" s="9" t="s">
        <v>478</v>
      </c>
      <c r="G48" s="7" t="s">
        <v>339</v>
      </c>
      <c r="H48" s="7" t="s">
        <v>46</v>
      </c>
      <c r="I48" s="9"/>
      <c r="J48" s="9" t="s">
        <v>402</v>
      </c>
      <c r="K48" s="7" t="s">
        <v>49</v>
      </c>
      <c r="L48" s="9"/>
      <c r="M48" s="10" t="s">
        <v>97</v>
      </c>
    </row>
    <row r="49" customFormat="false" ht="23.85" hidden="false" customHeight="false" outlineLevel="0" collapsed="false">
      <c r="A49" s="11" t="s">
        <v>479</v>
      </c>
      <c r="B49" s="12" t="s">
        <v>115</v>
      </c>
      <c r="C49" s="11"/>
      <c r="D49" s="13" t="s">
        <v>480</v>
      </c>
      <c r="E49" s="13" t="s">
        <v>44</v>
      </c>
      <c r="F49" s="13" t="s">
        <v>481</v>
      </c>
      <c r="G49" s="11" t="s">
        <v>258</v>
      </c>
      <c r="H49" s="11" t="s">
        <v>46</v>
      </c>
      <c r="I49" s="13" t="s">
        <v>12</v>
      </c>
      <c r="J49" s="13" t="s">
        <v>482</v>
      </c>
      <c r="K49" s="11" t="s">
        <v>49</v>
      </c>
      <c r="L49" s="13" t="s">
        <v>483</v>
      </c>
      <c r="M49" s="14" t="s">
        <v>224</v>
      </c>
    </row>
    <row r="50" customFormat="false" ht="15" hidden="false" customHeight="false" outlineLevel="0" collapsed="false">
      <c r="A50" s="7" t="s">
        <v>484</v>
      </c>
      <c r="B50" s="8" t="s">
        <v>130</v>
      </c>
      <c r="C50" s="7"/>
      <c r="D50" s="9" t="s">
        <v>485</v>
      </c>
      <c r="E50" s="9" t="s">
        <v>44</v>
      </c>
      <c r="F50" s="9" t="s">
        <v>486</v>
      </c>
      <c r="G50" s="7" t="s">
        <v>339</v>
      </c>
      <c r="H50" s="7" t="s">
        <v>46</v>
      </c>
      <c r="I50" s="9"/>
      <c r="J50" s="9" t="s">
        <v>487</v>
      </c>
      <c r="K50" s="7" t="s">
        <v>49</v>
      </c>
      <c r="L50" s="9"/>
      <c r="M50" s="10" t="s">
        <v>97</v>
      </c>
    </row>
    <row r="51" customFormat="false" ht="15" hidden="false" customHeight="false" outlineLevel="0" collapsed="false">
      <c r="A51" s="11" t="s">
        <v>488</v>
      </c>
      <c r="B51" s="12" t="s">
        <v>130</v>
      </c>
      <c r="C51" s="11"/>
      <c r="D51" s="13" t="s">
        <v>489</v>
      </c>
      <c r="E51" s="13" t="s">
        <v>44</v>
      </c>
      <c r="F51" s="13" t="s">
        <v>138</v>
      </c>
      <c r="G51" s="11" t="s">
        <v>339</v>
      </c>
      <c r="H51" s="11" t="s">
        <v>46</v>
      </c>
      <c r="I51" s="13" t="s">
        <v>14</v>
      </c>
      <c r="J51" s="13" t="s">
        <v>490</v>
      </c>
      <c r="K51" s="11" t="s">
        <v>49</v>
      </c>
      <c r="L51" s="13"/>
      <c r="M51" s="14" t="s">
        <v>97</v>
      </c>
    </row>
    <row r="52" customFormat="false" ht="23.85" hidden="false" customHeight="false" outlineLevel="0" collapsed="false">
      <c r="A52" s="7" t="s">
        <v>491</v>
      </c>
      <c r="B52" s="8" t="s">
        <v>143</v>
      </c>
      <c r="C52" s="7"/>
      <c r="D52" s="9" t="s">
        <v>492</v>
      </c>
      <c r="E52" s="9" t="s">
        <v>44</v>
      </c>
      <c r="F52" s="9" t="s">
        <v>493</v>
      </c>
      <c r="G52" s="7" t="s">
        <v>339</v>
      </c>
      <c r="H52" s="7" t="s">
        <v>46</v>
      </c>
      <c r="I52" s="9" t="s">
        <v>12</v>
      </c>
      <c r="J52" s="9" t="s">
        <v>494</v>
      </c>
      <c r="K52" s="7" t="s">
        <v>49</v>
      </c>
      <c r="L52" s="9"/>
      <c r="M52" s="10" t="s">
        <v>97</v>
      </c>
    </row>
    <row r="53" customFormat="false" ht="23.85" hidden="false" customHeight="false" outlineLevel="0" collapsed="false">
      <c r="A53" s="11" t="s">
        <v>495</v>
      </c>
      <c r="B53" s="12" t="s">
        <v>143</v>
      </c>
      <c r="C53" s="11"/>
      <c r="D53" s="13" t="s">
        <v>496</v>
      </c>
      <c r="E53" s="13" t="s">
        <v>44</v>
      </c>
      <c r="F53" s="13" t="s">
        <v>497</v>
      </c>
      <c r="G53" s="11" t="s">
        <v>339</v>
      </c>
      <c r="H53" s="11" t="s">
        <v>46</v>
      </c>
      <c r="I53" s="13" t="s">
        <v>12</v>
      </c>
      <c r="J53" s="13" t="s">
        <v>498</v>
      </c>
      <c r="K53" s="11" t="s">
        <v>49</v>
      </c>
      <c r="L53" s="13"/>
      <c r="M53" s="14" t="s">
        <v>97</v>
      </c>
    </row>
    <row r="54" customFormat="false" ht="23.85" hidden="false" customHeight="false" outlineLevel="0" collapsed="false">
      <c r="A54" s="7" t="s">
        <v>499</v>
      </c>
      <c r="B54" s="8" t="s">
        <v>157</v>
      </c>
      <c r="C54" s="7"/>
      <c r="D54" s="9" t="s">
        <v>500</v>
      </c>
      <c r="E54" s="9" t="s">
        <v>44</v>
      </c>
      <c r="F54" s="9" t="s">
        <v>501</v>
      </c>
      <c r="G54" s="7" t="s">
        <v>258</v>
      </c>
      <c r="H54" s="7" t="s">
        <v>46</v>
      </c>
      <c r="I54" s="9" t="s">
        <v>12</v>
      </c>
      <c r="J54" s="9" t="s">
        <v>502</v>
      </c>
      <c r="K54" s="7" t="s">
        <v>49</v>
      </c>
      <c r="L54" s="9"/>
      <c r="M54" s="10" t="s">
        <v>97</v>
      </c>
    </row>
    <row r="55" customFormat="false" ht="23.85" hidden="false" customHeight="false" outlineLevel="0" collapsed="false">
      <c r="A55" s="11" t="s">
        <v>503</v>
      </c>
      <c r="B55" s="12" t="s">
        <v>157</v>
      </c>
      <c r="C55" s="11"/>
      <c r="D55" s="13" t="s">
        <v>504</v>
      </c>
      <c r="E55" s="13" t="s">
        <v>44</v>
      </c>
      <c r="F55" s="13" t="s">
        <v>505</v>
      </c>
      <c r="G55" s="11" t="s">
        <v>339</v>
      </c>
      <c r="H55" s="11" t="s">
        <v>46</v>
      </c>
      <c r="I55" s="13" t="s">
        <v>12</v>
      </c>
      <c r="J55" s="13" t="s">
        <v>506</v>
      </c>
      <c r="K55" s="11" t="s">
        <v>49</v>
      </c>
      <c r="L55" s="13"/>
      <c r="M55" s="14" t="s">
        <v>97</v>
      </c>
    </row>
    <row r="56" customFormat="false" ht="23.85" hidden="false" customHeight="false" outlineLevel="0" collapsed="false">
      <c r="A56" s="7" t="s">
        <v>507</v>
      </c>
      <c r="B56" s="8" t="s">
        <v>508</v>
      </c>
      <c r="C56" s="7"/>
      <c r="D56" s="9" t="s">
        <v>509</v>
      </c>
      <c r="E56" s="9" t="s">
        <v>467</v>
      </c>
      <c r="F56" s="9" t="s">
        <v>510</v>
      </c>
      <c r="G56" s="7" t="s">
        <v>339</v>
      </c>
      <c r="H56" s="7" t="s">
        <v>469</v>
      </c>
      <c r="I56" s="9" t="s">
        <v>58</v>
      </c>
      <c r="J56" s="9" t="s">
        <v>511</v>
      </c>
      <c r="K56" s="7" t="s">
        <v>49</v>
      </c>
      <c r="L56" s="9" t="s">
        <v>512</v>
      </c>
      <c r="M56" s="10" t="s">
        <v>224</v>
      </c>
    </row>
    <row r="57" customFormat="false" ht="23.85" hidden="false" customHeight="false" outlineLevel="0" collapsed="false">
      <c r="A57" s="11" t="s">
        <v>513</v>
      </c>
      <c r="B57" s="12" t="s">
        <v>514</v>
      </c>
      <c r="C57" s="11"/>
      <c r="D57" s="13" t="s">
        <v>515</v>
      </c>
      <c r="E57" s="13" t="s">
        <v>44</v>
      </c>
      <c r="F57" s="13" t="s">
        <v>516</v>
      </c>
      <c r="G57" s="11" t="s">
        <v>258</v>
      </c>
      <c r="H57" s="11" t="s">
        <v>46</v>
      </c>
      <c r="I57" s="13" t="s">
        <v>12</v>
      </c>
      <c r="J57" s="13" t="s">
        <v>517</v>
      </c>
      <c r="K57" s="11" t="s">
        <v>49</v>
      </c>
      <c r="L57" s="13"/>
      <c r="M57" s="14" t="s">
        <v>97</v>
      </c>
    </row>
    <row r="58" customFormat="false" ht="35.05" hidden="false" customHeight="false" outlineLevel="0" collapsed="false">
      <c r="A58" s="7" t="s">
        <v>518</v>
      </c>
      <c r="B58" s="8" t="s">
        <v>519</v>
      </c>
      <c r="C58" s="7"/>
      <c r="D58" s="9" t="s">
        <v>520</v>
      </c>
      <c r="E58" s="9" t="s">
        <v>44</v>
      </c>
      <c r="F58" s="9" t="s">
        <v>521</v>
      </c>
      <c r="G58" s="7" t="s">
        <v>258</v>
      </c>
      <c r="H58" s="7" t="s">
        <v>46</v>
      </c>
      <c r="I58" s="9" t="s">
        <v>12</v>
      </c>
      <c r="J58" s="9" t="s">
        <v>522</v>
      </c>
      <c r="K58" s="7" t="s">
        <v>188</v>
      </c>
      <c r="L58" s="9" t="s">
        <v>523</v>
      </c>
      <c r="M58" s="10" t="s">
        <v>524</v>
      </c>
    </row>
    <row r="59" customFormat="false" ht="15" hidden="false" customHeight="false" outlineLevel="0" collapsed="false">
      <c r="A59" s="11" t="s">
        <v>525</v>
      </c>
      <c r="B59" s="12" t="s">
        <v>183</v>
      </c>
      <c r="C59" s="11"/>
      <c r="D59" s="13" t="s">
        <v>526</v>
      </c>
      <c r="E59" s="13" t="s">
        <v>44</v>
      </c>
      <c r="F59" s="13" t="s">
        <v>527</v>
      </c>
      <c r="G59" s="11" t="s">
        <v>339</v>
      </c>
      <c r="H59" s="11" t="s">
        <v>46</v>
      </c>
      <c r="I59" s="13" t="s">
        <v>12</v>
      </c>
      <c r="J59" s="13" t="s">
        <v>528</v>
      </c>
      <c r="K59" s="11" t="s">
        <v>188</v>
      </c>
      <c r="L59" s="13" t="s">
        <v>529</v>
      </c>
      <c r="M59" s="14" t="s">
        <v>530</v>
      </c>
    </row>
    <row r="60" customFormat="false" ht="23.85" hidden="false" customHeight="false" outlineLevel="0" collapsed="false">
      <c r="A60" s="7" t="s">
        <v>531</v>
      </c>
      <c r="B60" s="8" t="s">
        <v>532</v>
      </c>
      <c r="C60" s="7"/>
      <c r="D60" s="9" t="s">
        <v>533</v>
      </c>
      <c r="E60" s="9" t="s">
        <v>65</v>
      </c>
      <c r="F60" s="9" t="s">
        <v>534</v>
      </c>
      <c r="G60" s="7" t="s">
        <v>258</v>
      </c>
      <c r="H60" s="7" t="s">
        <v>46</v>
      </c>
      <c r="I60" s="9" t="s">
        <v>12</v>
      </c>
      <c r="J60" s="9" t="s">
        <v>535</v>
      </c>
      <c r="K60" s="7" t="s">
        <v>188</v>
      </c>
      <c r="L60" s="9" t="s">
        <v>211</v>
      </c>
      <c r="M60" s="10" t="s">
        <v>224</v>
      </c>
    </row>
    <row r="61" customFormat="false" ht="15" hidden="false" customHeight="false" outlineLevel="0" collapsed="false">
      <c r="A61" s="11" t="s">
        <v>536</v>
      </c>
      <c r="B61" s="12" t="s">
        <v>537</v>
      </c>
      <c r="C61" s="11"/>
      <c r="D61" s="13" t="s">
        <v>538</v>
      </c>
      <c r="E61" s="13" t="s">
        <v>44</v>
      </c>
      <c r="F61" s="13" t="s">
        <v>539</v>
      </c>
      <c r="G61" s="11" t="s">
        <v>339</v>
      </c>
      <c r="H61" s="11" t="s">
        <v>46</v>
      </c>
      <c r="I61" s="13" t="s">
        <v>12</v>
      </c>
      <c r="J61" s="13" t="s">
        <v>540</v>
      </c>
      <c r="K61" s="11" t="s">
        <v>188</v>
      </c>
      <c r="L61" s="13" t="s">
        <v>211</v>
      </c>
      <c r="M61" s="14" t="s">
        <v>97</v>
      </c>
    </row>
    <row r="62" customFormat="false" ht="23.85" hidden="false" customHeight="false" outlineLevel="0" collapsed="false">
      <c r="A62" s="7" t="s">
        <v>541</v>
      </c>
      <c r="B62" s="8" t="s">
        <v>542</v>
      </c>
      <c r="C62" s="7"/>
      <c r="D62" s="9" t="s">
        <v>543</v>
      </c>
      <c r="E62" s="9" t="s">
        <v>544</v>
      </c>
      <c r="F62" s="9" t="s">
        <v>545</v>
      </c>
      <c r="G62" s="7" t="s">
        <v>258</v>
      </c>
      <c r="H62" s="7" t="s">
        <v>46</v>
      </c>
      <c r="I62" s="9" t="s">
        <v>12</v>
      </c>
      <c r="J62" s="9" t="s">
        <v>546</v>
      </c>
      <c r="K62" s="7" t="s">
        <v>188</v>
      </c>
      <c r="L62" s="9" t="s">
        <v>211</v>
      </c>
      <c r="M62" s="10" t="s">
        <v>224</v>
      </c>
    </row>
    <row r="63" customFormat="false" ht="15" hidden="false" customHeight="false" outlineLevel="0" collapsed="false">
      <c r="A63" s="11" t="s">
        <v>547</v>
      </c>
      <c r="B63" s="12" t="s">
        <v>542</v>
      </c>
      <c r="C63" s="11"/>
      <c r="D63" s="13" t="s">
        <v>548</v>
      </c>
      <c r="E63" s="13" t="s">
        <v>44</v>
      </c>
      <c r="F63" s="13" t="s">
        <v>549</v>
      </c>
      <c r="G63" s="11" t="s">
        <v>258</v>
      </c>
      <c r="H63" s="11" t="s">
        <v>46</v>
      </c>
      <c r="I63" s="13" t="s">
        <v>12</v>
      </c>
      <c r="J63" s="13" t="s">
        <v>550</v>
      </c>
      <c r="K63" s="11" t="s">
        <v>188</v>
      </c>
      <c r="L63" s="13" t="s">
        <v>211</v>
      </c>
      <c r="M63" s="14" t="s">
        <v>97</v>
      </c>
    </row>
    <row r="64" customFormat="false" ht="23.85" hidden="false" customHeight="false" outlineLevel="0" collapsed="false">
      <c r="A64" s="7" t="s">
        <v>551</v>
      </c>
      <c r="B64" s="8" t="s">
        <v>552</v>
      </c>
      <c r="C64" s="7"/>
      <c r="D64" s="9" t="s">
        <v>553</v>
      </c>
      <c r="E64" s="9" t="s">
        <v>65</v>
      </c>
      <c r="F64" s="9" t="s">
        <v>554</v>
      </c>
      <c r="G64" s="7" t="s">
        <v>258</v>
      </c>
      <c r="H64" s="7" t="s">
        <v>46</v>
      </c>
      <c r="I64" s="9" t="s">
        <v>12</v>
      </c>
      <c r="J64" s="9" t="s">
        <v>555</v>
      </c>
      <c r="K64" s="7" t="s">
        <v>188</v>
      </c>
      <c r="L64" s="9" t="s">
        <v>211</v>
      </c>
      <c r="M64" s="10" t="s">
        <v>556</v>
      </c>
    </row>
    <row r="65" customFormat="false" ht="23.85" hidden="false" customHeight="false" outlineLevel="0" collapsed="false">
      <c r="A65" s="11" t="s">
        <v>557</v>
      </c>
      <c r="B65" s="12"/>
      <c r="C65" s="11"/>
      <c r="D65" s="13" t="s">
        <v>558</v>
      </c>
      <c r="E65" s="13"/>
      <c r="F65" s="13" t="s">
        <v>559</v>
      </c>
      <c r="G65" s="11" t="s">
        <v>258</v>
      </c>
      <c r="H65" s="11" t="s">
        <v>46</v>
      </c>
      <c r="I65" s="13" t="s">
        <v>560</v>
      </c>
      <c r="J65" s="13" t="s">
        <v>561</v>
      </c>
      <c r="K65" s="11" t="s">
        <v>229</v>
      </c>
      <c r="L65" s="13" t="s">
        <v>562</v>
      </c>
      <c r="M65" s="14" t="s">
        <v>563</v>
      </c>
    </row>
    <row r="66" customFormat="false" ht="23.85" hidden="false" customHeight="false" outlineLevel="0" collapsed="false">
      <c r="A66" s="7" t="s">
        <v>564</v>
      </c>
      <c r="B66" s="8"/>
      <c r="C66" s="7"/>
      <c r="D66" s="9" t="s">
        <v>565</v>
      </c>
      <c r="E66" s="9"/>
      <c r="F66" s="9" t="s">
        <v>566</v>
      </c>
      <c r="G66" s="7" t="s">
        <v>567</v>
      </c>
      <c r="H66" s="7" t="s">
        <v>46</v>
      </c>
      <c r="I66" s="9" t="s">
        <v>58</v>
      </c>
      <c r="J66" s="9" t="s">
        <v>511</v>
      </c>
      <c r="K66" s="7" t="s">
        <v>229</v>
      </c>
      <c r="L66" s="9"/>
      <c r="M66" s="10" t="s">
        <v>568</v>
      </c>
    </row>
    <row r="67" customFormat="false" ht="23.85" hidden="false" customHeight="false" outlineLevel="0" collapsed="false">
      <c r="A67" s="11" t="s">
        <v>569</v>
      </c>
      <c r="B67" s="12"/>
      <c r="C67" s="11"/>
      <c r="D67" s="13" t="s">
        <v>570</v>
      </c>
      <c r="E67" s="13"/>
      <c r="F67" s="13" t="s">
        <v>571</v>
      </c>
      <c r="G67" s="11" t="s">
        <v>567</v>
      </c>
      <c r="H67" s="11" t="s">
        <v>46</v>
      </c>
      <c r="I67" s="13" t="s">
        <v>14</v>
      </c>
      <c r="J67" s="13" t="s">
        <v>572</v>
      </c>
      <c r="K67" s="11" t="s">
        <v>229</v>
      </c>
      <c r="L67" s="13"/>
      <c r="M67" s="14" t="s">
        <v>573</v>
      </c>
    </row>
    <row r="68" customFormat="false" ht="23.85" hidden="false" customHeight="false" outlineLevel="0" collapsed="false">
      <c r="A68" s="7" t="s">
        <v>574</v>
      </c>
      <c r="B68" s="8"/>
      <c r="C68" s="7"/>
      <c r="D68" s="9" t="s">
        <v>575</v>
      </c>
      <c r="E68" s="9"/>
      <c r="F68" s="9" t="s">
        <v>576</v>
      </c>
      <c r="G68" s="7" t="s">
        <v>258</v>
      </c>
      <c r="H68" s="7" t="s">
        <v>57</v>
      </c>
      <c r="I68" s="9" t="s">
        <v>15</v>
      </c>
      <c r="J68" s="9" t="s">
        <v>369</v>
      </c>
      <c r="K68" s="7" t="s">
        <v>229</v>
      </c>
      <c r="L68" s="9" t="s">
        <v>577</v>
      </c>
      <c r="M68" s="10" t="s">
        <v>578</v>
      </c>
    </row>
    <row r="69" customFormat="false" ht="15" hidden="false" customHeight="false" outlineLevel="0" collapsed="false">
      <c r="A69" s="11" t="s">
        <v>579</v>
      </c>
      <c r="B69" s="12"/>
      <c r="C69" s="11"/>
      <c r="D69" s="13" t="s">
        <v>580</v>
      </c>
      <c r="E69" s="13" t="s">
        <v>145</v>
      </c>
      <c r="F69" s="13" t="s">
        <v>581</v>
      </c>
      <c r="G69" s="11" t="s">
        <v>567</v>
      </c>
      <c r="H69" s="11" t="s">
        <v>46</v>
      </c>
      <c r="I69" s="13" t="s">
        <v>14</v>
      </c>
      <c r="J69" s="13" t="s">
        <v>572</v>
      </c>
      <c r="K69" s="11" t="s">
        <v>229</v>
      </c>
      <c r="L69" s="13" t="s">
        <v>236</v>
      </c>
      <c r="M69" s="14" t="s">
        <v>582</v>
      </c>
    </row>
    <row r="70" customFormat="false" ht="23.85" hidden="false" customHeight="false" outlineLevel="0" collapsed="false">
      <c r="A70" s="7" t="s">
        <v>583</v>
      </c>
      <c r="B70" s="8"/>
      <c r="C70" s="7"/>
      <c r="D70" s="9" t="s">
        <v>584</v>
      </c>
      <c r="E70" s="9"/>
      <c r="F70" s="9" t="s">
        <v>566</v>
      </c>
      <c r="G70" s="7" t="s">
        <v>567</v>
      </c>
      <c r="H70" s="7" t="s">
        <v>46</v>
      </c>
      <c r="I70" s="9"/>
      <c r="J70" s="9" t="s">
        <v>585</v>
      </c>
      <c r="K70" s="7" t="s">
        <v>229</v>
      </c>
      <c r="L70" s="9"/>
      <c r="M70" s="10" t="s">
        <v>586</v>
      </c>
    </row>
    <row r="71" customFormat="false" ht="23.85" hidden="false" customHeight="false" outlineLevel="0" collapsed="false">
      <c r="A71" s="11" t="s">
        <v>587</v>
      </c>
      <c r="B71" s="12"/>
      <c r="C71" s="11"/>
      <c r="D71" s="13" t="s">
        <v>588</v>
      </c>
      <c r="E71" s="13" t="s">
        <v>589</v>
      </c>
      <c r="F71" s="13" t="s">
        <v>590</v>
      </c>
      <c r="G71" s="11" t="s">
        <v>258</v>
      </c>
      <c r="H71" s="11" t="s">
        <v>46</v>
      </c>
      <c r="I71" s="13" t="s">
        <v>14</v>
      </c>
      <c r="J71" s="13" t="s">
        <v>591</v>
      </c>
      <c r="K71" s="11" t="s">
        <v>229</v>
      </c>
      <c r="L71" s="13" t="s">
        <v>236</v>
      </c>
      <c r="M71" s="14" t="s">
        <v>592</v>
      </c>
    </row>
    <row r="72" customFormat="false" ht="23.85" hidden="false" customHeight="false" outlineLevel="0" collapsed="false">
      <c r="A72" s="7" t="s">
        <v>593</v>
      </c>
      <c r="B72" s="8"/>
      <c r="C72" s="7"/>
      <c r="D72" s="9" t="s">
        <v>594</v>
      </c>
      <c r="E72" s="9"/>
      <c r="F72" s="9" t="s">
        <v>581</v>
      </c>
      <c r="G72" s="7" t="s">
        <v>567</v>
      </c>
      <c r="H72" s="7" t="s">
        <v>46</v>
      </c>
      <c r="I72" s="9" t="s">
        <v>12</v>
      </c>
      <c r="J72" s="9" t="s">
        <v>595</v>
      </c>
      <c r="K72" s="7" t="s">
        <v>229</v>
      </c>
      <c r="L72" s="9" t="s">
        <v>562</v>
      </c>
      <c r="M72" s="10" t="s">
        <v>596</v>
      </c>
    </row>
    <row r="73" customFormat="false" ht="23.85" hidden="false" customHeight="false" outlineLevel="0" collapsed="false">
      <c r="A73" s="11" t="s">
        <v>597</v>
      </c>
      <c r="B73" s="12"/>
      <c r="C73" s="11"/>
      <c r="D73" s="13" t="s">
        <v>598</v>
      </c>
      <c r="E73" s="13"/>
      <c r="F73" s="13" t="s">
        <v>599</v>
      </c>
      <c r="G73" s="11" t="s">
        <v>567</v>
      </c>
      <c r="H73" s="11" t="s">
        <v>46</v>
      </c>
      <c r="I73" s="13" t="s">
        <v>14</v>
      </c>
      <c r="J73" s="13" t="s">
        <v>600</v>
      </c>
      <c r="K73" s="11" t="s">
        <v>229</v>
      </c>
      <c r="L73" s="13"/>
      <c r="M73" s="14" t="s">
        <v>601</v>
      </c>
    </row>
    <row r="74" customFormat="false" ht="23.85" hidden="false" customHeight="false" outlineLevel="0" collapsed="false">
      <c r="A74" s="7" t="s">
        <v>602</v>
      </c>
      <c r="B74" s="8"/>
      <c r="C74" s="7"/>
      <c r="D74" s="9" t="s">
        <v>603</v>
      </c>
      <c r="E74" s="9"/>
      <c r="F74" s="9" t="s">
        <v>604</v>
      </c>
      <c r="G74" s="7" t="s">
        <v>605</v>
      </c>
      <c r="H74" s="7" t="s">
        <v>57</v>
      </c>
      <c r="I74" s="9"/>
      <c r="J74" s="9" t="s">
        <v>606</v>
      </c>
      <c r="K74" s="7" t="s">
        <v>229</v>
      </c>
      <c r="L74" s="9" t="s">
        <v>562</v>
      </c>
      <c r="M74" s="10" t="s">
        <v>607</v>
      </c>
    </row>
    <row r="75" customFormat="false" ht="23.85" hidden="false" customHeight="false" outlineLevel="0" collapsed="false">
      <c r="A75" s="11" t="s">
        <v>608</v>
      </c>
      <c r="B75" s="12"/>
      <c r="C75" s="11"/>
      <c r="D75" s="13" t="s">
        <v>609</v>
      </c>
      <c r="E75" s="13"/>
      <c r="F75" s="13" t="s">
        <v>604</v>
      </c>
      <c r="G75" s="11" t="s">
        <v>605</v>
      </c>
      <c r="H75" s="11" t="s">
        <v>57</v>
      </c>
      <c r="I75" s="13" t="s">
        <v>14</v>
      </c>
      <c r="J75" s="13" t="s">
        <v>610</v>
      </c>
      <c r="K75" s="11" t="s">
        <v>229</v>
      </c>
      <c r="L75" s="13" t="s">
        <v>562</v>
      </c>
      <c r="M75" s="14" t="s">
        <v>611</v>
      </c>
    </row>
  </sheetData>
  <autoFilter ref="A1:M75"/>
  <hyperlinks>
    <hyperlink ref="M2" r:id="rId1" display="https://www.his.jfn.ac.lk/index.php/__trashed/"/>
    <hyperlink ref="M3" r:id="rId2" display="https://fhss.niibs.lk/wp-content/uploads/2025/02/Investigation-of-Ancient-Pre-colonial-Monuments-in-Jaffna-Sri-Lanka.pdf"/>
    <hyperlink ref="M4" r:id="rId3" display="https://www.his.jfn.ac.lk/index.php/__trashed/"/>
    <hyperlink ref="M5" r:id="rId4" display="https://www.his.jfn.ac.lk/index.php/mrs-ajiththa-suganthan/"/>
    <hyperlink ref="M6" r:id="rId5" display="https://zenodo.org/records/16599990"/>
    <hyperlink ref="M7" r:id="rId6" display="https://www.his.jfn.ac.lk/index.php/mrs-ajiththa-suganthan/"/>
    <hyperlink ref="M8" r:id="rId7" display="https://www.his.jfn.ac.lk/index.php/__trashed/"/>
    <hyperlink ref="M9" r:id="rId8" display="https://www.his.jfn.ac.lk/index.php/__trashed/"/>
    <hyperlink ref="M10" r:id="rId9" display="https://www.his.jfn.ac.lk/index.php/mrs-ajiththa-suganthan/"/>
    <hyperlink ref="M11" r:id="rId10" display="https://www.his.jfn.ac.lk/index.php/mrs-ajiththa-suganthan/"/>
    <hyperlink ref="M12" r:id="rId11" display="https://www.his.jfn.ac.lk/index.php/__trashed/"/>
    <hyperlink ref="M13" r:id="rId12" display="https://www.his.jfn.ac.lk/index.php/__trashed/"/>
    <hyperlink ref="M14" r:id="rId13" display="https://www.his.jfn.ac.lk/index.php/__trashed/"/>
    <hyperlink ref="M15" r:id="rId14" display="https://archaeology.gov.lk/media/attachments/2022/09/07/ac27updated.pdf"/>
    <hyperlink ref="M16" r:id="rId15" display="https://www.his.jfn.ac.lk/?p=791"/>
    <hyperlink ref="M17" r:id="rId16" display="https://www.his.jfn.ac.lk/index.php/mrs-ajiththa-suganthan/"/>
    <hyperlink ref="M18" r:id="rId17" display="https://www.his.jfn.ac.lk/index.php/mrs-s-arulanantham/"/>
    <hyperlink ref="M19" r:id="rId18" display="https://www.his.jfn.ac.lk/index.php/__trashed/"/>
    <hyperlink ref="M20" r:id="rId19" display="https://www.his.jfn.ac.lk/index.php/__trashed/"/>
    <hyperlink ref="M21" r:id="rId20" display="https://www.his.jfn.ac.lk/?p=791"/>
    <hyperlink ref="M22" r:id="rId21" display="https://www.his.jfn.ac.lk/?p=791"/>
    <hyperlink ref="M23" r:id="rId22" display="https://www.his.jfn.ac.lk/index.php/mrs-ajiththa-suganthan/"/>
    <hyperlink ref="M24" r:id="rId23" display="https://www.his.jfn.ac.lk/?p=791"/>
    <hyperlink ref="M25" r:id="rId24" display="https://www.his.jfn.ac.lk/?p=791"/>
    <hyperlink ref="M26" r:id="rId25" display="https://www.cambridge.org/core/services/aop-cambridge-core/content/view/C55CDA3934CC5C18EE40B903734C7215/S0003598X19000309a.pdf/the-antiquity-of-jaffna-fort-new-evidence-from-post-disaster-archaeological-investigations-in-northern-sri-lanka.pdf"/>
    <hyperlink ref="M27" r:id="rId26" display="https://www.his.jfn.ac.lk/index.php/__trashed/"/>
    <hyperlink ref="M28" r:id="rId27" display="https://www.his.jfn.ac.lk/?p=791"/>
    <hyperlink ref="M29" r:id="rId28" display="https://www.his.jfn.ac.lk/index.php/__trashed/"/>
    <hyperlink ref="M30" r:id="rId29" display="https://www.his.jfn.ac.lk/?p=791"/>
    <hyperlink ref="M31" r:id="rId30" display="https://www.his.jfn.ac.lk/?p=791"/>
    <hyperlink ref="M32" r:id="rId31" display="https://www.his.jfn.ac.lk/?p=791"/>
    <hyperlink ref="M33" r:id="rId32" display="https://www.his.jfn.ac.lk/?p=791"/>
    <hyperlink ref="M34" r:id="rId33" display="https://www.his.jfn.ac.lk/?p=791"/>
    <hyperlink ref="M35" r:id="rId34" display="https://www.his.jfn.ac.lk/index.php/mrs-ajiththa-suganthan/"/>
    <hyperlink ref="M36" r:id="rId35" display="https://www.his.jfn.ac.lk/?p=791"/>
    <hyperlink ref="M37" r:id="rId36" display="https://www.his.jfn.ac.lk/index.php/profkarunthavarajah/"/>
    <hyperlink ref="M38" r:id="rId37" display="https://www.his.jfn.ac.lk/index.php/mrs-s-arulanantham/"/>
    <hyperlink ref="M39" r:id="rId38" display="https://rer.jfn.ac.lk/items/cf7a95e0-fe51-4ae1-88aa-4842327beb59/full"/>
    <hyperlink ref="M40" r:id="rId39" display="https://www.his.jfn.ac.lk/?p=791"/>
    <hyperlink ref="M41" r:id="rId40" display="https://www.his.jfn.ac.lk/index.php/mrs-s-arulanantham/"/>
    <hyperlink ref="M42" r:id="rId41" display="https://www.his.jfn.ac.lk/index.php/profkarunthavarajah/"/>
    <hyperlink ref="M43" r:id="rId42" display="https://www.his.jfn.ac.lk/index.php/profkarunthavarajah/"/>
    <hyperlink ref="M44" r:id="rId43" display="https://www.his.jfn.ac.lk/index.php/profkarunthavarajah/"/>
    <hyperlink ref="M45" r:id="rId44" display="https://www.his.jfn.ac.lk/index.php/mrs-s-arulanantham/"/>
    <hyperlink ref="M46" r:id="rId45" display="https://www.lankapradeepa.com/2020/04/tamil-inscriptions-in-sri-lanka_16.html"/>
    <hyperlink ref="M47" r:id="rId46" display="https://jfn.ac.lk/prof-s-pathmanathan/"/>
    <hyperlink ref="M48" r:id="rId47" display="https://jfn.ac.lk/prof-s-pathmanathan/"/>
    <hyperlink ref="M49" r:id="rId48" display="https://www.lankapradeepa.com/2020/04/tamil-inscriptions-in-sri-lanka_16.html"/>
    <hyperlink ref="M50" r:id="rId49" display="https://jfn.ac.lk/prof-s-pathmanathan/"/>
    <hyperlink ref="M51" r:id="rId50" display="https://jfn.ac.lk/prof-s-pathmanathan/"/>
    <hyperlink ref="M52" r:id="rId51" display="https://jfn.ac.lk/prof-s-pathmanathan/"/>
    <hyperlink ref="M53" r:id="rId52" display="https://jfn.ac.lk/prof-s-pathmanathan/"/>
    <hyperlink ref="M54" r:id="rId53" display="https://jfn.ac.lk/prof-s-pathmanathan/"/>
    <hyperlink ref="M55" r:id="rId54" display="https://jfn.ac.lk/prof-s-pathmanathan/"/>
    <hyperlink ref="M56" r:id="rId55" display="https://www.lankapradeepa.com/2020/04/tamil-inscriptions-in-sri-lanka_16.html"/>
    <hyperlink ref="M57" r:id="rId56" display="https://jfn.ac.lk/prof-s-pathmanathan/"/>
    <hyperlink ref="M58" r:id="rId57" display="https://ir.lib.pdn.ac.lk/handle/20.500.14444/3809"/>
    <hyperlink ref="M59" r:id="rId58" display="https://ir.lib.pdn.ac.lk/items/583155fd-b49e-4398-8b04-51776c4dbf8f/full"/>
    <hyperlink ref="M60" r:id="rId59" display="https://www.lankapradeepa.com/2020/04/tamil-inscriptions-in-sri-lanka_16.html"/>
    <hyperlink ref="M61" r:id="rId60" display="https://jfn.ac.lk/prof-s-pathmanathan/"/>
    <hyperlink ref="M62" r:id="rId61" display="https://www.lankapradeepa.com/2020/04/tamil-inscriptions-in-sri-lanka_16.html"/>
    <hyperlink ref="M63" r:id="rId62" display="https://jfn.ac.lk/prof-s-pathmanathan/"/>
    <hyperlink ref="M64" r:id="rId63" display="https://siddham.network/tag/kayts/"/>
    <hyperlink ref="M65" r:id="rId64" display="https://ir.lib.pdn.ac.lk/handle/20.500.14444/5038"/>
    <hyperlink ref="M66" r:id="rId65" display="https://www.academia.edu/44307643/Annaikottai_Seal_Is_it_Tamil_Brahmi"/>
    <hyperlink ref="M67" r:id="rId66" display="https://mrujs.mtroyal.ca/index.php/anlk/article/view/634"/>
    <hyperlink ref="M68" r:id="rId67" display="https://irjt.iorpress.org/index.php/irjt/article/download/2607/2111/4821"/>
    <hyperlink ref="M69" r:id="rId68" display="https://rer.jfn.ac.lk/items/69679e68-fe61-4cd9-a9de-ccff08422aac/full"/>
    <hyperlink ref="M70" r:id="rId69" display="https://www.academia.edu/47759409/Making_Lanka_the_Tamil_way_a_temple_history_at_the_crossroads_of_landscapes_and_watersheds"/>
    <hyperlink ref="M71" r:id="rId70" display="https://durham-repository.worktribe.com/output/1656993/recent-excavations-and-survey-at-jaffna-fort-in-2017-and-reflections-on-the-antiquity-of-indian-ocean-trade"/>
    <hyperlink ref="M72" r:id="rId71" display="https://rer.jfn.ac.lk/items/fc0f248b-470f-449c-a7c6-8b8ec38517f0"/>
    <hyperlink ref="M73" r:id="rId72" display="https://www.researchgate.net/publication/301336596_The_Peopling_of_Sri_Lanka_from_Prehistoric_to_Historic_Times_Biological_and_Archaeological_Evidence"/>
    <hyperlink ref="M74" r:id="rId73" display="https://dspace.lib.seu.ac.lk/items/2bce5ebf-dc84-4b9c-a7ed-ca9bf13f1e7a/full"/>
    <hyperlink ref="M75" r:id="rId74" display="https://dspace.lib.seu.ac.lk/items/d9c75f55-5065-4c9d-9c54-98ec1717f8d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
    <col collapsed="false" customWidth="true" hidden="false" outlineLevel="0" max="3" min="3" style="0" width="11"/>
    <col collapsed="false" customWidth="true" hidden="false" outlineLevel="0" max="4" min="4" style="0" width="60"/>
    <col collapsed="false" customWidth="true" hidden="false" outlineLevel="0" max="5" min="5" style="0" width="28"/>
    <col collapsed="false" customWidth="true" hidden="false" outlineLevel="0" max="6" min="6" style="0" width="34"/>
    <col collapsed="false" customWidth="true" hidden="false" outlineLevel="0" max="7" min="7" style="0" width="18"/>
    <col collapsed="false" customWidth="true" hidden="false" outlineLevel="0" max="8" min="8" style="0" width="10"/>
    <col collapsed="false" customWidth="true" hidden="false" outlineLevel="0" max="10" min="9" style="0" width="30"/>
    <col collapsed="false" customWidth="true" hidden="false" outlineLevel="0" max="11" min="11" style="0" width="14"/>
    <col collapsed="false" customWidth="true" hidden="false" outlineLevel="0" max="12" min="12" style="0" width="30"/>
    <col collapsed="false" customWidth="true" hidden="false" outlineLevel="0" max="13" min="13" style="0" width="45"/>
  </cols>
  <sheetData>
    <row r="1" customFormat="false" ht="30" hidden="false" customHeight="true" outlineLevel="0" collapsed="false">
      <c r="A1" s="6" t="s">
        <v>28</v>
      </c>
      <c r="B1" s="6" t="s">
        <v>29</v>
      </c>
      <c r="C1" s="6" t="s">
        <v>30</v>
      </c>
      <c r="D1" s="6" t="s">
        <v>31</v>
      </c>
      <c r="E1" s="6" t="s">
        <v>32</v>
      </c>
      <c r="F1" s="6" t="s">
        <v>33</v>
      </c>
      <c r="G1" s="6" t="s">
        <v>34</v>
      </c>
      <c r="H1" s="6" t="s">
        <v>35</v>
      </c>
      <c r="I1" s="6" t="s">
        <v>36</v>
      </c>
      <c r="J1" s="6" t="s">
        <v>37</v>
      </c>
      <c r="K1" s="6" t="s">
        <v>5</v>
      </c>
      <c r="L1" s="6" t="s">
        <v>38</v>
      </c>
      <c r="M1" s="6" t="s">
        <v>39</v>
      </c>
    </row>
    <row r="2" customFormat="false" ht="15" hidden="false" customHeight="false" outlineLevel="0" collapsed="false">
      <c r="A2" s="7" t="s">
        <v>612</v>
      </c>
      <c r="B2" s="8" t="s">
        <v>41</v>
      </c>
      <c r="C2" s="7" t="s">
        <v>613</v>
      </c>
      <c r="D2" s="9" t="s">
        <v>614</v>
      </c>
      <c r="E2" s="9" t="s">
        <v>615</v>
      </c>
      <c r="F2" s="9" t="s">
        <v>616</v>
      </c>
      <c r="G2" s="7" t="s">
        <v>617</v>
      </c>
      <c r="H2" s="7" t="s">
        <v>46</v>
      </c>
      <c r="I2" s="9" t="s">
        <v>13</v>
      </c>
      <c r="J2" s="9" t="s">
        <v>618</v>
      </c>
      <c r="K2" s="7" t="s">
        <v>49</v>
      </c>
      <c r="L2" s="9"/>
      <c r="M2" s="10" t="s">
        <v>619</v>
      </c>
    </row>
    <row r="3" customFormat="false" ht="23.85" hidden="false" customHeight="false" outlineLevel="0" collapsed="false">
      <c r="A3" s="11" t="s">
        <v>620</v>
      </c>
      <c r="B3" s="12" t="s">
        <v>41</v>
      </c>
      <c r="C3" s="11" t="s">
        <v>621</v>
      </c>
      <c r="D3" s="13" t="s">
        <v>622</v>
      </c>
      <c r="E3" s="13"/>
      <c r="F3" s="13" t="s">
        <v>623</v>
      </c>
      <c r="G3" s="11" t="s">
        <v>624</v>
      </c>
      <c r="H3" s="11" t="s">
        <v>46</v>
      </c>
      <c r="I3" s="13" t="s">
        <v>321</v>
      </c>
      <c r="J3" s="13" t="s">
        <v>625</v>
      </c>
      <c r="K3" s="11" t="s">
        <v>49</v>
      </c>
      <c r="L3" s="13"/>
      <c r="M3" s="14" t="s">
        <v>51</v>
      </c>
    </row>
    <row r="4" customFormat="false" ht="15" hidden="false" customHeight="false" outlineLevel="0" collapsed="false">
      <c r="A4" s="7" t="s">
        <v>626</v>
      </c>
      <c r="B4" s="8" t="s">
        <v>283</v>
      </c>
      <c r="C4" s="7"/>
      <c r="D4" s="9" t="s">
        <v>627</v>
      </c>
      <c r="E4" s="9"/>
      <c r="F4" s="9" t="s">
        <v>628</v>
      </c>
      <c r="G4" s="7" t="s">
        <v>624</v>
      </c>
      <c r="H4" s="7" t="s">
        <v>57</v>
      </c>
      <c r="I4" s="9" t="s">
        <v>14</v>
      </c>
      <c r="J4" s="9" t="s">
        <v>629</v>
      </c>
      <c r="K4" s="7" t="s">
        <v>49</v>
      </c>
      <c r="L4" s="9" t="s">
        <v>630</v>
      </c>
      <c r="M4" s="10" t="s">
        <v>631</v>
      </c>
    </row>
    <row r="5" customFormat="false" ht="15" hidden="false" customHeight="false" outlineLevel="0" collapsed="false">
      <c r="A5" s="11" t="s">
        <v>632</v>
      </c>
      <c r="B5" s="12" t="s">
        <v>391</v>
      </c>
      <c r="C5" s="11" t="s">
        <v>633</v>
      </c>
      <c r="D5" s="13" t="s">
        <v>634</v>
      </c>
      <c r="E5" s="13"/>
      <c r="F5" s="13" t="s">
        <v>635</v>
      </c>
      <c r="G5" s="11" t="s">
        <v>636</v>
      </c>
      <c r="H5" s="11" t="s">
        <v>46</v>
      </c>
      <c r="I5" s="13" t="s">
        <v>14</v>
      </c>
      <c r="J5" s="13" t="s">
        <v>637</v>
      </c>
      <c r="K5" s="11" t="s">
        <v>49</v>
      </c>
      <c r="L5" s="13"/>
      <c r="M5" s="14" t="s">
        <v>638</v>
      </c>
    </row>
    <row r="6" customFormat="false" ht="15" hidden="false" customHeight="false" outlineLevel="0" collapsed="false">
      <c r="A6" s="7" t="s">
        <v>639</v>
      </c>
      <c r="B6" s="8" t="s">
        <v>411</v>
      </c>
      <c r="C6" s="7" t="s">
        <v>640</v>
      </c>
      <c r="D6" s="9" t="s">
        <v>641</v>
      </c>
      <c r="E6" s="9"/>
      <c r="F6" s="9" t="s">
        <v>642</v>
      </c>
      <c r="G6" s="7" t="s">
        <v>636</v>
      </c>
      <c r="H6" s="7" t="s">
        <v>46</v>
      </c>
      <c r="I6" s="9" t="s">
        <v>14</v>
      </c>
      <c r="J6" s="9" t="s">
        <v>643</v>
      </c>
      <c r="K6" s="7" t="s">
        <v>49</v>
      </c>
      <c r="L6" s="9" t="s">
        <v>644</v>
      </c>
      <c r="M6" s="10" t="s">
        <v>645</v>
      </c>
    </row>
    <row r="7" customFormat="false" ht="15" hidden="false" customHeight="false" outlineLevel="0" collapsed="false">
      <c r="A7" s="11" t="s">
        <v>646</v>
      </c>
      <c r="B7" s="12" t="s">
        <v>444</v>
      </c>
      <c r="C7" s="11" t="s">
        <v>647</v>
      </c>
      <c r="D7" s="13" t="s">
        <v>648</v>
      </c>
      <c r="E7" s="13"/>
      <c r="F7" s="13" t="s">
        <v>649</v>
      </c>
      <c r="G7" s="11" t="s">
        <v>636</v>
      </c>
      <c r="H7" s="11" t="s">
        <v>46</v>
      </c>
      <c r="I7" s="13" t="s">
        <v>16</v>
      </c>
      <c r="J7" s="13" t="s">
        <v>650</v>
      </c>
      <c r="K7" s="11" t="s">
        <v>49</v>
      </c>
      <c r="L7" s="13" t="s">
        <v>280</v>
      </c>
      <c r="M7" s="14" t="s">
        <v>651</v>
      </c>
    </row>
    <row r="8" customFormat="false" ht="15" hidden="false" customHeight="false" outlineLevel="0" collapsed="false">
      <c r="A8" s="7" t="s">
        <v>652</v>
      </c>
      <c r="B8" s="8" t="s">
        <v>78</v>
      </c>
      <c r="C8" s="7" t="s">
        <v>653</v>
      </c>
      <c r="D8" s="9" t="s">
        <v>654</v>
      </c>
      <c r="E8" s="9"/>
      <c r="F8" s="9" t="s">
        <v>655</v>
      </c>
      <c r="G8" s="7" t="s">
        <v>624</v>
      </c>
      <c r="H8" s="7" t="s">
        <v>46</v>
      </c>
      <c r="I8" s="9" t="s">
        <v>13</v>
      </c>
      <c r="J8" s="9" t="s">
        <v>656</v>
      </c>
      <c r="K8" s="7" t="s">
        <v>49</v>
      </c>
      <c r="L8" s="9"/>
      <c r="M8" s="10" t="s">
        <v>657</v>
      </c>
    </row>
    <row r="9" customFormat="false" ht="23.85" hidden="false" customHeight="false" outlineLevel="0" collapsed="false">
      <c r="A9" s="11" t="s">
        <v>658</v>
      </c>
      <c r="B9" s="12" t="s">
        <v>449</v>
      </c>
      <c r="C9" s="11"/>
      <c r="D9" s="13" t="s">
        <v>659</v>
      </c>
      <c r="E9" s="13" t="s">
        <v>327</v>
      </c>
      <c r="F9" s="13" t="s">
        <v>660</v>
      </c>
      <c r="G9" s="11" t="s">
        <v>636</v>
      </c>
      <c r="H9" s="11" t="s">
        <v>57</v>
      </c>
      <c r="I9" s="13" t="s">
        <v>14</v>
      </c>
      <c r="J9" s="13" t="s">
        <v>406</v>
      </c>
      <c r="K9" s="11" t="s">
        <v>49</v>
      </c>
      <c r="L9" s="13"/>
      <c r="M9" s="14" t="s">
        <v>330</v>
      </c>
    </row>
    <row r="10" customFormat="false" ht="15" hidden="false" customHeight="false" outlineLevel="0" collapsed="false">
      <c r="A10" s="7" t="s">
        <v>661</v>
      </c>
      <c r="B10" s="8" t="s">
        <v>449</v>
      </c>
      <c r="C10" s="7" t="s">
        <v>662</v>
      </c>
      <c r="D10" s="9" t="s">
        <v>663</v>
      </c>
      <c r="E10" s="9"/>
      <c r="F10" s="9" t="s">
        <v>664</v>
      </c>
      <c r="G10" s="7" t="s">
        <v>636</v>
      </c>
      <c r="H10" s="7" t="s">
        <v>57</v>
      </c>
      <c r="I10" s="9" t="s">
        <v>14</v>
      </c>
      <c r="J10" s="9" t="s">
        <v>665</v>
      </c>
      <c r="K10" s="7" t="s">
        <v>49</v>
      </c>
      <c r="L10" s="9"/>
      <c r="M10" s="10" t="s">
        <v>666</v>
      </c>
    </row>
    <row r="11" customFormat="false" ht="23.85" hidden="false" customHeight="false" outlineLevel="0" collapsed="false">
      <c r="A11" s="11" t="s">
        <v>667</v>
      </c>
      <c r="B11" s="12" t="s">
        <v>84</v>
      </c>
      <c r="C11" s="11" t="s">
        <v>668</v>
      </c>
      <c r="D11" s="13" t="s">
        <v>669</v>
      </c>
      <c r="E11" s="13"/>
      <c r="F11" s="13" t="s">
        <v>655</v>
      </c>
      <c r="G11" s="11" t="s">
        <v>624</v>
      </c>
      <c r="H11" s="11" t="s">
        <v>46</v>
      </c>
      <c r="I11" s="13" t="s">
        <v>58</v>
      </c>
      <c r="J11" s="13" t="s">
        <v>670</v>
      </c>
      <c r="K11" s="11" t="s">
        <v>49</v>
      </c>
      <c r="L11" s="13"/>
      <c r="M11" s="14" t="s">
        <v>671</v>
      </c>
    </row>
    <row r="12" customFormat="false" ht="23.85" hidden="false" customHeight="false" outlineLevel="0" collapsed="false">
      <c r="A12" s="7" t="s">
        <v>672</v>
      </c>
      <c r="B12" s="8" t="s">
        <v>84</v>
      </c>
      <c r="C12" s="7" t="s">
        <v>673</v>
      </c>
      <c r="D12" s="9" t="s">
        <v>674</v>
      </c>
      <c r="E12" s="9"/>
      <c r="F12" s="9" t="s">
        <v>655</v>
      </c>
      <c r="G12" s="7" t="s">
        <v>624</v>
      </c>
      <c r="H12" s="7" t="s">
        <v>46</v>
      </c>
      <c r="I12" s="9" t="s">
        <v>13</v>
      </c>
      <c r="J12" s="9" t="s">
        <v>675</v>
      </c>
      <c r="K12" s="7" t="s">
        <v>49</v>
      </c>
      <c r="L12" s="9"/>
      <c r="M12" s="10" t="s">
        <v>676</v>
      </c>
    </row>
    <row r="13" customFormat="false" ht="23.85" hidden="false" customHeight="false" outlineLevel="0" collapsed="false">
      <c r="A13" s="11" t="s">
        <v>677</v>
      </c>
      <c r="B13" s="12" t="s">
        <v>84</v>
      </c>
      <c r="C13" s="11" t="s">
        <v>678</v>
      </c>
      <c r="D13" s="13" t="s">
        <v>679</v>
      </c>
      <c r="E13" s="13"/>
      <c r="F13" s="13" t="s">
        <v>655</v>
      </c>
      <c r="G13" s="11" t="s">
        <v>624</v>
      </c>
      <c r="H13" s="11" t="s">
        <v>46</v>
      </c>
      <c r="I13" s="13" t="s">
        <v>58</v>
      </c>
      <c r="J13" s="13" t="s">
        <v>670</v>
      </c>
      <c r="K13" s="11" t="s">
        <v>49</v>
      </c>
      <c r="L13" s="13"/>
      <c r="M13" s="14" t="s">
        <v>680</v>
      </c>
    </row>
    <row r="14" customFormat="false" ht="15" hidden="false" customHeight="false" outlineLevel="0" collapsed="false">
      <c r="A14" s="7" t="s">
        <v>681</v>
      </c>
      <c r="B14" s="8" t="s">
        <v>84</v>
      </c>
      <c r="C14" s="7" t="s">
        <v>682</v>
      </c>
      <c r="D14" s="9" t="s">
        <v>683</v>
      </c>
      <c r="E14" s="9"/>
      <c r="F14" s="9" t="s">
        <v>655</v>
      </c>
      <c r="G14" s="7" t="s">
        <v>624</v>
      </c>
      <c r="H14" s="7" t="s">
        <v>46</v>
      </c>
      <c r="I14" s="9" t="s">
        <v>12</v>
      </c>
      <c r="J14" s="9" t="s">
        <v>684</v>
      </c>
      <c r="K14" s="7" t="s">
        <v>49</v>
      </c>
      <c r="L14" s="9"/>
      <c r="M14" s="10" t="s">
        <v>685</v>
      </c>
    </row>
    <row r="15" customFormat="false" ht="15" hidden="false" customHeight="false" outlineLevel="0" collapsed="false">
      <c r="A15" s="11" t="s">
        <v>686</v>
      </c>
      <c r="B15" s="12" t="s">
        <v>157</v>
      </c>
      <c r="C15" s="11" t="s">
        <v>687</v>
      </c>
      <c r="D15" s="13" t="s">
        <v>688</v>
      </c>
      <c r="E15" s="13" t="s">
        <v>689</v>
      </c>
      <c r="F15" s="13" t="s">
        <v>635</v>
      </c>
      <c r="G15" s="11" t="s">
        <v>690</v>
      </c>
      <c r="H15" s="11" t="s">
        <v>46</v>
      </c>
      <c r="I15" s="13" t="s">
        <v>17</v>
      </c>
      <c r="J15" s="13" t="s">
        <v>691</v>
      </c>
      <c r="K15" s="11" t="s">
        <v>49</v>
      </c>
      <c r="L15" s="13"/>
      <c r="M15" s="14" t="s">
        <v>174</v>
      </c>
    </row>
    <row r="16" customFormat="false" ht="23.85" hidden="false" customHeight="false" outlineLevel="0" collapsed="false">
      <c r="A16" s="7" t="s">
        <v>692</v>
      </c>
      <c r="B16" s="8"/>
      <c r="C16" s="7"/>
      <c r="D16" s="9" t="s">
        <v>693</v>
      </c>
      <c r="E16" s="9"/>
      <c r="F16" s="9" t="s">
        <v>623</v>
      </c>
      <c r="G16" s="7" t="s">
        <v>624</v>
      </c>
      <c r="H16" s="7" t="s">
        <v>46</v>
      </c>
      <c r="I16" s="9" t="s">
        <v>58</v>
      </c>
      <c r="J16" s="9" t="s">
        <v>656</v>
      </c>
      <c r="K16" s="7" t="s">
        <v>229</v>
      </c>
      <c r="L16" s="9" t="s">
        <v>694</v>
      </c>
      <c r="M16" s="10" t="s">
        <v>695</v>
      </c>
    </row>
    <row r="17" customFormat="false" ht="15" hidden="false" customHeight="false" outlineLevel="0" collapsed="false">
      <c r="A17" s="11" t="s">
        <v>696</v>
      </c>
      <c r="B17" s="12"/>
      <c r="C17" s="11"/>
      <c r="D17" s="13" t="s">
        <v>697</v>
      </c>
      <c r="E17" s="13"/>
      <c r="F17" s="13" t="s">
        <v>623</v>
      </c>
      <c r="G17" s="11" t="s">
        <v>624</v>
      </c>
      <c r="H17" s="11" t="s">
        <v>46</v>
      </c>
      <c r="I17" s="13" t="s">
        <v>14</v>
      </c>
      <c r="J17" s="13" t="s">
        <v>698</v>
      </c>
      <c r="K17" s="11" t="s">
        <v>229</v>
      </c>
      <c r="L17" s="13"/>
      <c r="M17" s="14" t="s">
        <v>699</v>
      </c>
    </row>
    <row r="18" customFormat="false" ht="15" hidden="false" customHeight="false" outlineLevel="0" collapsed="false">
      <c r="A18" s="7" t="s">
        <v>700</v>
      </c>
      <c r="B18" s="8"/>
      <c r="C18" s="7"/>
      <c r="D18" s="9" t="s">
        <v>701</v>
      </c>
      <c r="E18" s="9"/>
      <c r="F18" s="9" t="s">
        <v>623</v>
      </c>
      <c r="G18" s="7" t="s">
        <v>624</v>
      </c>
      <c r="H18" s="7" t="s">
        <v>46</v>
      </c>
      <c r="I18" s="9" t="s">
        <v>17</v>
      </c>
      <c r="J18" s="9" t="s">
        <v>702</v>
      </c>
      <c r="K18" s="7" t="s">
        <v>229</v>
      </c>
      <c r="L18" s="9"/>
      <c r="M18" s="10" t="s">
        <v>703</v>
      </c>
    </row>
    <row r="19" customFormat="false" ht="15" hidden="false" customHeight="false" outlineLevel="0" collapsed="false">
      <c r="A19" s="11" t="s">
        <v>704</v>
      </c>
      <c r="B19" s="12"/>
      <c r="C19" s="11"/>
      <c r="D19" s="13" t="s">
        <v>705</v>
      </c>
      <c r="E19" s="13"/>
      <c r="F19" s="13" t="s">
        <v>616</v>
      </c>
      <c r="G19" s="11" t="s">
        <v>706</v>
      </c>
      <c r="H19" s="11" t="s">
        <v>46</v>
      </c>
      <c r="I19" s="13"/>
      <c r="J19" s="13" t="s">
        <v>707</v>
      </c>
      <c r="K19" s="11" t="s">
        <v>229</v>
      </c>
      <c r="L19" s="13"/>
      <c r="M19" s="14" t="s">
        <v>708</v>
      </c>
    </row>
    <row r="20" customFormat="false" ht="15" hidden="false" customHeight="false" outlineLevel="0" collapsed="false">
      <c r="A20" s="7" t="s">
        <v>709</v>
      </c>
      <c r="B20" s="8"/>
      <c r="C20" s="7"/>
      <c r="D20" s="9" t="s">
        <v>710</v>
      </c>
      <c r="E20" s="9"/>
      <c r="F20" s="9" t="s">
        <v>649</v>
      </c>
      <c r="G20" s="7" t="s">
        <v>636</v>
      </c>
      <c r="H20" s="7" t="s">
        <v>46</v>
      </c>
      <c r="I20" s="9"/>
      <c r="J20" s="9" t="s">
        <v>711</v>
      </c>
      <c r="K20" s="7" t="s">
        <v>229</v>
      </c>
      <c r="L20" s="9"/>
      <c r="M20" s="10" t="s">
        <v>712</v>
      </c>
    </row>
    <row r="21" customFormat="false" ht="23.85" hidden="false" customHeight="false" outlineLevel="0" collapsed="false">
      <c r="A21" s="11" t="s">
        <v>713</v>
      </c>
      <c r="B21" s="12"/>
      <c r="C21" s="11"/>
      <c r="D21" s="13" t="s">
        <v>714</v>
      </c>
      <c r="E21" s="13"/>
      <c r="F21" s="13" t="s">
        <v>715</v>
      </c>
      <c r="G21" s="11" t="s">
        <v>636</v>
      </c>
      <c r="H21" s="11" t="s">
        <v>46</v>
      </c>
      <c r="I21" s="13"/>
      <c r="J21" s="13" t="s">
        <v>716</v>
      </c>
      <c r="K21" s="11" t="s">
        <v>229</v>
      </c>
      <c r="L21" s="13"/>
      <c r="M21" s="14" t="s">
        <v>717</v>
      </c>
    </row>
    <row r="22" customFormat="false" ht="15" hidden="false" customHeight="false" outlineLevel="0" collapsed="false">
      <c r="A22" s="7" t="s">
        <v>718</v>
      </c>
      <c r="B22" s="8"/>
      <c r="C22" s="7"/>
      <c r="D22" s="9" t="s">
        <v>719</v>
      </c>
      <c r="E22" s="9"/>
      <c r="F22" s="9" t="s">
        <v>715</v>
      </c>
      <c r="G22" s="7" t="s">
        <v>624</v>
      </c>
      <c r="H22" s="7" t="s">
        <v>46</v>
      </c>
      <c r="I22" s="9" t="s">
        <v>16</v>
      </c>
      <c r="J22" s="9" t="s">
        <v>720</v>
      </c>
      <c r="K22" s="7" t="s">
        <v>229</v>
      </c>
      <c r="L22" s="9"/>
      <c r="M22" s="10" t="s">
        <v>721</v>
      </c>
    </row>
    <row r="23" customFormat="false" ht="15" hidden="false" customHeight="false" outlineLevel="0" collapsed="false">
      <c r="A23" s="11" t="s">
        <v>722</v>
      </c>
      <c r="B23" s="12"/>
      <c r="C23" s="11"/>
      <c r="D23" s="13" t="s">
        <v>723</v>
      </c>
      <c r="E23" s="13"/>
      <c r="F23" s="13" t="s">
        <v>649</v>
      </c>
      <c r="G23" s="11" t="s">
        <v>636</v>
      </c>
      <c r="H23" s="11" t="s">
        <v>46</v>
      </c>
      <c r="I23" s="13" t="s">
        <v>13</v>
      </c>
      <c r="J23" s="13" t="s">
        <v>724</v>
      </c>
      <c r="K23" s="11" t="s">
        <v>229</v>
      </c>
      <c r="L23" s="13"/>
      <c r="M23" s="14" t="s">
        <v>725</v>
      </c>
    </row>
    <row r="24" customFormat="false" ht="23.85" hidden="false" customHeight="false" outlineLevel="0" collapsed="false">
      <c r="A24" s="7" t="s">
        <v>726</v>
      </c>
      <c r="B24" s="8"/>
      <c r="C24" s="7"/>
      <c r="D24" s="9" t="s">
        <v>727</v>
      </c>
      <c r="E24" s="9"/>
      <c r="F24" s="9" t="s">
        <v>623</v>
      </c>
      <c r="G24" s="7" t="s">
        <v>624</v>
      </c>
      <c r="H24" s="7" t="s">
        <v>46</v>
      </c>
      <c r="I24" s="9" t="s">
        <v>14</v>
      </c>
      <c r="J24" s="9" t="s">
        <v>728</v>
      </c>
      <c r="K24" s="7" t="s">
        <v>229</v>
      </c>
      <c r="L24" s="9"/>
      <c r="M24" s="10" t="s">
        <v>729</v>
      </c>
    </row>
    <row r="25" customFormat="false" ht="15" hidden="false" customHeight="false" outlineLevel="0" collapsed="false">
      <c r="A25" s="11" t="s">
        <v>730</v>
      </c>
      <c r="B25" s="12"/>
      <c r="C25" s="11"/>
      <c r="D25" s="13" t="s">
        <v>731</v>
      </c>
      <c r="E25" s="13"/>
      <c r="F25" s="13" t="s">
        <v>616</v>
      </c>
      <c r="G25" s="11" t="s">
        <v>617</v>
      </c>
      <c r="H25" s="11" t="s">
        <v>46</v>
      </c>
      <c r="I25" s="13" t="s">
        <v>13</v>
      </c>
      <c r="J25" s="13" t="s">
        <v>732</v>
      </c>
      <c r="K25" s="11" t="s">
        <v>229</v>
      </c>
      <c r="L25" s="13"/>
      <c r="M25" s="14" t="s">
        <v>733</v>
      </c>
    </row>
    <row r="26" customFormat="false" ht="15" hidden="false" customHeight="false" outlineLevel="0" collapsed="false">
      <c r="A26" s="7" t="s">
        <v>734</v>
      </c>
      <c r="B26" s="8"/>
      <c r="C26" s="7"/>
      <c r="D26" s="9" t="s">
        <v>735</v>
      </c>
      <c r="E26" s="9"/>
      <c r="F26" s="9" t="s">
        <v>623</v>
      </c>
      <c r="G26" s="7" t="s">
        <v>636</v>
      </c>
      <c r="H26" s="7" t="s">
        <v>46</v>
      </c>
      <c r="I26" s="9" t="s">
        <v>14</v>
      </c>
      <c r="J26" s="9" t="s">
        <v>736</v>
      </c>
      <c r="K26" s="7" t="s">
        <v>229</v>
      </c>
      <c r="L26" s="9"/>
      <c r="M26" s="10" t="s">
        <v>737</v>
      </c>
    </row>
    <row r="27" customFormat="false" ht="15" hidden="false" customHeight="false" outlineLevel="0" collapsed="false">
      <c r="A27" s="11" t="s">
        <v>738</v>
      </c>
      <c r="B27" s="12"/>
      <c r="C27" s="11"/>
      <c r="D27" s="13" t="s">
        <v>739</v>
      </c>
      <c r="E27" s="13"/>
      <c r="F27" s="13" t="s">
        <v>616</v>
      </c>
      <c r="G27" s="11" t="s">
        <v>617</v>
      </c>
      <c r="H27" s="11" t="s">
        <v>46</v>
      </c>
      <c r="I27" s="13" t="s">
        <v>14</v>
      </c>
      <c r="J27" s="13" t="s">
        <v>740</v>
      </c>
      <c r="K27" s="11" t="s">
        <v>229</v>
      </c>
      <c r="L27" s="13"/>
      <c r="M27" s="14" t="s">
        <v>741</v>
      </c>
    </row>
    <row r="28" customFormat="false" ht="23.85" hidden="false" customHeight="false" outlineLevel="0" collapsed="false">
      <c r="A28" s="7" t="s">
        <v>742</v>
      </c>
      <c r="B28" s="8"/>
      <c r="C28" s="7"/>
      <c r="D28" s="9" t="s">
        <v>743</v>
      </c>
      <c r="E28" s="9"/>
      <c r="F28" s="9" t="s">
        <v>623</v>
      </c>
      <c r="G28" s="7" t="s">
        <v>624</v>
      </c>
      <c r="H28" s="7" t="s">
        <v>46</v>
      </c>
      <c r="I28" s="9" t="s">
        <v>12</v>
      </c>
      <c r="J28" s="9" t="s">
        <v>744</v>
      </c>
      <c r="K28" s="7" t="s">
        <v>229</v>
      </c>
      <c r="L28" s="9"/>
      <c r="M28" s="10" t="s">
        <v>745</v>
      </c>
    </row>
    <row r="29" customFormat="false" ht="23.85" hidden="false" customHeight="false" outlineLevel="0" collapsed="false">
      <c r="A29" s="11" t="s">
        <v>746</v>
      </c>
      <c r="B29" s="12"/>
      <c r="C29" s="11"/>
      <c r="D29" s="13" t="s">
        <v>747</v>
      </c>
      <c r="E29" s="13"/>
      <c r="F29" s="13" t="s">
        <v>748</v>
      </c>
      <c r="G29" s="11" t="s">
        <v>624</v>
      </c>
      <c r="H29" s="11" t="s">
        <v>57</v>
      </c>
      <c r="I29" s="13" t="s">
        <v>12</v>
      </c>
      <c r="J29" s="13" t="s">
        <v>749</v>
      </c>
      <c r="K29" s="11" t="s">
        <v>229</v>
      </c>
      <c r="L29" s="13" t="s">
        <v>750</v>
      </c>
      <c r="M29" s="14" t="s">
        <v>751</v>
      </c>
    </row>
    <row r="30" customFormat="false" ht="23.85" hidden="false" customHeight="false" outlineLevel="0" collapsed="false">
      <c r="A30" s="7" t="s">
        <v>752</v>
      </c>
      <c r="B30" s="8"/>
      <c r="C30" s="7"/>
      <c r="D30" s="9" t="s">
        <v>753</v>
      </c>
      <c r="E30" s="9"/>
      <c r="F30" s="9" t="s">
        <v>754</v>
      </c>
      <c r="G30" s="7" t="s">
        <v>636</v>
      </c>
      <c r="H30" s="7" t="s">
        <v>57</v>
      </c>
      <c r="I30" s="9" t="s">
        <v>58</v>
      </c>
      <c r="J30" s="9" t="s">
        <v>755</v>
      </c>
      <c r="K30" s="7" t="s">
        <v>229</v>
      </c>
      <c r="L30" s="9"/>
      <c r="M30" s="10" t="s">
        <v>756</v>
      </c>
    </row>
    <row r="31" customFormat="false" ht="23.85" hidden="false" customHeight="false" outlineLevel="0" collapsed="false">
      <c r="A31" s="11" t="s">
        <v>757</v>
      </c>
      <c r="B31" s="12"/>
      <c r="C31" s="11"/>
      <c r="D31" s="13" t="s">
        <v>758</v>
      </c>
      <c r="E31" s="13"/>
      <c r="F31" s="13" t="s">
        <v>759</v>
      </c>
      <c r="G31" s="11" t="s">
        <v>636</v>
      </c>
      <c r="H31" s="11" t="s">
        <v>57</v>
      </c>
      <c r="I31" s="13" t="s">
        <v>12</v>
      </c>
      <c r="J31" s="13" t="s">
        <v>760</v>
      </c>
      <c r="K31" s="11" t="s">
        <v>229</v>
      </c>
      <c r="L31" s="13"/>
      <c r="M31" s="14" t="s">
        <v>761</v>
      </c>
    </row>
    <row r="32" customFormat="false" ht="23.85" hidden="false" customHeight="false" outlineLevel="0" collapsed="false">
      <c r="A32" s="7" t="s">
        <v>762</v>
      </c>
      <c r="B32" s="8"/>
      <c r="C32" s="7"/>
      <c r="D32" s="9" t="s">
        <v>763</v>
      </c>
      <c r="E32" s="9" t="s">
        <v>145</v>
      </c>
      <c r="F32" s="9" t="s">
        <v>764</v>
      </c>
      <c r="G32" s="7" t="s">
        <v>636</v>
      </c>
      <c r="H32" s="7" t="s">
        <v>57</v>
      </c>
      <c r="I32" s="9" t="s">
        <v>14</v>
      </c>
      <c r="J32" s="9" t="s">
        <v>765</v>
      </c>
      <c r="K32" s="7" t="s">
        <v>229</v>
      </c>
      <c r="L32" s="9"/>
      <c r="M32" s="10" t="s">
        <v>766</v>
      </c>
    </row>
  </sheetData>
  <autoFilter ref="A1:M32"/>
  <hyperlinks>
    <hyperlink ref="M2" r:id="rId1" display="https://www.colombotelegraph.com/index.php/a-historian-in-focus-the-dark-side-of-s-pathmanathan/"/>
    <hyperlink ref="M3" r:id="rId2" display="https://www.tamilguardian.com/content/prof-pathmanathans-new-book-sheds-light-early-jaffna-civilisation"/>
    <hyperlink ref="M4" r:id="rId3" display="https://ibctamil.com/article/an-underground-city-discovered-in-polonnaruwa-sl-1708747886"/>
    <hyperlink ref="M5" r:id="rId4" display="https://www.sundaytimes.lk/180211/plus/head-to-the-east-for-a-feast-of-archaeological-sites-281129.html"/>
    <hyperlink ref="M6" r:id="rId5" display="https://archives1.dailynews.lk/2017/01/04/features/103659"/>
    <hyperlink ref="M7" r:id="rId6" display="https://archives.sundayobserver.lk/2013/03/10/mon13.asp"/>
    <hyperlink ref="M8" r:id="rId7" display="https://tamilnet.com/art.html?artid=35707&amp;catid=79"/>
    <hyperlink ref="M9" r:id="rId8" display="https://www.his.jfn.ac.lk/?p=791"/>
    <hyperlink ref="M10" r:id="rId9" display="https://archives.thinakaran.lk/2011/02/15/?fn=i1102155&amp;p=1"/>
    <hyperlink ref="M11" r:id="rId10" display="https://tamilnet.com/art.html?artid=32063&amp;catid=79"/>
    <hyperlink ref="M12" r:id="rId11" display="https://www.tamilnet.com/art.html?artid=32303&amp;catid=79"/>
    <hyperlink ref="M13" r:id="rId12" display="https://tamilnet.com/art.html?artid=32843&amp;catid=79"/>
    <hyperlink ref="M14" r:id="rId13" display="https://www.tamilnet.com/art.html?artid=32850&amp;catid=13"/>
    <hyperlink ref="M15" r:id="rId14" display="https://www.sundaytimes.lk/000423/plus3.html"/>
    <hyperlink ref="M16" r:id="rId15" display="https://www.tamilguardian.com/content/2000-year-old-tamil-brahmi-inscriptions-discovered-egypts-valley-kings"/>
    <hyperlink ref="M17" r:id="rId16" display="https://www.tamilguardian.com/content/3400-year-old-human-remains-discovered-velanai-jaffna"/>
    <hyperlink ref="M18" r:id="rId17" display="https://www.tamilguardian.com/content/ancient-pandyan-coins-bring-intrigue-and-dispute-sri-lanka"/>
    <hyperlink ref="M19" r:id="rId18" display="https://www.colombotelegraph.com/index.php/book-review-the-historian-as-bridge/"/>
    <hyperlink ref="M20" r:id="rId19" display="https://archives1.sundayobserver.lk/node/26758"/>
    <hyperlink ref="M21" r:id="rId20" display="https://island.lk/little-known-facets-of-sri-lankan-historya-chola-princess-and-the-old-name-for-jaffna/"/>
    <hyperlink ref="M22" r:id="rId21" display="https://island.lk/reptiles-in-rock-and-time-unveiling-sri-lankas-ancient-herpetological-art/"/>
    <hyperlink ref="M23" r:id="rId22" display="https://archives1.sundayobserver.lk/node/44600"/>
    <hyperlink ref="M24" r:id="rId23" display="https://www.tamilguardian.com/index.php/node/955066"/>
    <hyperlink ref="M25" r:id="rId24" display="https://www.colombotelegraph.com/index.php/sri-lankas-role-in-south-asias-earliest-writing-controversy/"/>
    <hyperlink ref="M26" r:id="rId25" display="https://www.tamilguardian.com/content/tamil-civilisation-it-oldest"/>
    <hyperlink ref="M27" r:id="rId26" display="https://www.colombotelegraph.com/index.php/the-tamils-are-the-original-inhabitants-of-sri-lanka/"/>
    <hyperlink ref="M28" r:id="rId27" display="https://www.tamilguardian.com/index.php/content/trilingual-inscription-tamil-chinese-and-persian-recognised-unesco"/>
    <hyperlink ref="M29" r:id="rId28" display="https://tamilwin.com/article/discovery-of-the-inscription-in-trincomalee-1637431493"/>
    <hyperlink ref="M30" r:id="rId29" display="https://thinakkural.lk/article/45056"/>
    <hyperlink ref="M31" r:id="rId30" display="https://www.tamilmirror.lk/91-286936"/>
    <hyperlink ref="M32" r:id="rId31" display="https://www.virakesari.lk/article/16019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
    <col collapsed="false" customWidth="true" hidden="false" outlineLevel="0" max="3" min="3" style="0" width="11"/>
    <col collapsed="false" customWidth="true" hidden="false" outlineLevel="0" max="4" min="4" style="0" width="60"/>
    <col collapsed="false" customWidth="true" hidden="false" outlineLevel="0" max="5" min="5" style="0" width="28"/>
    <col collapsed="false" customWidth="true" hidden="false" outlineLevel="0" max="6" min="6" style="0" width="34"/>
    <col collapsed="false" customWidth="true" hidden="false" outlineLevel="0" max="7" min="7" style="0" width="18"/>
    <col collapsed="false" customWidth="true" hidden="false" outlineLevel="0" max="8" min="8" style="0" width="10"/>
    <col collapsed="false" customWidth="true" hidden="false" outlineLevel="0" max="10" min="9" style="0" width="30"/>
    <col collapsed="false" customWidth="true" hidden="false" outlineLevel="0" max="11" min="11" style="0" width="14"/>
    <col collapsed="false" customWidth="true" hidden="false" outlineLevel="0" max="12" min="12" style="0" width="30"/>
    <col collapsed="false" customWidth="true" hidden="false" outlineLevel="0" max="13" min="13" style="0" width="45"/>
  </cols>
  <sheetData>
    <row r="1" customFormat="false" ht="30" hidden="false" customHeight="true" outlineLevel="0" collapsed="false">
      <c r="A1" s="6" t="s">
        <v>28</v>
      </c>
      <c r="B1" s="6" t="s">
        <v>29</v>
      </c>
      <c r="C1" s="6" t="s">
        <v>30</v>
      </c>
      <c r="D1" s="6" t="s">
        <v>31</v>
      </c>
      <c r="E1" s="6" t="s">
        <v>32</v>
      </c>
      <c r="F1" s="6" t="s">
        <v>33</v>
      </c>
      <c r="G1" s="6" t="s">
        <v>34</v>
      </c>
      <c r="H1" s="6" t="s">
        <v>35</v>
      </c>
      <c r="I1" s="6" t="s">
        <v>36</v>
      </c>
      <c r="J1" s="6" t="s">
        <v>37</v>
      </c>
      <c r="K1" s="6" t="s">
        <v>5</v>
      </c>
      <c r="L1" s="6" t="s">
        <v>38</v>
      </c>
      <c r="M1" s="6" t="s">
        <v>39</v>
      </c>
    </row>
    <row r="2" customFormat="false" ht="23.85" hidden="false" customHeight="false" outlineLevel="0" collapsed="false">
      <c r="A2" s="7" t="s">
        <v>767</v>
      </c>
      <c r="B2" s="8" t="s">
        <v>41</v>
      </c>
      <c r="C2" s="7" t="s">
        <v>768</v>
      </c>
      <c r="D2" s="9" t="s">
        <v>769</v>
      </c>
      <c r="E2" s="9" t="s">
        <v>770</v>
      </c>
      <c r="F2" s="9" t="s">
        <v>771</v>
      </c>
      <c r="G2" s="7" t="s">
        <v>772</v>
      </c>
      <c r="H2" s="7" t="s">
        <v>57</v>
      </c>
      <c r="I2" s="9" t="s">
        <v>14</v>
      </c>
      <c r="J2" s="9" t="s">
        <v>773</v>
      </c>
      <c r="K2" s="7" t="s">
        <v>49</v>
      </c>
      <c r="L2" s="9" t="s">
        <v>774</v>
      </c>
      <c r="M2" s="10" t="s">
        <v>775</v>
      </c>
    </row>
    <row r="3" customFormat="false" ht="23.85" hidden="false" customHeight="false" outlineLevel="0" collapsed="false">
      <c r="A3" s="11" t="s">
        <v>776</v>
      </c>
      <c r="B3" s="12" t="s">
        <v>41</v>
      </c>
      <c r="C3" s="11" t="s">
        <v>777</v>
      </c>
      <c r="D3" s="13" t="s">
        <v>778</v>
      </c>
      <c r="E3" s="13" t="s">
        <v>770</v>
      </c>
      <c r="F3" s="13" t="s">
        <v>771</v>
      </c>
      <c r="G3" s="11" t="s">
        <v>772</v>
      </c>
      <c r="H3" s="11" t="s">
        <v>57</v>
      </c>
      <c r="I3" s="13"/>
      <c r="J3" s="13" t="s">
        <v>779</v>
      </c>
      <c r="K3" s="11" t="s">
        <v>49</v>
      </c>
      <c r="L3" s="13" t="s">
        <v>774</v>
      </c>
      <c r="M3" s="14" t="s">
        <v>780</v>
      </c>
    </row>
    <row r="4" customFormat="false" ht="23.85" hidden="false" customHeight="false" outlineLevel="0" collapsed="false">
      <c r="A4" s="7" t="s">
        <v>781</v>
      </c>
      <c r="B4" s="8" t="s">
        <v>41</v>
      </c>
      <c r="C4" s="7" t="s">
        <v>782</v>
      </c>
      <c r="D4" s="9" t="s">
        <v>783</v>
      </c>
      <c r="E4" s="9" t="s">
        <v>770</v>
      </c>
      <c r="F4" s="9" t="s">
        <v>771</v>
      </c>
      <c r="G4" s="7" t="s">
        <v>772</v>
      </c>
      <c r="H4" s="7" t="s">
        <v>57</v>
      </c>
      <c r="I4" s="9" t="s">
        <v>14</v>
      </c>
      <c r="J4" s="9" t="s">
        <v>784</v>
      </c>
      <c r="K4" s="7" t="s">
        <v>49</v>
      </c>
      <c r="L4" s="9" t="s">
        <v>774</v>
      </c>
      <c r="M4" s="10" t="s">
        <v>785</v>
      </c>
    </row>
    <row r="5" customFormat="false" ht="23.85" hidden="false" customHeight="false" outlineLevel="0" collapsed="false">
      <c r="A5" s="11" t="s">
        <v>786</v>
      </c>
      <c r="B5" s="12" t="s">
        <v>41</v>
      </c>
      <c r="C5" s="11" t="s">
        <v>787</v>
      </c>
      <c r="D5" s="13" t="s">
        <v>788</v>
      </c>
      <c r="E5" s="13" t="s">
        <v>770</v>
      </c>
      <c r="F5" s="13" t="s">
        <v>771</v>
      </c>
      <c r="G5" s="11" t="s">
        <v>772</v>
      </c>
      <c r="H5" s="11" t="s">
        <v>57</v>
      </c>
      <c r="I5" s="13" t="s">
        <v>17</v>
      </c>
      <c r="J5" s="13" t="s">
        <v>789</v>
      </c>
      <c r="K5" s="11" t="s">
        <v>49</v>
      </c>
      <c r="L5" s="13" t="s">
        <v>774</v>
      </c>
      <c r="M5" s="14" t="s">
        <v>790</v>
      </c>
    </row>
    <row r="6" customFormat="false" ht="23.85" hidden="false" customHeight="false" outlineLevel="0" collapsed="false">
      <c r="A6" s="7" t="s">
        <v>791</v>
      </c>
      <c r="B6" s="8" t="s">
        <v>41</v>
      </c>
      <c r="C6" s="7" t="s">
        <v>792</v>
      </c>
      <c r="D6" s="9" t="s">
        <v>793</v>
      </c>
      <c r="E6" s="9" t="s">
        <v>770</v>
      </c>
      <c r="F6" s="9" t="s">
        <v>771</v>
      </c>
      <c r="G6" s="7" t="s">
        <v>772</v>
      </c>
      <c r="H6" s="7" t="s">
        <v>57</v>
      </c>
      <c r="I6" s="9" t="s">
        <v>17</v>
      </c>
      <c r="J6" s="9" t="s">
        <v>789</v>
      </c>
      <c r="K6" s="7" t="s">
        <v>49</v>
      </c>
      <c r="L6" s="9" t="s">
        <v>774</v>
      </c>
      <c r="M6" s="10" t="s">
        <v>794</v>
      </c>
    </row>
    <row r="7" customFormat="false" ht="23.85" hidden="false" customHeight="false" outlineLevel="0" collapsed="false">
      <c r="A7" s="11" t="s">
        <v>795</v>
      </c>
      <c r="B7" s="12" t="s">
        <v>41</v>
      </c>
      <c r="C7" s="11" t="s">
        <v>796</v>
      </c>
      <c r="D7" s="13" t="s">
        <v>797</v>
      </c>
      <c r="E7" s="13" t="s">
        <v>770</v>
      </c>
      <c r="F7" s="13" t="s">
        <v>771</v>
      </c>
      <c r="G7" s="11" t="s">
        <v>772</v>
      </c>
      <c r="H7" s="11" t="s">
        <v>57</v>
      </c>
      <c r="I7" s="13" t="s">
        <v>14</v>
      </c>
      <c r="J7" s="13" t="s">
        <v>798</v>
      </c>
      <c r="K7" s="11" t="s">
        <v>49</v>
      </c>
      <c r="L7" s="13" t="s">
        <v>774</v>
      </c>
      <c r="M7" s="14" t="s">
        <v>799</v>
      </c>
    </row>
    <row r="8" customFormat="false" ht="23.85" hidden="false" customHeight="false" outlineLevel="0" collapsed="false">
      <c r="A8" s="7" t="s">
        <v>800</v>
      </c>
      <c r="B8" s="8" t="s">
        <v>41</v>
      </c>
      <c r="C8" s="7" t="s">
        <v>801</v>
      </c>
      <c r="D8" s="9" t="s">
        <v>802</v>
      </c>
      <c r="E8" s="9" t="s">
        <v>770</v>
      </c>
      <c r="F8" s="9" t="s">
        <v>771</v>
      </c>
      <c r="G8" s="7" t="s">
        <v>772</v>
      </c>
      <c r="H8" s="7" t="s">
        <v>57</v>
      </c>
      <c r="I8" s="9" t="s">
        <v>14</v>
      </c>
      <c r="J8" s="9" t="s">
        <v>803</v>
      </c>
      <c r="K8" s="7" t="s">
        <v>49</v>
      </c>
      <c r="L8" s="9" t="s">
        <v>774</v>
      </c>
      <c r="M8" s="10" t="s">
        <v>804</v>
      </c>
    </row>
    <row r="9" customFormat="false" ht="23.85" hidden="false" customHeight="false" outlineLevel="0" collapsed="false">
      <c r="A9" s="11" t="s">
        <v>805</v>
      </c>
      <c r="B9" s="12" t="s">
        <v>53</v>
      </c>
      <c r="C9" s="11" t="s">
        <v>806</v>
      </c>
      <c r="D9" s="13" t="s">
        <v>807</v>
      </c>
      <c r="E9" s="13" t="s">
        <v>55</v>
      </c>
      <c r="F9" s="13" t="s">
        <v>771</v>
      </c>
      <c r="G9" s="11" t="s">
        <v>772</v>
      </c>
      <c r="H9" s="11" t="s">
        <v>57</v>
      </c>
      <c r="I9" s="13" t="s">
        <v>14</v>
      </c>
      <c r="J9" s="13" t="s">
        <v>808</v>
      </c>
      <c r="K9" s="11" t="s">
        <v>49</v>
      </c>
      <c r="L9" s="13" t="s">
        <v>809</v>
      </c>
      <c r="M9" s="14" t="s">
        <v>810</v>
      </c>
    </row>
    <row r="10" customFormat="false" ht="23.85" hidden="false" customHeight="false" outlineLevel="0" collapsed="false">
      <c r="A10" s="7" t="s">
        <v>811</v>
      </c>
      <c r="B10" s="8" t="s">
        <v>53</v>
      </c>
      <c r="C10" s="7" t="s">
        <v>812</v>
      </c>
      <c r="D10" s="9" t="s">
        <v>813</v>
      </c>
      <c r="E10" s="9" t="s">
        <v>55</v>
      </c>
      <c r="F10" s="9" t="s">
        <v>771</v>
      </c>
      <c r="G10" s="7" t="s">
        <v>772</v>
      </c>
      <c r="H10" s="7" t="s">
        <v>57</v>
      </c>
      <c r="I10" s="9" t="s">
        <v>12</v>
      </c>
      <c r="J10" s="9" t="s">
        <v>814</v>
      </c>
      <c r="K10" s="7" t="s">
        <v>49</v>
      </c>
      <c r="L10" s="9" t="s">
        <v>809</v>
      </c>
      <c r="M10" s="10" t="s">
        <v>815</v>
      </c>
    </row>
    <row r="11" customFormat="false" ht="23.85" hidden="false" customHeight="false" outlineLevel="0" collapsed="false">
      <c r="A11" s="11" t="s">
        <v>816</v>
      </c>
      <c r="B11" s="12" t="s">
        <v>53</v>
      </c>
      <c r="C11" s="11" t="s">
        <v>817</v>
      </c>
      <c r="D11" s="13" t="s">
        <v>818</v>
      </c>
      <c r="E11" s="13" t="s">
        <v>819</v>
      </c>
      <c r="F11" s="13" t="s">
        <v>771</v>
      </c>
      <c r="G11" s="11" t="s">
        <v>772</v>
      </c>
      <c r="H11" s="11" t="s">
        <v>57</v>
      </c>
      <c r="I11" s="13"/>
      <c r="J11" s="13" t="s">
        <v>820</v>
      </c>
      <c r="K11" s="11" t="s">
        <v>49</v>
      </c>
      <c r="L11" s="13" t="s">
        <v>821</v>
      </c>
      <c r="M11" s="14" t="s">
        <v>822</v>
      </c>
    </row>
    <row r="12" customFormat="false" ht="23.85" hidden="false" customHeight="false" outlineLevel="0" collapsed="false">
      <c r="A12" s="7" t="s">
        <v>823</v>
      </c>
      <c r="B12" s="8" t="s">
        <v>53</v>
      </c>
      <c r="C12" s="7" t="s">
        <v>824</v>
      </c>
      <c r="D12" s="9" t="s">
        <v>825</v>
      </c>
      <c r="E12" s="9" t="s">
        <v>55</v>
      </c>
      <c r="F12" s="9" t="s">
        <v>771</v>
      </c>
      <c r="G12" s="7" t="s">
        <v>772</v>
      </c>
      <c r="H12" s="7" t="s">
        <v>57</v>
      </c>
      <c r="I12" s="9" t="s">
        <v>12</v>
      </c>
      <c r="J12" s="9" t="s">
        <v>826</v>
      </c>
      <c r="K12" s="7" t="s">
        <v>49</v>
      </c>
      <c r="L12" s="9" t="s">
        <v>809</v>
      </c>
      <c r="M12" s="10" t="s">
        <v>827</v>
      </c>
    </row>
    <row r="13" customFormat="false" ht="23.85" hidden="false" customHeight="false" outlineLevel="0" collapsed="false">
      <c r="A13" s="11" t="s">
        <v>828</v>
      </c>
      <c r="B13" s="12" t="s">
        <v>53</v>
      </c>
      <c r="C13" s="11" t="s">
        <v>829</v>
      </c>
      <c r="D13" s="13" t="s">
        <v>830</v>
      </c>
      <c r="E13" s="13" t="s">
        <v>55</v>
      </c>
      <c r="F13" s="13" t="s">
        <v>771</v>
      </c>
      <c r="G13" s="11" t="s">
        <v>772</v>
      </c>
      <c r="H13" s="11" t="s">
        <v>57</v>
      </c>
      <c r="I13" s="13" t="s">
        <v>12</v>
      </c>
      <c r="J13" s="13" t="s">
        <v>826</v>
      </c>
      <c r="K13" s="11" t="s">
        <v>49</v>
      </c>
      <c r="L13" s="13" t="s">
        <v>809</v>
      </c>
      <c r="M13" s="14" t="s">
        <v>831</v>
      </c>
    </row>
    <row r="14" customFormat="false" ht="23.85" hidden="false" customHeight="false" outlineLevel="0" collapsed="false">
      <c r="A14" s="7" t="s">
        <v>832</v>
      </c>
      <c r="B14" s="8" t="s">
        <v>53</v>
      </c>
      <c r="C14" s="7" t="s">
        <v>833</v>
      </c>
      <c r="D14" s="9" t="s">
        <v>834</v>
      </c>
      <c r="E14" s="9" t="s">
        <v>770</v>
      </c>
      <c r="F14" s="9" t="s">
        <v>771</v>
      </c>
      <c r="G14" s="7" t="s">
        <v>772</v>
      </c>
      <c r="H14" s="7" t="s">
        <v>57</v>
      </c>
      <c r="I14" s="9" t="s">
        <v>14</v>
      </c>
      <c r="J14" s="9" t="s">
        <v>798</v>
      </c>
      <c r="K14" s="7" t="s">
        <v>49</v>
      </c>
      <c r="L14" s="9" t="s">
        <v>774</v>
      </c>
      <c r="M14" s="10" t="s">
        <v>835</v>
      </c>
    </row>
    <row r="15" customFormat="false" ht="23.85" hidden="false" customHeight="false" outlineLevel="0" collapsed="false">
      <c r="A15" s="11" t="s">
        <v>836</v>
      </c>
      <c r="B15" s="12" t="s">
        <v>53</v>
      </c>
      <c r="C15" s="11" t="s">
        <v>837</v>
      </c>
      <c r="D15" s="13" t="s">
        <v>838</v>
      </c>
      <c r="E15" s="13" t="s">
        <v>770</v>
      </c>
      <c r="F15" s="13" t="s">
        <v>771</v>
      </c>
      <c r="G15" s="11" t="s">
        <v>772</v>
      </c>
      <c r="H15" s="11" t="s">
        <v>57</v>
      </c>
      <c r="I15" s="13" t="s">
        <v>14</v>
      </c>
      <c r="J15" s="13" t="s">
        <v>839</v>
      </c>
      <c r="K15" s="11" t="s">
        <v>49</v>
      </c>
      <c r="L15" s="13" t="s">
        <v>774</v>
      </c>
      <c r="M15" s="14" t="s">
        <v>840</v>
      </c>
    </row>
    <row r="16" customFormat="false" ht="23.85" hidden="false" customHeight="false" outlineLevel="0" collapsed="false">
      <c r="A16" s="7" t="s">
        <v>841</v>
      </c>
      <c r="B16" s="8" t="s">
        <v>53</v>
      </c>
      <c r="C16" s="7" t="s">
        <v>842</v>
      </c>
      <c r="D16" s="9" t="s">
        <v>843</v>
      </c>
      <c r="E16" s="9" t="s">
        <v>55</v>
      </c>
      <c r="F16" s="9" t="s">
        <v>771</v>
      </c>
      <c r="G16" s="7" t="s">
        <v>772</v>
      </c>
      <c r="H16" s="7" t="s">
        <v>57</v>
      </c>
      <c r="I16" s="9" t="s">
        <v>12</v>
      </c>
      <c r="J16" s="9" t="s">
        <v>844</v>
      </c>
      <c r="K16" s="7" t="s">
        <v>49</v>
      </c>
      <c r="L16" s="9" t="s">
        <v>809</v>
      </c>
      <c r="M16" s="10" t="s">
        <v>845</v>
      </c>
    </row>
    <row r="17" customFormat="false" ht="23.85" hidden="false" customHeight="false" outlineLevel="0" collapsed="false">
      <c r="A17" s="11" t="s">
        <v>846</v>
      </c>
      <c r="B17" s="12" t="s">
        <v>53</v>
      </c>
      <c r="C17" s="11" t="s">
        <v>847</v>
      </c>
      <c r="D17" s="13" t="s">
        <v>848</v>
      </c>
      <c r="E17" s="13" t="s">
        <v>55</v>
      </c>
      <c r="F17" s="13" t="s">
        <v>771</v>
      </c>
      <c r="G17" s="11" t="s">
        <v>772</v>
      </c>
      <c r="H17" s="11" t="s">
        <v>57</v>
      </c>
      <c r="I17" s="13" t="s">
        <v>12</v>
      </c>
      <c r="J17" s="13" t="s">
        <v>849</v>
      </c>
      <c r="K17" s="11" t="s">
        <v>49</v>
      </c>
      <c r="L17" s="13" t="s">
        <v>809</v>
      </c>
      <c r="M17" s="14" t="s">
        <v>850</v>
      </c>
    </row>
    <row r="18" customFormat="false" ht="23.85" hidden="false" customHeight="false" outlineLevel="0" collapsed="false">
      <c r="A18" s="7" t="s">
        <v>851</v>
      </c>
      <c r="B18" s="8" t="s">
        <v>53</v>
      </c>
      <c r="C18" s="7" t="s">
        <v>852</v>
      </c>
      <c r="D18" s="9" t="s">
        <v>853</v>
      </c>
      <c r="E18" s="9" t="s">
        <v>770</v>
      </c>
      <c r="F18" s="9" t="s">
        <v>771</v>
      </c>
      <c r="G18" s="7" t="s">
        <v>772</v>
      </c>
      <c r="H18" s="7" t="s">
        <v>57</v>
      </c>
      <c r="I18" s="9"/>
      <c r="J18" s="9" t="s">
        <v>854</v>
      </c>
      <c r="K18" s="7" t="s">
        <v>49</v>
      </c>
      <c r="L18" s="9" t="s">
        <v>774</v>
      </c>
      <c r="M18" s="10" t="s">
        <v>855</v>
      </c>
    </row>
    <row r="19" customFormat="false" ht="23.85" hidden="false" customHeight="false" outlineLevel="0" collapsed="false">
      <c r="A19" s="11" t="s">
        <v>856</v>
      </c>
      <c r="B19" s="12" t="s">
        <v>53</v>
      </c>
      <c r="C19" s="11" t="s">
        <v>857</v>
      </c>
      <c r="D19" s="13" t="s">
        <v>858</v>
      </c>
      <c r="E19" s="13" t="s">
        <v>770</v>
      </c>
      <c r="F19" s="13" t="s">
        <v>771</v>
      </c>
      <c r="G19" s="11" t="s">
        <v>772</v>
      </c>
      <c r="H19" s="11" t="s">
        <v>57</v>
      </c>
      <c r="I19" s="13" t="s">
        <v>14</v>
      </c>
      <c r="J19" s="13" t="s">
        <v>859</v>
      </c>
      <c r="K19" s="11" t="s">
        <v>49</v>
      </c>
      <c r="L19" s="13" t="s">
        <v>774</v>
      </c>
      <c r="M19" s="14" t="s">
        <v>860</v>
      </c>
    </row>
    <row r="20" customFormat="false" ht="23.85" hidden="false" customHeight="false" outlineLevel="0" collapsed="false">
      <c r="A20" s="7" t="s">
        <v>861</v>
      </c>
      <c r="B20" s="8" t="s">
        <v>53</v>
      </c>
      <c r="C20" s="7" t="s">
        <v>862</v>
      </c>
      <c r="D20" s="9" t="s">
        <v>863</v>
      </c>
      <c r="E20" s="9" t="s">
        <v>770</v>
      </c>
      <c r="F20" s="9" t="s">
        <v>771</v>
      </c>
      <c r="G20" s="7" t="s">
        <v>772</v>
      </c>
      <c r="H20" s="7" t="s">
        <v>57</v>
      </c>
      <c r="I20" s="9" t="s">
        <v>14</v>
      </c>
      <c r="J20" s="9" t="s">
        <v>798</v>
      </c>
      <c r="K20" s="7" t="s">
        <v>49</v>
      </c>
      <c r="L20" s="9" t="s">
        <v>774</v>
      </c>
      <c r="M20" s="10" t="s">
        <v>864</v>
      </c>
    </row>
    <row r="21" customFormat="false" ht="23.85" hidden="false" customHeight="false" outlineLevel="0" collapsed="false">
      <c r="A21" s="11" t="s">
        <v>865</v>
      </c>
      <c r="B21" s="12" t="s">
        <v>53</v>
      </c>
      <c r="C21" s="11" t="s">
        <v>866</v>
      </c>
      <c r="D21" s="13" t="s">
        <v>867</v>
      </c>
      <c r="E21" s="13" t="s">
        <v>770</v>
      </c>
      <c r="F21" s="13" t="s">
        <v>771</v>
      </c>
      <c r="G21" s="11" t="s">
        <v>772</v>
      </c>
      <c r="H21" s="11" t="s">
        <v>57</v>
      </c>
      <c r="I21" s="13" t="s">
        <v>321</v>
      </c>
      <c r="J21" s="13" t="s">
        <v>868</v>
      </c>
      <c r="K21" s="11" t="s">
        <v>49</v>
      </c>
      <c r="L21" s="13" t="s">
        <v>774</v>
      </c>
      <c r="M21" s="14" t="s">
        <v>869</v>
      </c>
    </row>
    <row r="22" customFormat="false" ht="23.85" hidden="false" customHeight="false" outlineLevel="0" collapsed="false">
      <c r="A22" s="7" t="s">
        <v>870</v>
      </c>
      <c r="B22" s="8" t="s">
        <v>53</v>
      </c>
      <c r="C22" s="7" t="s">
        <v>871</v>
      </c>
      <c r="D22" s="9" t="s">
        <v>872</v>
      </c>
      <c r="E22" s="9" t="s">
        <v>55</v>
      </c>
      <c r="F22" s="9" t="s">
        <v>771</v>
      </c>
      <c r="G22" s="7" t="s">
        <v>772</v>
      </c>
      <c r="H22" s="7" t="s">
        <v>57</v>
      </c>
      <c r="I22" s="9" t="s">
        <v>12</v>
      </c>
      <c r="J22" s="9" t="s">
        <v>873</v>
      </c>
      <c r="K22" s="7" t="s">
        <v>49</v>
      </c>
      <c r="L22" s="9" t="s">
        <v>809</v>
      </c>
      <c r="M22" s="10" t="s">
        <v>874</v>
      </c>
    </row>
    <row r="23" customFormat="false" ht="23.85" hidden="false" customHeight="false" outlineLevel="0" collapsed="false">
      <c r="A23" s="11" t="s">
        <v>875</v>
      </c>
      <c r="B23" s="12" t="s">
        <v>53</v>
      </c>
      <c r="C23" s="11" t="s">
        <v>876</v>
      </c>
      <c r="D23" s="13" t="s">
        <v>877</v>
      </c>
      <c r="E23" s="13" t="s">
        <v>770</v>
      </c>
      <c r="F23" s="13" t="s">
        <v>771</v>
      </c>
      <c r="G23" s="11" t="s">
        <v>772</v>
      </c>
      <c r="H23" s="11" t="s">
        <v>57</v>
      </c>
      <c r="I23" s="13"/>
      <c r="J23" s="13" t="s">
        <v>878</v>
      </c>
      <c r="K23" s="11" t="s">
        <v>49</v>
      </c>
      <c r="L23" s="13" t="s">
        <v>774</v>
      </c>
      <c r="M23" s="14" t="s">
        <v>879</v>
      </c>
    </row>
    <row r="24" customFormat="false" ht="23.85" hidden="false" customHeight="false" outlineLevel="0" collapsed="false">
      <c r="A24" s="7" t="s">
        <v>880</v>
      </c>
      <c r="B24" s="8" t="s">
        <v>53</v>
      </c>
      <c r="C24" s="7" t="s">
        <v>881</v>
      </c>
      <c r="D24" s="9" t="s">
        <v>882</v>
      </c>
      <c r="E24" s="9" t="s">
        <v>770</v>
      </c>
      <c r="F24" s="9" t="s">
        <v>771</v>
      </c>
      <c r="G24" s="7" t="s">
        <v>772</v>
      </c>
      <c r="H24" s="7" t="s">
        <v>57</v>
      </c>
      <c r="I24" s="9" t="s">
        <v>14</v>
      </c>
      <c r="J24" s="9" t="s">
        <v>883</v>
      </c>
      <c r="K24" s="7" t="s">
        <v>49</v>
      </c>
      <c r="L24" s="9" t="s">
        <v>774</v>
      </c>
      <c r="M24" s="10" t="s">
        <v>884</v>
      </c>
    </row>
    <row r="25" customFormat="false" ht="23.85" hidden="false" customHeight="false" outlineLevel="0" collapsed="false">
      <c r="A25" s="11" t="s">
        <v>885</v>
      </c>
      <c r="B25" s="12" t="s">
        <v>53</v>
      </c>
      <c r="C25" s="11" t="s">
        <v>886</v>
      </c>
      <c r="D25" s="13" t="s">
        <v>887</v>
      </c>
      <c r="E25" s="13" t="s">
        <v>770</v>
      </c>
      <c r="F25" s="13" t="s">
        <v>771</v>
      </c>
      <c r="G25" s="11" t="s">
        <v>772</v>
      </c>
      <c r="H25" s="11" t="s">
        <v>57</v>
      </c>
      <c r="I25" s="13" t="s">
        <v>14</v>
      </c>
      <c r="J25" s="13" t="s">
        <v>888</v>
      </c>
      <c r="K25" s="11" t="s">
        <v>49</v>
      </c>
      <c r="L25" s="13" t="s">
        <v>774</v>
      </c>
      <c r="M25" s="14" t="s">
        <v>889</v>
      </c>
    </row>
    <row r="26" customFormat="false" ht="23.85" hidden="false" customHeight="false" outlineLevel="0" collapsed="false">
      <c r="A26" s="7" t="s">
        <v>890</v>
      </c>
      <c r="B26" s="8" t="s">
        <v>53</v>
      </c>
      <c r="C26" s="7" t="s">
        <v>891</v>
      </c>
      <c r="D26" s="9" t="s">
        <v>892</v>
      </c>
      <c r="E26" s="9" t="s">
        <v>770</v>
      </c>
      <c r="F26" s="9" t="s">
        <v>771</v>
      </c>
      <c r="G26" s="7" t="s">
        <v>772</v>
      </c>
      <c r="H26" s="7" t="s">
        <v>57</v>
      </c>
      <c r="I26" s="9" t="s">
        <v>14</v>
      </c>
      <c r="J26" s="9" t="s">
        <v>893</v>
      </c>
      <c r="K26" s="7" t="s">
        <v>49</v>
      </c>
      <c r="L26" s="9" t="s">
        <v>774</v>
      </c>
      <c r="M26" s="10" t="s">
        <v>894</v>
      </c>
    </row>
    <row r="27" customFormat="false" ht="23.85" hidden="false" customHeight="false" outlineLevel="0" collapsed="false">
      <c r="A27" s="11" t="s">
        <v>895</v>
      </c>
      <c r="B27" s="12" t="s">
        <v>53</v>
      </c>
      <c r="C27" s="11" t="s">
        <v>896</v>
      </c>
      <c r="D27" s="13" t="s">
        <v>897</v>
      </c>
      <c r="E27" s="13" t="s">
        <v>770</v>
      </c>
      <c r="F27" s="13" t="s">
        <v>771</v>
      </c>
      <c r="G27" s="11" t="s">
        <v>772</v>
      </c>
      <c r="H27" s="11" t="s">
        <v>57</v>
      </c>
      <c r="I27" s="13" t="s">
        <v>14</v>
      </c>
      <c r="J27" s="13" t="s">
        <v>898</v>
      </c>
      <c r="K27" s="11" t="s">
        <v>49</v>
      </c>
      <c r="L27" s="13" t="s">
        <v>774</v>
      </c>
      <c r="M27" s="14" t="s">
        <v>899</v>
      </c>
    </row>
    <row r="28" customFormat="false" ht="23.85" hidden="false" customHeight="false" outlineLevel="0" collapsed="false">
      <c r="A28" s="7" t="s">
        <v>900</v>
      </c>
      <c r="B28" s="8" t="s">
        <v>283</v>
      </c>
      <c r="C28" s="7" t="s">
        <v>901</v>
      </c>
      <c r="D28" s="9" t="s">
        <v>902</v>
      </c>
      <c r="E28" s="9" t="s">
        <v>819</v>
      </c>
      <c r="F28" s="9" t="s">
        <v>771</v>
      </c>
      <c r="G28" s="7" t="s">
        <v>772</v>
      </c>
      <c r="H28" s="7" t="s">
        <v>57</v>
      </c>
      <c r="I28" s="9"/>
      <c r="J28" s="9" t="s">
        <v>903</v>
      </c>
      <c r="K28" s="7" t="s">
        <v>49</v>
      </c>
      <c r="L28" s="9" t="s">
        <v>821</v>
      </c>
      <c r="M28" s="10" t="s">
        <v>904</v>
      </c>
    </row>
    <row r="29" customFormat="false" ht="23.85" hidden="false" customHeight="false" outlineLevel="0" collapsed="false">
      <c r="A29" s="11" t="s">
        <v>905</v>
      </c>
      <c r="B29" s="12" t="s">
        <v>283</v>
      </c>
      <c r="C29" s="11" t="s">
        <v>906</v>
      </c>
      <c r="D29" s="13" t="s">
        <v>907</v>
      </c>
      <c r="E29" s="13" t="s">
        <v>819</v>
      </c>
      <c r="F29" s="13" t="s">
        <v>771</v>
      </c>
      <c r="G29" s="11" t="s">
        <v>772</v>
      </c>
      <c r="H29" s="11" t="s">
        <v>57</v>
      </c>
      <c r="I29" s="13" t="s">
        <v>58</v>
      </c>
      <c r="J29" s="13" t="s">
        <v>908</v>
      </c>
      <c r="K29" s="11" t="s">
        <v>49</v>
      </c>
      <c r="L29" s="13" t="s">
        <v>821</v>
      </c>
      <c r="M29" s="14" t="s">
        <v>909</v>
      </c>
    </row>
    <row r="30" customFormat="false" ht="23.85" hidden="false" customHeight="false" outlineLevel="0" collapsed="false">
      <c r="A30" s="7" t="s">
        <v>910</v>
      </c>
      <c r="B30" s="8" t="s">
        <v>283</v>
      </c>
      <c r="C30" s="7" t="s">
        <v>911</v>
      </c>
      <c r="D30" s="9" t="s">
        <v>912</v>
      </c>
      <c r="E30" s="9" t="s">
        <v>55</v>
      </c>
      <c r="F30" s="9" t="s">
        <v>771</v>
      </c>
      <c r="G30" s="7" t="s">
        <v>772</v>
      </c>
      <c r="H30" s="7" t="s">
        <v>57</v>
      </c>
      <c r="I30" s="9" t="s">
        <v>58</v>
      </c>
      <c r="J30" s="9" t="s">
        <v>913</v>
      </c>
      <c r="K30" s="7" t="s">
        <v>49</v>
      </c>
      <c r="L30" s="9" t="s">
        <v>809</v>
      </c>
      <c r="M30" s="10" t="s">
        <v>914</v>
      </c>
    </row>
    <row r="31" customFormat="false" ht="23.85" hidden="false" customHeight="false" outlineLevel="0" collapsed="false">
      <c r="A31" s="11" t="s">
        <v>915</v>
      </c>
      <c r="B31" s="12" t="s">
        <v>283</v>
      </c>
      <c r="C31" s="11" t="s">
        <v>916</v>
      </c>
      <c r="D31" s="13" t="s">
        <v>917</v>
      </c>
      <c r="E31" s="13" t="s">
        <v>55</v>
      </c>
      <c r="F31" s="13" t="s">
        <v>771</v>
      </c>
      <c r="G31" s="11" t="s">
        <v>772</v>
      </c>
      <c r="H31" s="11" t="s">
        <v>57</v>
      </c>
      <c r="I31" s="13" t="s">
        <v>12</v>
      </c>
      <c r="J31" s="13" t="s">
        <v>918</v>
      </c>
      <c r="K31" s="11" t="s">
        <v>49</v>
      </c>
      <c r="L31" s="13" t="s">
        <v>809</v>
      </c>
      <c r="M31" s="14" t="s">
        <v>919</v>
      </c>
    </row>
    <row r="32" customFormat="false" ht="23.85" hidden="false" customHeight="false" outlineLevel="0" collapsed="false">
      <c r="A32" s="7" t="s">
        <v>920</v>
      </c>
      <c r="B32" s="8" t="s">
        <v>283</v>
      </c>
      <c r="C32" s="7" t="s">
        <v>921</v>
      </c>
      <c r="D32" s="9" t="s">
        <v>922</v>
      </c>
      <c r="E32" s="9" t="s">
        <v>819</v>
      </c>
      <c r="F32" s="9" t="s">
        <v>771</v>
      </c>
      <c r="G32" s="7" t="s">
        <v>772</v>
      </c>
      <c r="H32" s="7" t="s">
        <v>57</v>
      </c>
      <c r="I32" s="9"/>
      <c r="J32" s="9" t="s">
        <v>820</v>
      </c>
      <c r="K32" s="7" t="s">
        <v>49</v>
      </c>
      <c r="L32" s="9" t="s">
        <v>821</v>
      </c>
      <c r="M32" s="10" t="s">
        <v>923</v>
      </c>
    </row>
    <row r="33" customFormat="false" ht="23.85" hidden="false" customHeight="false" outlineLevel="0" collapsed="false">
      <c r="A33" s="11" t="s">
        <v>924</v>
      </c>
      <c r="B33" s="12" t="s">
        <v>283</v>
      </c>
      <c r="C33" s="11" t="s">
        <v>925</v>
      </c>
      <c r="D33" s="13" t="s">
        <v>926</v>
      </c>
      <c r="E33" s="13" t="s">
        <v>55</v>
      </c>
      <c r="F33" s="13" t="s">
        <v>771</v>
      </c>
      <c r="G33" s="11" t="s">
        <v>772</v>
      </c>
      <c r="H33" s="11" t="s">
        <v>57</v>
      </c>
      <c r="I33" s="13"/>
      <c r="J33" s="13" t="s">
        <v>927</v>
      </c>
      <c r="K33" s="11" t="s">
        <v>49</v>
      </c>
      <c r="L33" s="13" t="s">
        <v>809</v>
      </c>
      <c r="M33" s="14" t="s">
        <v>928</v>
      </c>
    </row>
    <row r="34" customFormat="false" ht="23.85" hidden="false" customHeight="false" outlineLevel="0" collapsed="false">
      <c r="A34" s="7" t="s">
        <v>929</v>
      </c>
      <c r="B34" s="8" t="s">
        <v>283</v>
      </c>
      <c r="C34" s="7" t="s">
        <v>930</v>
      </c>
      <c r="D34" s="9" t="s">
        <v>931</v>
      </c>
      <c r="E34" s="9" t="s">
        <v>819</v>
      </c>
      <c r="F34" s="9" t="s">
        <v>771</v>
      </c>
      <c r="G34" s="7" t="s">
        <v>772</v>
      </c>
      <c r="H34" s="7" t="s">
        <v>57</v>
      </c>
      <c r="I34" s="9"/>
      <c r="J34" s="9" t="s">
        <v>932</v>
      </c>
      <c r="K34" s="7" t="s">
        <v>49</v>
      </c>
      <c r="L34" s="9" t="s">
        <v>821</v>
      </c>
      <c r="M34" s="10" t="s">
        <v>933</v>
      </c>
    </row>
    <row r="35" customFormat="false" ht="23.85" hidden="false" customHeight="false" outlineLevel="0" collapsed="false">
      <c r="A35" s="11" t="s">
        <v>934</v>
      </c>
      <c r="B35" s="12" t="s">
        <v>283</v>
      </c>
      <c r="C35" s="11" t="s">
        <v>935</v>
      </c>
      <c r="D35" s="13" t="s">
        <v>936</v>
      </c>
      <c r="E35" s="13" t="s">
        <v>55</v>
      </c>
      <c r="F35" s="13" t="s">
        <v>771</v>
      </c>
      <c r="G35" s="11" t="s">
        <v>772</v>
      </c>
      <c r="H35" s="11" t="s">
        <v>57</v>
      </c>
      <c r="I35" s="13" t="s">
        <v>58</v>
      </c>
      <c r="J35" s="13" t="s">
        <v>937</v>
      </c>
      <c r="K35" s="11" t="s">
        <v>49</v>
      </c>
      <c r="L35" s="13" t="s">
        <v>809</v>
      </c>
      <c r="M35" s="14" t="s">
        <v>938</v>
      </c>
    </row>
    <row r="36" customFormat="false" ht="23.85" hidden="false" customHeight="false" outlineLevel="0" collapsed="false">
      <c r="A36" s="7" t="s">
        <v>939</v>
      </c>
      <c r="B36" s="8" t="s">
        <v>283</v>
      </c>
      <c r="C36" s="7" t="s">
        <v>940</v>
      </c>
      <c r="D36" s="9" t="s">
        <v>941</v>
      </c>
      <c r="E36" s="9" t="s">
        <v>55</v>
      </c>
      <c r="F36" s="9" t="s">
        <v>771</v>
      </c>
      <c r="G36" s="7" t="s">
        <v>772</v>
      </c>
      <c r="H36" s="7" t="s">
        <v>57</v>
      </c>
      <c r="I36" s="9" t="s">
        <v>12</v>
      </c>
      <c r="J36" s="9" t="s">
        <v>942</v>
      </c>
      <c r="K36" s="7" t="s">
        <v>49</v>
      </c>
      <c r="L36" s="9" t="s">
        <v>809</v>
      </c>
      <c r="M36" s="10" t="s">
        <v>943</v>
      </c>
    </row>
    <row r="37" customFormat="false" ht="23.85" hidden="false" customHeight="false" outlineLevel="0" collapsed="false">
      <c r="A37" s="11" t="s">
        <v>944</v>
      </c>
      <c r="B37" s="12" t="s">
        <v>283</v>
      </c>
      <c r="C37" s="11" t="s">
        <v>945</v>
      </c>
      <c r="D37" s="13" t="s">
        <v>946</v>
      </c>
      <c r="E37" s="13" t="s">
        <v>55</v>
      </c>
      <c r="F37" s="13" t="s">
        <v>771</v>
      </c>
      <c r="G37" s="11" t="s">
        <v>772</v>
      </c>
      <c r="H37" s="11" t="s">
        <v>57</v>
      </c>
      <c r="I37" s="13" t="s">
        <v>58</v>
      </c>
      <c r="J37" s="13" t="s">
        <v>947</v>
      </c>
      <c r="K37" s="11" t="s">
        <v>49</v>
      </c>
      <c r="L37" s="13" t="s">
        <v>809</v>
      </c>
      <c r="M37" s="14" t="s">
        <v>948</v>
      </c>
    </row>
    <row r="38" customFormat="false" ht="23.85" hidden="false" customHeight="false" outlineLevel="0" collapsed="false">
      <c r="A38" s="7" t="s">
        <v>949</v>
      </c>
      <c r="B38" s="8" t="s">
        <v>283</v>
      </c>
      <c r="C38" s="7" t="s">
        <v>950</v>
      </c>
      <c r="D38" s="9" t="s">
        <v>951</v>
      </c>
      <c r="E38" s="9" t="s">
        <v>819</v>
      </c>
      <c r="F38" s="9" t="s">
        <v>771</v>
      </c>
      <c r="G38" s="7" t="s">
        <v>772</v>
      </c>
      <c r="H38" s="7" t="s">
        <v>57</v>
      </c>
      <c r="I38" s="9"/>
      <c r="J38" s="9" t="s">
        <v>820</v>
      </c>
      <c r="K38" s="7" t="s">
        <v>49</v>
      </c>
      <c r="L38" s="9" t="s">
        <v>821</v>
      </c>
      <c r="M38" s="10" t="s">
        <v>952</v>
      </c>
    </row>
    <row r="39" customFormat="false" ht="23.85" hidden="false" customHeight="false" outlineLevel="0" collapsed="false">
      <c r="A39" s="11" t="s">
        <v>953</v>
      </c>
      <c r="B39" s="12" t="s">
        <v>283</v>
      </c>
      <c r="C39" s="11" t="s">
        <v>954</v>
      </c>
      <c r="D39" s="13" t="s">
        <v>955</v>
      </c>
      <c r="E39" s="13" t="s">
        <v>55</v>
      </c>
      <c r="F39" s="13" t="s">
        <v>771</v>
      </c>
      <c r="G39" s="11" t="s">
        <v>772</v>
      </c>
      <c r="H39" s="11" t="s">
        <v>57</v>
      </c>
      <c r="I39" s="13" t="s">
        <v>12</v>
      </c>
      <c r="J39" s="13" t="s">
        <v>956</v>
      </c>
      <c r="K39" s="11" t="s">
        <v>49</v>
      </c>
      <c r="L39" s="13" t="s">
        <v>809</v>
      </c>
      <c r="M39" s="14" t="s">
        <v>957</v>
      </c>
    </row>
    <row r="40" customFormat="false" ht="23.85" hidden="false" customHeight="false" outlineLevel="0" collapsed="false">
      <c r="A40" s="7" t="s">
        <v>958</v>
      </c>
      <c r="B40" s="8" t="s">
        <v>283</v>
      </c>
      <c r="C40" s="7" t="s">
        <v>959</v>
      </c>
      <c r="D40" s="9" t="s">
        <v>960</v>
      </c>
      <c r="E40" s="9" t="s">
        <v>819</v>
      </c>
      <c r="F40" s="9" t="s">
        <v>771</v>
      </c>
      <c r="G40" s="7" t="s">
        <v>772</v>
      </c>
      <c r="H40" s="7" t="s">
        <v>57</v>
      </c>
      <c r="I40" s="9"/>
      <c r="J40" s="9" t="s">
        <v>820</v>
      </c>
      <c r="K40" s="7" t="s">
        <v>49</v>
      </c>
      <c r="L40" s="9" t="s">
        <v>821</v>
      </c>
      <c r="M40" s="10" t="s">
        <v>961</v>
      </c>
    </row>
    <row r="41" customFormat="false" ht="23.85" hidden="false" customHeight="false" outlineLevel="0" collapsed="false">
      <c r="A41" s="11" t="s">
        <v>962</v>
      </c>
      <c r="B41" s="12" t="s">
        <v>283</v>
      </c>
      <c r="C41" s="11" t="s">
        <v>963</v>
      </c>
      <c r="D41" s="13" t="s">
        <v>964</v>
      </c>
      <c r="E41" s="13" t="s">
        <v>55</v>
      </c>
      <c r="F41" s="13" t="s">
        <v>771</v>
      </c>
      <c r="G41" s="11" t="s">
        <v>772</v>
      </c>
      <c r="H41" s="11" t="s">
        <v>57</v>
      </c>
      <c r="I41" s="13" t="s">
        <v>12</v>
      </c>
      <c r="J41" s="13" t="s">
        <v>965</v>
      </c>
      <c r="K41" s="11" t="s">
        <v>49</v>
      </c>
      <c r="L41" s="13" t="s">
        <v>809</v>
      </c>
      <c r="M41" s="14" t="s">
        <v>966</v>
      </c>
    </row>
    <row r="42" customFormat="false" ht="23.85" hidden="false" customHeight="false" outlineLevel="0" collapsed="false">
      <c r="A42" s="7" t="s">
        <v>967</v>
      </c>
      <c r="B42" s="8" t="s">
        <v>283</v>
      </c>
      <c r="C42" s="7" t="s">
        <v>968</v>
      </c>
      <c r="D42" s="9" t="s">
        <v>969</v>
      </c>
      <c r="E42" s="9" t="s">
        <v>55</v>
      </c>
      <c r="F42" s="9" t="s">
        <v>771</v>
      </c>
      <c r="G42" s="7" t="s">
        <v>772</v>
      </c>
      <c r="H42" s="7" t="s">
        <v>57</v>
      </c>
      <c r="I42" s="9" t="s">
        <v>12</v>
      </c>
      <c r="J42" s="9" t="s">
        <v>970</v>
      </c>
      <c r="K42" s="7" t="s">
        <v>49</v>
      </c>
      <c r="L42" s="9" t="s">
        <v>809</v>
      </c>
      <c r="M42" s="10" t="s">
        <v>971</v>
      </c>
    </row>
    <row r="43" customFormat="false" ht="23.85" hidden="false" customHeight="false" outlineLevel="0" collapsed="false">
      <c r="A43" s="11" t="s">
        <v>972</v>
      </c>
      <c r="B43" s="12" t="s">
        <v>283</v>
      </c>
      <c r="C43" s="11" t="s">
        <v>973</v>
      </c>
      <c r="D43" s="13" t="s">
        <v>974</v>
      </c>
      <c r="E43" s="13" t="s">
        <v>819</v>
      </c>
      <c r="F43" s="13" t="s">
        <v>771</v>
      </c>
      <c r="G43" s="11" t="s">
        <v>772</v>
      </c>
      <c r="H43" s="11" t="s">
        <v>57</v>
      </c>
      <c r="I43" s="13" t="s">
        <v>12</v>
      </c>
      <c r="J43" s="13" t="s">
        <v>975</v>
      </c>
      <c r="K43" s="11" t="s">
        <v>49</v>
      </c>
      <c r="L43" s="13" t="s">
        <v>821</v>
      </c>
      <c r="M43" s="14" t="s">
        <v>976</v>
      </c>
    </row>
    <row r="44" customFormat="false" ht="23.85" hidden="false" customHeight="false" outlineLevel="0" collapsed="false">
      <c r="A44" s="7" t="s">
        <v>977</v>
      </c>
      <c r="B44" s="8" t="s">
        <v>283</v>
      </c>
      <c r="C44" s="7" t="s">
        <v>978</v>
      </c>
      <c r="D44" s="9" t="s">
        <v>979</v>
      </c>
      <c r="E44" s="9" t="s">
        <v>55</v>
      </c>
      <c r="F44" s="9" t="s">
        <v>771</v>
      </c>
      <c r="G44" s="7" t="s">
        <v>772</v>
      </c>
      <c r="H44" s="7" t="s">
        <v>57</v>
      </c>
      <c r="I44" s="9" t="s">
        <v>12</v>
      </c>
      <c r="J44" s="9" t="s">
        <v>980</v>
      </c>
      <c r="K44" s="7" t="s">
        <v>49</v>
      </c>
      <c r="L44" s="9" t="s">
        <v>809</v>
      </c>
      <c r="M44" s="10" t="s">
        <v>981</v>
      </c>
    </row>
    <row r="45" customFormat="false" ht="23.85" hidden="false" customHeight="false" outlineLevel="0" collapsed="false">
      <c r="A45" s="11" t="s">
        <v>982</v>
      </c>
      <c r="B45" s="12" t="s">
        <v>283</v>
      </c>
      <c r="C45" s="11" t="s">
        <v>983</v>
      </c>
      <c r="D45" s="13" t="s">
        <v>984</v>
      </c>
      <c r="E45" s="13" t="s">
        <v>55</v>
      </c>
      <c r="F45" s="13" t="s">
        <v>771</v>
      </c>
      <c r="G45" s="11" t="s">
        <v>772</v>
      </c>
      <c r="H45" s="11" t="s">
        <v>57</v>
      </c>
      <c r="I45" s="13" t="s">
        <v>12</v>
      </c>
      <c r="J45" s="13" t="s">
        <v>985</v>
      </c>
      <c r="K45" s="11" t="s">
        <v>49</v>
      </c>
      <c r="L45" s="13" t="s">
        <v>809</v>
      </c>
      <c r="M45" s="14" t="s">
        <v>986</v>
      </c>
    </row>
    <row r="46" customFormat="false" ht="23.85" hidden="false" customHeight="false" outlineLevel="0" collapsed="false">
      <c r="A46" s="7" t="s">
        <v>987</v>
      </c>
      <c r="B46" s="8" t="s">
        <v>283</v>
      </c>
      <c r="C46" s="7" t="s">
        <v>988</v>
      </c>
      <c r="D46" s="9" t="s">
        <v>989</v>
      </c>
      <c r="E46" s="9" t="s">
        <v>55</v>
      </c>
      <c r="F46" s="9" t="s">
        <v>771</v>
      </c>
      <c r="G46" s="7" t="s">
        <v>772</v>
      </c>
      <c r="H46" s="7" t="s">
        <v>57</v>
      </c>
      <c r="I46" s="9" t="s">
        <v>12</v>
      </c>
      <c r="J46" s="9" t="s">
        <v>990</v>
      </c>
      <c r="K46" s="7" t="s">
        <v>49</v>
      </c>
      <c r="L46" s="9" t="s">
        <v>809</v>
      </c>
      <c r="M46" s="10" t="s">
        <v>991</v>
      </c>
    </row>
    <row r="47" customFormat="false" ht="23.85" hidden="false" customHeight="false" outlineLevel="0" collapsed="false">
      <c r="A47" s="11" t="s">
        <v>992</v>
      </c>
      <c r="B47" s="12" t="s">
        <v>283</v>
      </c>
      <c r="C47" s="11" t="s">
        <v>993</v>
      </c>
      <c r="D47" s="13" t="s">
        <v>994</v>
      </c>
      <c r="E47" s="13" t="s">
        <v>55</v>
      </c>
      <c r="F47" s="13" t="s">
        <v>771</v>
      </c>
      <c r="G47" s="11" t="s">
        <v>772</v>
      </c>
      <c r="H47" s="11" t="s">
        <v>57</v>
      </c>
      <c r="I47" s="13" t="s">
        <v>12</v>
      </c>
      <c r="J47" s="13" t="s">
        <v>995</v>
      </c>
      <c r="K47" s="11" t="s">
        <v>49</v>
      </c>
      <c r="L47" s="13" t="s">
        <v>809</v>
      </c>
      <c r="M47" s="14" t="s">
        <v>996</v>
      </c>
    </row>
    <row r="48" customFormat="false" ht="23.85" hidden="false" customHeight="false" outlineLevel="0" collapsed="false">
      <c r="A48" s="7" t="s">
        <v>997</v>
      </c>
      <c r="B48" s="8" t="s">
        <v>283</v>
      </c>
      <c r="C48" s="7" t="s">
        <v>998</v>
      </c>
      <c r="D48" s="9" t="s">
        <v>999</v>
      </c>
      <c r="E48" s="9" t="s">
        <v>55</v>
      </c>
      <c r="F48" s="9" t="s">
        <v>771</v>
      </c>
      <c r="G48" s="7" t="s">
        <v>772</v>
      </c>
      <c r="H48" s="7" t="s">
        <v>57</v>
      </c>
      <c r="I48" s="9" t="s">
        <v>12</v>
      </c>
      <c r="J48" s="9" t="s">
        <v>1000</v>
      </c>
      <c r="K48" s="7" t="s">
        <v>49</v>
      </c>
      <c r="L48" s="9" t="s">
        <v>809</v>
      </c>
      <c r="M48" s="10" t="s">
        <v>1001</v>
      </c>
    </row>
    <row r="49" customFormat="false" ht="23.85" hidden="false" customHeight="false" outlineLevel="0" collapsed="false">
      <c r="A49" s="11" t="s">
        <v>1002</v>
      </c>
      <c r="B49" s="12" t="s">
        <v>283</v>
      </c>
      <c r="C49" s="11" t="s">
        <v>1003</v>
      </c>
      <c r="D49" s="13" t="s">
        <v>1004</v>
      </c>
      <c r="E49" s="13" t="s">
        <v>55</v>
      </c>
      <c r="F49" s="13" t="s">
        <v>771</v>
      </c>
      <c r="G49" s="11" t="s">
        <v>772</v>
      </c>
      <c r="H49" s="11" t="s">
        <v>57</v>
      </c>
      <c r="I49" s="13" t="s">
        <v>12</v>
      </c>
      <c r="J49" s="13" t="s">
        <v>1005</v>
      </c>
      <c r="K49" s="11" t="s">
        <v>49</v>
      </c>
      <c r="L49" s="13" t="s">
        <v>809</v>
      </c>
      <c r="M49" s="14" t="s">
        <v>1006</v>
      </c>
    </row>
    <row r="50" customFormat="false" ht="23.85" hidden="false" customHeight="false" outlineLevel="0" collapsed="false">
      <c r="A50" s="7" t="s">
        <v>1007</v>
      </c>
      <c r="B50" s="8" t="s">
        <v>283</v>
      </c>
      <c r="C50" s="7" t="s">
        <v>1008</v>
      </c>
      <c r="D50" s="9" t="s">
        <v>1009</v>
      </c>
      <c r="E50" s="9" t="s">
        <v>55</v>
      </c>
      <c r="F50" s="9" t="s">
        <v>771</v>
      </c>
      <c r="G50" s="7" t="s">
        <v>772</v>
      </c>
      <c r="H50" s="7" t="s">
        <v>57</v>
      </c>
      <c r="I50" s="9" t="s">
        <v>12</v>
      </c>
      <c r="J50" s="9" t="s">
        <v>1010</v>
      </c>
      <c r="K50" s="7" t="s">
        <v>49</v>
      </c>
      <c r="L50" s="9" t="s">
        <v>809</v>
      </c>
      <c r="M50" s="10" t="s">
        <v>1011</v>
      </c>
    </row>
    <row r="51" customFormat="false" ht="23.85" hidden="false" customHeight="false" outlineLevel="0" collapsed="false">
      <c r="A51" s="11" t="s">
        <v>1012</v>
      </c>
      <c r="B51" s="12" t="s">
        <v>283</v>
      </c>
      <c r="C51" s="11" t="s">
        <v>1013</v>
      </c>
      <c r="D51" s="13" t="s">
        <v>1014</v>
      </c>
      <c r="E51" s="13" t="s">
        <v>819</v>
      </c>
      <c r="F51" s="13" t="s">
        <v>771</v>
      </c>
      <c r="G51" s="11" t="s">
        <v>772</v>
      </c>
      <c r="H51" s="11" t="s">
        <v>57</v>
      </c>
      <c r="I51" s="13" t="s">
        <v>12</v>
      </c>
      <c r="J51" s="13" t="s">
        <v>1015</v>
      </c>
      <c r="K51" s="11" t="s">
        <v>49</v>
      </c>
      <c r="L51" s="13" t="s">
        <v>821</v>
      </c>
      <c r="M51" s="14" t="s">
        <v>1016</v>
      </c>
    </row>
    <row r="52" customFormat="false" ht="23.85" hidden="false" customHeight="false" outlineLevel="0" collapsed="false">
      <c r="A52" s="7" t="s">
        <v>1017</v>
      </c>
      <c r="B52" s="8" t="s">
        <v>283</v>
      </c>
      <c r="C52" s="7" t="s">
        <v>1018</v>
      </c>
      <c r="D52" s="9" t="s">
        <v>1019</v>
      </c>
      <c r="E52" s="9" t="s">
        <v>55</v>
      </c>
      <c r="F52" s="9" t="s">
        <v>771</v>
      </c>
      <c r="G52" s="7" t="s">
        <v>772</v>
      </c>
      <c r="H52" s="7" t="s">
        <v>57</v>
      </c>
      <c r="I52" s="9" t="s">
        <v>12</v>
      </c>
      <c r="J52" s="9" t="s">
        <v>1020</v>
      </c>
      <c r="K52" s="7" t="s">
        <v>49</v>
      </c>
      <c r="L52" s="9" t="s">
        <v>809</v>
      </c>
      <c r="M52" s="10" t="s">
        <v>1021</v>
      </c>
    </row>
    <row r="53" customFormat="false" ht="23.85" hidden="false" customHeight="false" outlineLevel="0" collapsed="false">
      <c r="A53" s="11" t="s">
        <v>1022</v>
      </c>
      <c r="B53" s="12" t="s">
        <v>283</v>
      </c>
      <c r="C53" s="11" t="s">
        <v>1023</v>
      </c>
      <c r="D53" s="13" t="s">
        <v>1024</v>
      </c>
      <c r="E53" s="13" t="s">
        <v>55</v>
      </c>
      <c r="F53" s="13" t="s">
        <v>771</v>
      </c>
      <c r="G53" s="11" t="s">
        <v>772</v>
      </c>
      <c r="H53" s="11" t="s">
        <v>57</v>
      </c>
      <c r="I53" s="13" t="s">
        <v>12</v>
      </c>
      <c r="J53" s="13" t="s">
        <v>1025</v>
      </c>
      <c r="K53" s="11" t="s">
        <v>49</v>
      </c>
      <c r="L53" s="13" t="s">
        <v>809</v>
      </c>
      <c r="M53" s="14" t="s">
        <v>1026</v>
      </c>
    </row>
    <row r="54" customFormat="false" ht="23.85" hidden="false" customHeight="false" outlineLevel="0" collapsed="false">
      <c r="A54" s="7" t="s">
        <v>1027</v>
      </c>
      <c r="B54" s="8" t="s">
        <v>283</v>
      </c>
      <c r="C54" s="7" t="s">
        <v>1028</v>
      </c>
      <c r="D54" s="9" t="s">
        <v>1029</v>
      </c>
      <c r="E54" s="9" t="s">
        <v>55</v>
      </c>
      <c r="F54" s="9" t="s">
        <v>771</v>
      </c>
      <c r="G54" s="7" t="s">
        <v>772</v>
      </c>
      <c r="H54" s="7" t="s">
        <v>57</v>
      </c>
      <c r="I54" s="9" t="s">
        <v>58</v>
      </c>
      <c r="J54" s="9" t="s">
        <v>1030</v>
      </c>
      <c r="K54" s="7" t="s">
        <v>49</v>
      </c>
      <c r="L54" s="9" t="s">
        <v>809</v>
      </c>
      <c r="M54" s="10" t="s">
        <v>1031</v>
      </c>
    </row>
    <row r="55" customFormat="false" ht="23.85" hidden="false" customHeight="false" outlineLevel="0" collapsed="false">
      <c r="A55" s="11" t="s">
        <v>1032</v>
      </c>
      <c r="B55" s="12" t="s">
        <v>292</v>
      </c>
      <c r="C55" s="11" t="s">
        <v>1033</v>
      </c>
      <c r="D55" s="13" t="s">
        <v>1034</v>
      </c>
      <c r="E55" s="13" t="s">
        <v>55</v>
      </c>
      <c r="F55" s="13" t="s">
        <v>771</v>
      </c>
      <c r="G55" s="11" t="s">
        <v>772</v>
      </c>
      <c r="H55" s="11" t="s">
        <v>57</v>
      </c>
      <c r="I55" s="13" t="s">
        <v>12</v>
      </c>
      <c r="J55" s="13" t="s">
        <v>1035</v>
      </c>
      <c r="K55" s="11" t="s">
        <v>49</v>
      </c>
      <c r="L55" s="13" t="s">
        <v>1036</v>
      </c>
      <c r="M55" s="14" t="s">
        <v>1037</v>
      </c>
    </row>
    <row r="56" customFormat="false" ht="23.85" hidden="false" customHeight="false" outlineLevel="0" collapsed="false">
      <c r="A56" s="7" t="s">
        <v>1038</v>
      </c>
      <c r="B56" s="8" t="s">
        <v>292</v>
      </c>
      <c r="C56" s="7" t="s">
        <v>1039</v>
      </c>
      <c r="D56" s="9" t="s">
        <v>1040</v>
      </c>
      <c r="E56" s="9" t="s">
        <v>55</v>
      </c>
      <c r="F56" s="9" t="s">
        <v>771</v>
      </c>
      <c r="G56" s="7" t="s">
        <v>772</v>
      </c>
      <c r="H56" s="7" t="s">
        <v>57</v>
      </c>
      <c r="I56" s="9" t="s">
        <v>12</v>
      </c>
      <c r="J56" s="9" t="s">
        <v>1041</v>
      </c>
      <c r="K56" s="7" t="s">
        <v>49</v>
      </c>
      <c r="L56" s="9" t="s">
        <v>1036</v>
      </c>
      <c r="M56" s="10" t="s">
        <v>1042</v>
      </c>
    </row>
    <row r="57" customFormat="false" ht="23.85" hidden="false" customHeight="false" outlineLevel="0" collapsed="false">
      <c r="A57" s="11" t="s">
        <v>1043</v>
      </c>
      <c r="B57" s="12" t="s">
        <v>292</v>
      </c>
      <c r="C57" s="11" t="s">
        <v>1044</v>
      </c>
      <c r="D57" s="13" t="s">
        <v>1045</v>
      </c>
      <c r="E57" s="13" t="s">
        <v>55</v>
      </c>
      <c r="F57" s="13" t="s">
        <v>771</v>
      </c>
      <c r="G57" s="11" t="s">
        <v>772</v>
      </c>
      <c r="H57" s="11" t="s">
        <v>57</v>
      </c>
      <c r="I57" s="13" t="s">
        <v>12</v>
      </c>
      <c r="J57" s="13" t="s">
        <v>1046</v>
      </c>
      <c r="K57" s="11" t="s">
        <v>49</v>
      </c>
      <c r="L57" s="13" t="s">
        <v>1036</v>
      </c>
      <c r="M57" s="14" t="s">
        <v>1047</v>
      </c>
    </row>
    <row r="58" customFormat="false" ht="23.85" hidden="false" customHeight="false" outlineLevel="0" collapsed="false">
      <c r="A58" s="7" t="s">
        <v>1048</v>
      </c>
      <c r="B58" s="8" t="s">
        <v>292</v>
      </c>
      <c r="C58" s="7" t="s">
        <v>1049</v>
      </c>
      <c r="D58" s="9" t="s">
        <v>1050</v>
      </c>
      <c r="E58" s="9" t="s">
        <v>55</v>
      </c>
      <c r="F58" s="9" t="s">
        <v>771</v>
      </c>
      <c r="G58" s="7" t="s">
        <v>772</v>
      </c>
      <c r="H58" s="7" t="s">
        <v>57</v>
      </c>
      <c r="I58" s="9" t="s">
        <v>12</v>
      </c>
      <c r="J58" s="9" t="s">
        <v>1051</v>
      </c>
      <c r="K58" s="7" t="s">
        <v>49</v>
      </c>
      <c r="L58" s="9" t="s">
        <v>1036</v>
      </c>
      <c r="M58" s="10" t="s">
        <v>1052</v>
      </c>
    </row>
    <row r="59" customFormat="false" ht="23.85" hidden="false" customHeight="false" outlineLevel="0" collapsed="false">
      <c r="A59" s="11" t="s">
        <v>1053</v>
      </c>
      <c r="B59" s="12" t="s">
        <v>292</v>
      </c>
      <c r="C59" s="11" t="s">
        <v>1054</v>
      </c>
      <c r="D59" s="13" t="s">
        <v>1055</v>
      </c>
      <c r="E59" s="13" t="s">
        <v>55</v>
      </c>
      <c r="F59" s="13" t="s">
        <v>771</v>
      </c>
      <c r="G59" s="11" t="s">
        <v>772</v>
      </c>
      <c r="H59" s="11" t="s">
        <v>57</v>
      </c>
      <c r="I59" s="13" t="s">
        <v>12</v>
      </c>
      <c r="J59" s="13" t="s">
        <v>1056</v>
      </c>
      <c r="K59" s="11" t="s">
        <v>49</v>
      </c>
      <c r="L59" s="13" t="s">
        <v>1036</v>
      </c>
      <c r="M59" s="14" t="s">
        <v>1057</v>
      </c>
    </row>
    <row r="60" customFormat="false" ht="23.85" hidden="false" customHeight="false" outlineLevel="0" collapsed="false">
      <c r="A60" s="7" t="s">
        <v>1058</v>
      </c>
      <c r="B60" s="8" t="s">
        <v>292</v>
      </c>
      <c r="C60" s="7" t="s">
        <v>1059</v>
      </c>
      <c r="D60" s="9" t="s">
        <v>1060</v>
      </c>
      <c r="E60" s="9" t="s">
        <v>55</v>
      </c>
      <c r="F60" s="9" t="s">
        <v>771</v>
      </c>
      <c r="G60" s="7" t="s">
        <v>772</v>
      </c>
      <c r="H60" s="7" t="s">
        <v>57</v>
      </c>
      <c r="I60" s="9" t="s">
        <v>12</v>
      </c>
      <c r="J60" s="9" t="s">
        <v>1061</v>
      </c>
      <c r="K60" s="7" t="s">
        <v>49</v>
      </c>
      <c r="L60" s="9" t="s">
        <v>1036</v>
      </c>
      <c r="M60" s="10" t="s">
        <v>1062</v>
      </c>
    </row>
    <row r="61" customFormat="false" ht="23.85" hidden="false" customHeight="false" outlineLevel="0" collapsed="false">
      <c r="A61" s="11" t="s">
        <v>1063</v>
      </c>
      <c r="B61" s="12" t="s">
        <v>292</v>
      </c>
      <c r="C61" s="11" t="s">
        <v>1064</v>
      </c>
      <c r="D61" s="13" t="s">
        <v>1065</v>
      </c>
      <c r="E61" s="13" t="s">
        <v>819</v>
      </c>
      <c r="F61" s="13" t="s">
        <v>771</v>
      </c>
      <c r="G61" s="11" t="s">
        <v>772</v>
      </c>
      <c r="H61" s="11" t="s">
        <v>57</v>
      </c>
      <c r="I61" s="13" t="s">
        <v>12</v>
      </c>
      <c r="J61" s="13" t="s">
        <v>1066</v>
      </c>
      <c r="K61" s="11" t="s">
        <v>49</v>
      </c>
      <c r="L61" s="13" t="s">
        <v>821</v>
      </c>
      <c r="M61" s="14" t="s">
        <v>1067</v>
      </c>
    </row>
    <row r="62" customFormat="false" ht="23.85" hidden="false" customHeight="false" outlineLevel="0" collapsed="false">
      <c r="A62" s="7" t="s">
        <v>1068</v>
      </c>
      <c r="B62" s="8" t="s">
        <v>292</v>
      </c>
      <c r="C62" s="7" t="s">
        <v>1069</v>
      </c>
      <c r="D62" s="9" t="s">
        <v>1070</v>
      </c>
      <c r="E62" s="9" t="s">
        <v>819</v>
      </c>
      <c r="F62" s="9" t="s">
        <v>771</v>
      </c>
      <c r="G62" s="7" t="s">
        <v>772</v>
      </c>
      <c r="H62" s="7" t="s">
        <v>57</v>
      </c>
      <c r="I62" s="9"/>
      <c r="J62" s="9" t="s">
        <v>1071</v>
      </c>
      <c r="K62" s="7" t="s">
        <v>49</v>
      </c>
      <c r="L62" s="9" t="s">
        <v>821</v>
      </c>
      <c r="M62" s="10" t="s">
        <v>1072</v>
      </c>
    </row>
    <row r="63" customFormat="false" ht="23.85" hidden="false" customHeight="false" outlineLevel="0" collapsed="false">
      <c r="A63" s="11" t="s">
        <v>1073</v>
      </c>
      <c r="B63" s="12" t="s">
        <v>292</v>
      </c>
      <c r="C63" s="11" t="s">
        <v>1074</v>
      </c>
      <c r="D63" s="13" t="s">
        <v>1075</v>
      </c>
      <c r="E63" s="13" t="s">
        <v>819</v>
      </c>
      <c r="F63" s="13" t="s">
        <v>771</v>
      </c>
      <c r="G63" s="11" t="s">
        <v>772</v>
      </c>
      <c r="H63" s="11" t="s">
        <v>57</v>
      </c>
      <c r="I63" s="13"/>
      <c r="J63" s="13" t="s">
        <v>1076</v>
      </c>
      <c r="K63" s="11" t="s">
        <v>49</v>
      </c>
      <c r="L63" s="13" t="s">
        <v>821</v>
      </c>
      <c r="M63" s="14" t="s">
        <v>1077</v>
      </c>
    </row>
    <row r="64" customFormat="false" ht="23.85" hidden="false" customHeight="false" outlineLevel="0" collapsed="false">
      <c r="A64" s="7" t="s">
        <v>1078</v>
      </c>
      <c r="B64" s="8" t="s">
        <v>292</v>
      </c>
      <c r="C64" s="7" t="s">
        <v>1079</v>
      </c>
      <c r="D64" s="9" t="s">
        <v>1080</v>
      </c>
      <c r="E64" s="9" t="s">
        <v>819</v>
      </c>
      <c r="F64" s="9" t="s">
        <v>771</v>
      </c>
      <c r="G64" s="7" t="s">
        <v>772</v>
      </c>
      <c r="H64" s="7" t="s">
        <v>57</v>
      </c>
      <c r="I64" s="9"/>
      <c r="J64" s="9" t="s">
        <v>1081</v>
      </c>
      <c r="K64" s="7" t="s">
        <v>49</v>
      </c>
      <c r="L64" s="9" t="s">
        <v>821</v>
      </c>
      <c r="M64" s="10" t="s">
        <v>1082</v>
      </c>
    </row>
    <row r="65" customFormat="false" ht="23.85" hidden="false" customHeight="false" outlineLevel="0" collapsed="false">
      <c r="A65" s="11" t="s">
        <v>1083</v>
      </c>
      <c r="B65" s="12" t="s">
        <v>292</v>
      </c>
      <c r="C65" s="11" t="s">
        <v>1084</v>
      </c>
      <c r="D65" s="13" t="s">
        <v>1085</v>
      </c>
      <c r="E65" s="13" t="s">
        <v>819</v>
      </c>
      <c r="F65" s="13" t="s">
        <v>771</v>
      </c>
      <c r="G65" s="11" t="s">
        <v>772</v>
      </c>
      <c r="H65" s="11" t="s">
        <v>57</v>
      </c>
      <c r="I65" s="13"/>
      <c r="J65" s="13" t="s">
        <v>1086</v>
      </c>
      <c r="K65" s="11" t="s">
        <v>49</v>
      </c>
      <c r="L65" s="13" t="s">
        <v>821</v>
      </c>
      <c r="M65" s="14" t="s">
        <v>1087</v>
      </c>
    </row>
    <row r="66" customFormat="false" ht="23.85" hidden="false" customHeight="false" outlineLevel="0" collapsed="false">
      <c r="A66" s="7" t="s">
        <v>1088</v>
      </c>
      <c r="B66" s="8" t="s">
        <v>63</v>
      </c>
      <c r="C66" s="7" t="s">
        <v>1089</v>
      </c>
      <c r="D66" s="9" t="s">
        <v>1090</v>
      </c>
      <c r="E66" s="9" t="s">
        <v>55</v>
      </c>
      <c r="F66" s="9" t="s">
        <v>771</v>
      </c>
      <c r="G66" s="7" t="s">
        <v>772</v>
      </c>
      <c r="H66" s="7" t="s">
        <v>57</v>
      </c>
      <c r="I66" s="9" t="s">
        <v>58</v>
      </c>
      <c r="J66" s="9" t="s">
        <v>1091</v>
      </c>
      <c r="K66" s="7" t="s">
        <v>49</v>
      </c>
      <c r="L66" s="9" t="s">
        <v>1036</v>
      </c>
      <c r="M66" s="10" t="s">
        <v>1092</v>
      </c>
    </row>
    <row r="67" customFormat="false" ht="23.85" hidden="false" customHeight="false" outlineLevel="0" collapsed="false">
      <c r="A67" s="11" t="s">
        <v>1093</v>
      </c>
      <c r="B67" s="12" t="s">
        <v>63</v>
      </c>
      <c r="C67" s="11" t="s">
        <v>1094</v>
      </c>
      <c r="D67" s="13" t="s">
        <v>1095</v>
      </c>
      <c r="E67" s="13" t="s">
        <v>55</v>
      </c>
      <c r="F67" s="13" t="s">
        <v>771</v>
      </c>
      <c r="G67" s="11" t="s">
        <v>772</v>
      </c>
      <c r="H67" s="11" t="s">
        <v>57</v>
      </c>
      <c r="I67" s="13" t="s">
        <v>58</v>
      </c>
      <c r="J67" s="13" t="s">
        <v>755</v>
      </c>
      <c r="K67" s="11" t="s">
        <v>49</v>
      </c>
      <c r="L67" s="13" t="s">
        <v>1036</v>
      </c>
      <c r="M67" s="14" t="s">
        <v>1096</v>
      </c>
    </row>
    <row r="68" customFormat="false" ht="23.85" hidden="false" customHeight="false" outlineLevel="0" collapsed="false">
      <c r="A68" s="7" t="s">
        <v>1097</v>
      </c>
      <c r="B68" s="8" t="s">
        <v>63</v>
      </c>
      <c r="C68" s="7" t="s">
        <v>1098</v>
      </c>
      <c r="D68" s="9" t="s">
        <v>1099</v>
      </c>
      <c r="E68" s="9" t="s">
        <v>55</v>
      </c>
      <c r="F68" s="9" t="s">
        <v>771</v>
      </c>
      <c r="G68" s="7" t="s">
        <v>772</v>
      </c>
      <c r="H68" s="7" t="s">
        <v>57</v>
      </c>
      <c r="I68" s="9" t="s">
        <v>12</v>
      </c>
      <c r="J68" s="9" t="s">
        <v>1100</v>
      </c>
      <c r="K68" s="7" t="s">
        <v>49</v>
      </c>
      <c r="L68" s="9" t="s">
        <v>1036</v>
      </c>
      <c r="M68" s="10" t="s">
        <v>1101</v>
      </c>
    </row>
    <row r="69" customFormat="false" ht="23.85" hidden="false" customHeight="false" outlineLevel="0" collapsed="false">
      <c r="A69" s="11" t="s">
        <v>1102</v>
      </c>
      <c r="B69" s="12" t="s">
        <v>63</v>
      </c>
      <c r="C69" s="11" t="s">
        <v>1103</v>
      </c>
      <c r="D69" s="13" t="s">
        <v>1104</v>
      </c>
      <c r="E69" s="13" t="s">
        <v>55</v>
      </c>
      <c r="F69" s="13" t="s">
        <v>771</v>
      </c>
      <c r="G69" s="11" t="s">
        <v>772</v>
      </c>
      <c r="H69" s="11" t="s">
        <v>57</v>
      </c>
      <c r="I69" s="13" t="s">
        <v>12</v>
      </c>
      <c r="J69" s="13" t="s">
        <v>1105</v>
      </c>
      <c r="K69" s="11" t="s">
        <v>49</v>
      </c>
      <c r="L69" s="13" t="s">
        <v>1036</v>
      </c>
      <c r="M69" s="14" t="s">
        <v>1106</v>
      </c>
    </row>
    <row r="70" customFormat="false" ht="23.85" hidden="false" customHeight="false" outlineLevel="0" collapsed="false">
      <c r="A70" s="7" t="s">
        <v>1107</v>
      </c>
      <c r="B70" s="8" t="s">
        <v>63</v>
      </c>
      <c r="C70" s="7" t="s">
        <v>1108</v>
      </c>
      <c r="D70" s="9" t="s">
        <v>1109</v>
      </c>
      <c r="E70" s="9" t="s">
        <v>55</v>
      </c>
      <c r="F70" s="9" t="s">
        <v>771</v>
      </c>
      <c r="G70" s="7" t="s">
        <v>772</v>
      </c>
      <c r="H70" s="7" t="s">
        <v>57</v>
      </c>
      <c r="I70" s="9" t="s">
        <v>12</v>
      </c>
      <c r="J70" s="9" t="s">
        <v>1110</v>
      </c>
      <c r="K70" s="7" t="s">
        <v>49</v>
      </c>
      <c r="L70" s="9" t="s">
        <v>1036</v>
      </c>
      <c r="M70" s="10" t="s">
        <v>1111</v>
      </c>
    </row>
    <row r="71" customFormat="false" ht="23.85" hidden="false" customHeight="false" outlineLevel="0" collapsed="false">
      <c r="A71" s="11" t="s">
        <v>1112</v>
      </c>
      <c r="B71" s="12" t="s">
        <v>63</v>
      </c>
      <c r="C71" s="11" t="s">
        <v>1113</v>
      </c>
      <c r="D71" s="13" t="s">
        <v>1114</v>
      </c>
      <c r="E71" s="13" t="s">
        <v>819</v>
      </c>
      <c r="F71" s="13" t="s">
        <v>771</v>
      </c>
      <c r="G71" s="11" t="s">
        <v>772</v>
      </c>
      <c r="H71" s="11" t="s">
        <v>57</v>
      </c>
      <c r="I71" s="13"/>
      <c r="J71" s="13" t="s">
        <v>1115</v>
      </c>
      <c r="K71" s="11" t="s">
        <v>49</v>
      </c>
      <c r="L71" s="13" t="s">
        <v>821</v>
      </c>
      <c r="M71" s="14" t="s">
        <v>1116</v>
      </c>
    </row>
    <row r="72" customFormat="false" ht="15" hidden="false" customHeight="false" outlineLevel="0" collapsed="false">
      <c r="A72" s="7" t="s">
        <v>1117</v>
      </c>
      <c r="B72" s="8" t="s">
        <v>335</v>
      </c>
      <c r="C72" s="7"/>
      <c r="D72" s="9" t="s">
        <v>1118</v>
      </c>
      <c r="E72" s="9" t="s">
        <v>1119</v>
      </c>
      <c r="F72" s="9" t="s">
        <v>1120</v>
      </c>
      <c r="G72" s="7" t="s">
        <v>1121</v>
      </c>
      <c r="H72" s="7" t="s">
        <v>46</v>
      </c>
      <c r="I72" s="9" t="s">
        <v>14</v>
      </c>
      <c r="J72" s="9" t="s">
        <v>1122</v>
      </c>
      <c r="K72" s="7" t="s">
        <v>49</v>
      </c>
      <c r="L72" s="9"/>
      <c r="M72" s="10" t="s">
        <v>1123</v>
      </c>
    </row>
    <row r="73" customFormat="false" ht="15" hidden="false" customHeight="false" outlineLevel="0" collapsed="false">
      <c r="A73" s="11" t="s">
        <v>1124</v>
      </c>
      <c r="B73" s="12" t="s">
        <v>352</v>
      </c>
      <c r="C73" s="11" t="s">
        <v>1125</v>
      </c>
      <c r="D73" s="13" t="s">
        <v>1126</v>
      </c>
      <c r="E73" s="13" t="s">
        <v>1127</v>
      </c>
      <c r="F73" s="13" t="s">
        <v>1128</v>
      </c>
      <c r="G73" s="11" t="s">
        <v>1121</v>
      </c>
      <c r="H73" s="11" t="s">
        <v>46</v>
      </c>
      <c r="I73" s="13" t="s">
        <v>12</v>
      </c>
      <c r="J73" s="13" t="s">
        <v>1129</v>
      </c>
      <c r="K73" s="11" t="s">
        <v>49</v>
      </c>
      <c r="L73" s="13" t="s">
        <v>1130</v>
      </c>
      <c r="M73" s="14" t="s">
        <v>224</v>
      </c>
    </row>
    <row r="74" customFormat="false" ht="23.85" hidden="false" customHeight="false" outlineLevel="0" collapsed="false">
      <c r="A74" s="7" t="s">
        <v>1131</v>
      </c>
      <c r="B74" s="8" t="s">
        <v>78</v>
      </c>
      <c r="C74" s="7"/>
      <c r="D74" s="9" t="s">
        <v>1132</v>
      </c>
      <c r="E74" s="9" t="s">
        <v>327</v>
      </c>
      <c r="F74" s="9" t="s">
        <v>1133</v>
      </c>
      <c r="G74" s="7" t="s">
        <v>339</v>
      </c>
      <c r="H74" s="7" t="s">
        <v>57</v>
      </c>
      <c r="I74" s="9"/>
      <c r="J74" s="9" t="s">
        <v>1134</v>
      </c>
      <c r="K74" s="7" t="s">
        <v>49</v>
      </c>
      <c r="L74" s="9"/>
      <c r="M74" s="10" t="s">
        <v>330</v>
      </c>
    </row>
    <row r="75" customFormat="false" ht="23.85" hidden="false" customHeight="false" outlineLevel="0" collapsed="false">
      <c r="A75" s="11" t="s">
        <v>1135</v>
      </c>
      <c r="B75" s="12" t="s">
        <v>78</v>
      </c>
      <c r="C75" s="11"/>
      <c r="D75" s="13" t="s">
        <v>1136</v>
      </c>
      <c r="E75" s="13" t="s">
        <v>327</v>
      </c>
      <c r="F75" s="13" t="s">
        <v>1137</v>
      </c>
      <c r="G75" s="11" t="s">
        <v>1138</v>
      </c>
      <c r="H75" s="11" t="s">
        <v>57</v>
      </c>
      <c r="I75" s="13" t="s">
        <v>14</v>
      </c>
      <c r="J75" s="13" t="s">
        <v>1139</v>
      </c>
      <c r="K75" s="11" t="s">
        <v>49</v>
      </c>
      <c r="L75" s="13"/>
      <c r="M75" s="14" t="s">
        <v>330</v>
      </c>
    </row>
    <row r="76" customFormat="false" ht="23.85" hidden="false" customHeight="false" outlineLevel="0" collapsed="false">
      <c r="A76" s="7" t="s">
        <v>1140</v>
      </c>
      <c r="B76" s="8" t="s">
        <v>1141</v>
      </c>
      <c r="C76" s="7"/>
      <c r="D76" s="9" t="s">
        <v>1142</v>
      </c>
      <c r="E76" s="9" t="s">
        <v>327</v>
      </c>
      <c r="F76" s="9" t="s">
        <v>1143</v>
      </c>
      <c r="G76" s="7" t="s">
        <v>1138</v>
      </c>
      <c r="H76" s="7" t="s">
        <v>57</v>
      </c>
      <c r="I76" s="9" t="s">
        <v>14</v>
      </c>
      <c r="J76" s="9" t="s">
        <v>1144</v>
      </c>
      <c r="K76" s="7" t="s">
        <v>49</v>
      </c>
      <c r="L76" s="9"/>
      <c r="M76" s="10" t="s">
        <v>330</v>
      </c>
    </row>
    <row r="77" customFormat="false" ht="23.85" hidden="false" customHeight="false" outlineLevel="0" collapsed="false">
      <c r="A77" s="11" t="s">
        <v>1145</v>
      </c>
      <c r="B77" s="12" t="s">
        <v>130</v>
      </c>
      <c r="C77" s="11" t="s">
        <v>1146</v>
      </c>
      <c r="D77" s="13" t="s">
        <v>1147</v>
      </c>
      <c r="E77" s="13" t="s">
        <v>1148</v>
      </c>
      <c r="F77" s="13" t="s">
        <v>1149</v>
      </c>
      <c r="G77" s="11" t="s">
        <v>690</v>
      </c>
      <c r="H77" s="11" t="s">
        <v>46</v>
      </c>
      <c r="I77" s="13" t="s">
        <v>58</v>
      </c>
      <c r="J77" s="13" t="s">
        <v>1150</v>
      </c>
      <c r="K77" s="11" t="s">
        <v>49</v>
      </c>
      <c r="L77" s="13"/>
      <c r="M77" s="14" t="s">
        <v>1151</v>
      </c>
    </row>
    <row r="78" customFormat="false" ht="15" hidden="false" customHeight="false" outlineLevel="0" collapsed="false">
      <c r="A78" s="7" t="s">
        <v>1152</v>
      </c>
      <c r="B78" s="8"/>
      <c r="C78" s="7"/>
      <c r="D78" s="9" t="s">
        <v>1153</v>
      </c>
      <c r="E78" s="9"/>
      <c r="F78" s="9" t="s">
        <v>1120</v>
      </c>
      <c r="G78" s="7" t="s">
        <v>1121</v>
      </c>
      <c r="H78" s="7" t="s">
        <v>46</v>
      </c>
      <c r="I78" s="9" t="s">
        <v>14</v>
      </c>
      <c r="J78" s="9" t="s">
        <v>1122</v>
      </c>
      <c r="K78" s="7" t="s">
        <v>229</v>
      </c>
      <c r="L78" s="9"/>
      <c r="M78" s="10" t="s">
        <v>1154</v>
      </c>
    </row>
    <row r="79" customFormat="false" ht="15" hidden="false" customHeight="false" outlineLevel="0" collapsed="false">
      <c r="A79" s="11" t="s">
        <v>1155</v>
      </c>
      <c r="B79" s="12"/>
      <c r="C79" s="11"/>
      <c r="D79" s="13" t="s">
        <v>1156</v>
      </c>
      <c r="E79" s="13"/>
      <c r="F79" s="13" t="s">
        <v>1120</v>
      </c>
      <c r="G79" s="11" t="s">
        <v>1121</v>
      </c>
      <c r="H79" s="11" t="s">
        <v>46</v>
      </c>
      <c r="I79" s="13" t="s">
        <v>14</v>
      </c>
      <c r="J79" s="13" t="s">
        <v>1157</v>
      </c>
      <c r="K79" s="11" t="s">
        <v>229</v>
      </c>
      <c r="L79" s="13"/>
      <c r="M79" s="14" t="s">
        <v>1158</v>
      </c>
    </row>
    <row r="80" customFormat="false" ht="15" hidden="false" customHeight="false" outlineLevel="0" collapsed="false">
      <c r="A80" s="7" t="s">
        <v>1159</v>
      </c>
      <c r="B80" s="8"/>
      <c r="C80" s="7"/>
      <c r="D80" s="9" t="s">
        <v>1160</v>
      </c>
      <c r="E80" s="9"/>
      <c r="F80" s="9" t="s">
        <v>1120</v>
      </c>
      <c r="G80" s="7" t="s">
        <v>1121</v>
      </c>
      <c r="H80" s="7" t="s">
        <v>46</v>
      </c>
      <c r="I80" s="9" t="s">
        <v>14</v>
      </c>
      <c r="J80" s="9" t="s">
        <v>1161</v>
      </c>
      <c r="K80" s="7" t="s">
        <v>229</v>
      </c>
      <c r="L80" s="9"/>
      <c r="M80" s="10" t="s">
        <v>1162</v>
      </c>
    </row>
    <row r="81" customFormat="false" ht="15" hidden="false" customHeight="false" outlineLevel="0" collapsed="false">
      <c r="A81" s="11" t="s">
        <v>1163</v>
      </c>
      <c r="B81" s="12"/>
      <c r="C81" s="11"/>
      <c r="D81" s="13" t="s">
        <v>1164</v>
      </c>
      <c r="E81" s="13"/>
      <c r="F81" s="13" t="s">
        <v>1120</v>
      </c>
      <c r="G81" s="11" t="s">
        <v>1121</v>
      </c>
      <c r="H81" s="11" t="s">
        <v>46</v>
      </c>
      <c r="I81" s="13" t="s">
        <v>15</v>
      </c>
      <c r="J81" s="13" t="s">
        <v>1165</v>
      </c>
      <c r="K81" s="11" t="s">
        <v>229</v>
      </c>
      <c r="L81" s="13"/>
      <c r="M81" s="14" t="s">
        <v>1166</v>
      </c>
    </row>
    <row r="82" customFormat="false" ht="23.85" hidden="false" customHeight="false" outlineLevel="0" collapsed="false">
      <c r="A82" s="7" t="s">
        <v>1167</v>
      </c>
      <c r="B82" s="8"/>
      <c r="C82" s="7"/>
      <c r="D82" s="9" t="s">
        <v>1168</v>
      </c>
      <c r="E82" s="9" t="s">
        <v>145</v>
      </c>
      <c r="F82" s="9" t="s">
        <v>771</v>
      </c>
      <c r="G82" s="7" t="s">
        <v>772</v>
      </c>
      <c r="H82" s="7" t="s">
        <v>57</v>
      </c>
      <c r="I82" s="9" t="s">
        <v>14</v>
      </c>
      <c r="J82" s="9" t="s">
        <v>1169</v>
      </c>
      <c r="K82" s="7" t="s">
        <v>229</v>
      </c>
      <c r="L82" s="9" t="s">
        <v>1170</v>
      </c>
      <c r="M82" s="10" t="s">
        <v>1171</v>
      </c>
    </row>
    <row r="83" customFormat="false" ht="15" hidden="false" customHeight="false" outlineLevel="0" collapsed="false">
      <c r="A83" s="11" t="s">
        <v>1172</v>
      </c>
      <c r="B83" s="12"/>
      <c r="C83" s="11"/>
      <c r="D83" s="13" t="s">
        <v>1173</v>
      </c>
      <c r="E83" s="13"/>
      <c r="F83" s="13" t="s">
        <v>771</v>
      </c>
      <c r="G83" s="11" t="s">
        <v>772</v>
      </c>
      <c r="H83" s="11" t="s">
        <v>57</v>
      </c>
      <c r="I83" s="13" t="s">
        <v>12</v>
      </c>
      <c r="J83" s="13" t="s">
        <v>1174</v>
      </c>
      <c r="K83" s="11" t="s">
        <v>229</v>
      </c>
      <c r="L83" s="13"/>
      <c r="M83" s="14" t="s">
        <v>1175</v>
      </c>
    </row>
    <row r="84" customFormat="false" ht="23.85" hidden="false" customHeight="false" outlineLevel="0" collapsed="false">
      <c r="A84" s="7" t="s">
        <v>1176</v>
      </c>
      <c r="B84" s="8"/>
      <c r="C84" s="7"/>
      <c r="D84" s="9" t="s">
        <v>1177</v>
      </c>
      <c r="E84" s="9" t="s">
        <v>55</v>
      </c>
      <c r="F84" s="9" t="s">
        <v>771</v>
      </c>
      <c r="G84" s="7" t="s">
        <v>772</v>
      </c>
      <c r="H84" s="7" t="s">
        <v>57</v>
      </c>
      <c r="I84" s="9" t="s">
        <v>58</v>
      </c>
      <c r="J84" s="9" t="s">
        <v>1178</v>
      </c>
      <c r="K84" s="7" t="s">
        <v>229</v>
      </c>
      <c r="L84" s="9"/>
      <c r="M84" s="10" t="s">
        <v>1179</v>
      </c>
    </row>
    <row r="85" customFormat="false" ht="15" hidden="false" customHeight="false" outlineLevel="0" collapsed="false">
      <c r="A85" s="11" t="s">
        <v>1180</v>
      </c>
      <c r="B85" s="12"/>
      <c r="C85" s="11"/>
      <c r="D85" s="13" t="s">
        <v>1181</v>
      </c>
      <c r="E85" s="13"/>
      <c r="F85" s="13" t="s">
        <v>771</v>
      </c>
      <c r="G85" s="11" t="s">
        <v>772</v>
      </c>
      <c r="H85" s="11" t="s">
        <v>57</v>
      </c>
      <c r="I85" s="13"/>
      <c r="J85" s="13" t="s">
        <v>1182</v>
      </c>
      <c r="K85" s="11" t="s">
        <v>229</v>
      </c>
      <c r="L85" s="13"/>
      <c r="M85" s="14" t="s">
        <v>1183</v>
      </c>
    </row>
    <row r="86" customFormat="false" ht="23.85" hidden="false" customHeight="false" outlineLevel="0" collapsed="false">
      <c r="A86" s="7" t="s">
        <v>1184</v>
      </c>
      <c r="B86" s="8"/>
      <c r="C86" s="7"/>
      <c r="D86" s="9" t="s">
        <v>1185</v>
      </c>
      <c r="E86" s="9" t="s">
        <v>55</v>
      </c>
      <c r="F86" s="9" t="s">
        <v>771</v>
      </c>
      <c r="G86" s="7" t="s">
        <v>772</v>
      </c>
      <c r="H86" s="7" t="s">
        <v>57</v>
      </c>
      <c r="I86" s="9" t="s">
        <v>12</v>
      </c>
      <c r="J86" s="9" t="s">
        <v>814</v>
      </c>
      <c r="K86" s="7" t="s">
        <v>229</v>
      </c>
      <c r="L86" s="9" t="s">
        <v>1186</v>
      </c>
      <c r="M86" s="10" t="s">
        <v>874</v>
      </c>
    </row>
    <row r="87" customFormat="false" ht="23.85" hidden="false" customHeight="false" outlineLevel="0" collapsed="false">
      <c r="A87" s="11" t="s">
        <v>1187</v>
      </c>
      <c r="B87" s="12"/>
      <c r="C87" s="11"/>
      <c r="D87" s="13" t="s">
        <v>1188</v>
      </c>
      <c r="E87" s="13"/>
      <c r="F87" s="13" t="s">
        <v>771</v>
      </c>
      <c r="G87" s="11" t="s">
        <v>772</v>
      </c>
      <c r="H87" s="11" t="s">
        <v>57</v>
      </c>
      <c r="I87" s="13" t="s">
        <v>14</v>
      </c>
      <c r="J87" s="13" t="s">
        <v>1189</v>
      </c>
      <c r="K87" s="11" t="s">
        <v>229</v>
      </c>
      <c r="L87" s="13"/>
      <c r="M87" s="14" t="s">
        <v>1190</v>
      </c>
    </row>
    <row r="88" customFormat="false" ht="15" hidden="false" customHeight="false" outlineLevel="0" collapsed="false">
      <c r="A88" s="7" t="s">
        <v>1191</v>
      </c>
      <c r="B88" s="8"/>
      <c r="C88" s="7"/>
      <c r="D88" s="9" t="s">
        <v>1192</v>
      </c>
      <c r="E88" s="9"/>
      <c r="F88" s="9" t="s">
        <v>771</v>
      </c>
      <c r="G88" s="7" t="s">
        <v>772</v>
      </c>
      <c r="H88" s="7" t="s">
        <v>57</v>
      </c>
      <c r="I88" s="9" t="s">
        <v>15</v>
      </c>
      <c r="J88" s="9" t="s">
        <v>1193</v>
      </c>
      <c r="K88" s="7" t="s">
        <v>229</v>
      </c>
      <c r="L88" s="9"/>
      <c r="M88" s="10" t="s">
        <v>1194</v>
      </c>
    </row>
    <row r="89" customFormat="false" ht="15" hidden="false" customHeight="false" outlineLevel="0" collapsed="false">
      <c r="A89" s="11" t="s">
        <v>1195</v>
      </c>
      <c r="B89" s="12"/>
      <c r="C89" s="11"/>
      <c r="D89" s="13" t="s">
        <v>1196</v>
      </c>
      <c r="E89" s="13"/>
      <c r="F89" s="13" t="s">
        <v>771</v>
      </c>
      <c r="G89" s="11" t="s">
        <v>772</v>
      </c>
      <c r="H89" s="11" t="s">
        <v>57</v>
      </c>
      <c r="I89" s="13"/>
      <c r="J89" s="13" t="s">
        <v>1182</v>
      </c>
      <c r="K89" s="11" t="s">
        <v>229</v>
      </c>
      <c r="L89" s="13"/>
      <c r="M89" s="14" t="s">
        <v>1197</v>
      </c>
    </row>
    <row r="90" customFormat="false" ht="15" hidden="false" customHeight="false" outlineLevel="0" collapsed="false">
      <c r="A90" s="7" t="s">
        <v>1198</v>
      </c>
      <c r="B90" s="8"/>
      <c r="C90" s="7"/>
      <c r="D90" s="9" t="s">
        <v>1199</v>
      </c>
      <c r="E90" s="9"/>
      <c r="F90" s="9" t="s">
        <v>771</v>
      </c>
      <c r="G90" s="7" t="s">
        <v>772</v>
      </c>
      <c r="H90" s="7" t="s">
        <v>57</v>
      </c>
      <c r="I90" s="9" t="s">
        <v>13</v>
      </c>
      <c r="J90" s="9" t="s">
        <v>1200</v>
      </c>
      <c r="K90" s="7" t="s">
        <v>229</v>
      </c>
      <c r="L90" s="9"/>
      <c r="M90" s="10" t="s">
        <v>1201</v>
      </c>
    </row>
    <row r="91" customFormat="false" ht="15" hidden="false" customHeight="false" outlineLevel="0" collapsed="false">
      <c r="A91" s="11" t="s">
        <v>1202</v>
      </c>
      <c r="B91" s="12"/>
      <c r="C91" s="11"/>
      <c r="D91" s="13" t="s">
        <v>1203</v>
      </c>
      <c r="E91" s="13"/>
      <c r="F91" s="13" t="s">
        <v>771</v>
      </c>
      <c r="G91" s="11" t="s">
        <v>772</v>
      </c>
      <c r="H91" s="11" t="s">
        <v>57</v>
      </c>
      <c r="I91" s="13" t="s">
        <v>14</v>
      </c>
      <c r="J91" s="13" t="s">
        <v>1204</v>
      </c>
      <c r="K91" s="11" t="s">
        <v>229</v>
      </c>
      <c r="L91" s="13"/>
      <c r="M91" s="14" t="s">
        <v>1205</v>
      </c>
    </row>
    <row r="92" customFormat="false" ht="15" hidden="false" customHeight="false" outlineLevel="0" collapsed="false">
      <c r="A92" s="7" t="s">
        <v>1206</v>
      </c>
      <c r="B92" s="8"/>
      <c r="C92" s="7"/>
      <c r="D92" s="9" t="s">
        <v>1207</v>
      </c>
      <c r="E92" s="9"/>
      <c r="F92" s="9" t="s">
        <v>771</v>
      </c>
      <c r="G92" s="7" t="s">
        <v>772</v>
      </c>
      <c r="H92" s="7" t="s">
        <v>57</v>
      </c>
      <c r="I92" s="9"/>
      <c r="J92" s="9" t="s">
        <v>1208</v>
      </c>
      <c r="K92" s="7" t="s">
        <v>229</v>
      </c>
      <c r="L92" s="9"/>
      <c r="M92" s="10" t="s">
        <v>1209</v>
      </c>
    </row>
    <row r="93" customFormat="false" ht="23.85" hidden="false" customHeight="false" outlineLevel="0" collapsed="false">
      <c r="A93" s="11" t="s">
        <v>1210</v>
      </c>
      <c r="B93" s="12"/>
      <c r="C93" s="11"/>
      <c r="D93" s="13" t="s">
        <v>1211</v>
      </c>
      <c r="E93" s="13"/>
      <c r="F93" s="13" t="s">
        <v>771</v>
      </c>
      <c r="G93" s="11" t="s">
        <v>772</v>
      </c>
      <c r="H93" s="11" t="s">
        <v>57</v>
      </c>
      <c r="I93" s="13" t="s">
        <v>14</v>
      </c>
      <c r="J93" s="13" t="s">
        <v>1212</v>
      </c>
      <c r="K93" s="11" t="s">
        <v>229</v>
      </c>
      <c r="L93" s="13"/>
      <c r="M93" s="14" t="s">
        <v>1213</v>
      </c>
    </row>
    <row r="94" customFormat="false" ht="23.85" hidden="false" customHeight="false" outlineLevel="0" collapsed="false">
      <c r="A94" s="7" t="s">
        <v>1214</v>
      </c>
      <c r="B94" s="8"/>
      <c r="C94" s="7"/>
      <c r="D94" s="9" t="s">
        <v>1215</v>
      </c>
      <c r="E94" s="9"/>
      <c r="F94" s="9" t="s">
        <v>771</v>
      </c>
      <c r="G94" s="7" t="s">
        <v>772</v>
      </c>
      <c r="H94" s="7" t="s">
        <v>57</v>
      </c>
      <c r="I94" s="9" t="s">
        <v>14</v>
      </c>
      <c r="J94" s="9" t="s">
        <v>1216</v>
      </c>
      <c r="K94" s="7" t="s">
        <v>229</v>
      </c>
      <c r="L94" s="9"/>
      <c r="M94" s="10" t="s">
        <v>1217</v>
      </c>
    </row>
    <row r="95" customFormat="false" ht="15" hidden="false" customHeight="false" outlineLevel="0" collapsed="false">
      <c r="A95" s="11" t="s">
        <v>1218</v>
      </c>
      <c r="B95" s="12"/>
      <c r="C95" s="11"/>
      <c r="D95" s="13" t="s">
        <v>1219</v>
      </c>
      <c r="E95" s="13"/>
      <c r="F95" s="13" t="s">
        <v>771</v>
      </c>
      <c r="G95" s="11" t="s">
        <v>772</v>
      </c>
      <c r="H95" s="11" t="s">
        <v>57</v>
      </c>
      <c r="I95" s="13" t="s">
        <v>14</v>
      </c>
      <c r="J95" s="13" t="s">
        <v>1220</v>
      </c>
      <c r="K95" s="11" t="s">
        <v>229</v>
      </c>
      <c r="L95" s="13"/>
      <c r="M95" s="14" t="s">
        <v>1221</v>
      </c>
    </row>
  </sheetData>
  <autoFilter ref="A1:M95"/>
  <hyperlinks>
    <hyperlink ref="M2" r:id="rId1" display="https://www.ezhunaonline.com/manthai-the-seafaring-trading-center-of-ancient-sri-lanka/"/>
    <hyperlink ref="M3" r:id="rId2" display="https://www.ezhunaonline.com/ancient-religious-practices-in-ancient-jaffna-part-2/"/>
    <hyperlink ref="M4" r:id="rId3" display="https://www.ezhunaonline.com/jaffna-buddhism-100-bc-1200-ad-part-2/"/>
    <hyperlink ref="M5" r:id="rId4" display="https://www.ezhunaonline.com/ancient-coins-found-in-kandy-and-northern-sri-lanka-part-1/"/>
    <hyperlink ref="M6" r:id="rId5" display="https://www.ezhunaonline.com/ancient-coins-found-in-kandy-and-northern-sri-lanka-part-2/"/>
    <hyperlink ref="M7" r:id="rId6" display="https://www.ezhunaonline.com/origin-and-gradual-development-of-the-gandharoda-civilization-part-4/"/>
    <hyperlink ref="M8" r:id="rId7" display="https://www.ezhunaonline.com/the-gandarodai-archaeological-site-and-scientific-studies-on-the-early-iron-age-that-overturned-the-mahavamsa-history-of-sri-lanka-part-5/"/>
    <hyperlink ref="M9" r:id="rId8" display="https://www.ezhunaonline.com/ochapu-kallu-is-an-ancient-nagar-settlement/"/>
    <hyperlink ref="M10" r:id="rId9" display="https://www.ezhunaonline.com/inscription-about-nagar-on-thanga-tirumala-by-brahmin-divakan/"/>
    <hyperlink ref="M11" r:id="rId10" display="https://www.ezhunaonline.com/on-the-border-of-ghazigamalai/"/>
    <hyperlink ref="M12" r:id="rId11" display="https://www.ezhunaonline.com/inscriptions-about-nagar-found-on-rittikala-hill-arita-parvata-hill/"/>
    <hyperlink ref="M13" r:id="rId12" display="https://www.ezhunaonline.com/inscription-of-naga-maharaja-on-rithi-viharai-hill/"/>
    <hyperlink ref="M14" r:id="rId13" display="https://www.ezhunaonline.com/gandharoda-civilization-of-ancient-jaffna/"/>
    <hyperlink ref="M15" r:id="rId14" display="https://www.ezhunaonline.com/geology-topography-and-ancient-settlements-of-jaffna/"/>
    <hyperlink ref="M16" r:id="rId15" display="https://www.ezhunaonline.com/andiyagala-hill-inscription-where-siddhas-lived-2000-years-ago/"/>
    <hyperlink ref="M17" r:id="rId16" display="https://www.ezhunaonline.com/hibauwa-inscription-about-the-naga-clan/"/>
    <hyperlink ref="M18" r:id="rId17" display="https://www.ezhunaonline.com/nagaland-and-the-nagas-in-history-and-literary-records-part-2/"/>
    <hyperlink ref="M19" r:id="rId18" display="https://www.ezhunaonline.com/the-dating-of-archaeological-artefacts/"/>
    <hyperlink ref="M20" r:id="rId19" display="https://www.ezhunaonline.com/archaeology-of-kantarodai-part-3/"/>
    <hyperlink ref="M21" r:id="rId20" display="https://www.ezhunaonline.com/anaikottai-archaeological-survey/"/>
    <hyperlink ref="M22" r:id="rId21" display="https://www.ezhunaonline.com/the-kallanchiya-rock-inscription-tells-of-king-nagan/"/>
    <hyperlink ref="M23" r:id="rId22" display="https://www.ezhunaonline.com/jaffna-city-pongoli-water-lion-city-part-2/"/>
    <hyperlink ref="M24" r:id="rId23" display="https://www.ezhunaonline.com/vallipuram-and-nagercoil/"/>
    <hyperlink ref="M25" r:id="rId24" display="https://www.ezhunaonline.com/early-settlements-near-the-jaffna-peninsula/"/>
    <hyperlink ref="M26" r:id="rId25" display="https://www.ezhunaonline.com/primitive-settlements-in-the-northern-mainland-of-sri-lanka/"/>
    <hyperlink ref="M27" r:id="rId26" display="https://www.ezhunaonline.com/early-iron-age-and-neolithic-culture-in-sri-lanka-part-3/"/>
    <hyperlink ref="M28" r:id="rId27" display="https://www.ezhunaonline.com/history-of-naga-and-anuradhapura-kings-in-eastern-srilanka/"/>
    <hyperlink ref="M29" r:id="rId28" display="https://www.ezhunaonline.com/the-first-ten-clans-of-eastern-sri-lanka/"/>
    <hyperlink ref="M30" r:id="rId29" display="https://www.ezhunaonline.com/an-introduction-to-brahmi-inscriptions-in-sri-lanka/"/>
    <hyperlink ref="M31" r:id="rId30" display="https://www.ezhunaonline.com/tamil-brahmi-inscription-in-ambanthotta-2/"/>
    <hyperlink ref="M32" r:id="rId31" display="https://www.ezhunaonline.com/from-vattagamini-to-vattagamini/"/>
    <hyperlink ref="M33" r:id="rId32" display="https://www.ezhunaonline.com/history-of-nagar-in-northern-sri-lanka/"/>
    <hyperlink ref="M34" r:id="rId33" display="https://www.ezhunaonline.com/eastern-ruhunu-until-the-period-of-mahasenan/"/>
    <hyperlink ref="M35" r:id="rId34" display="https://www.ezhunaonline.com/naga-culture-in-mihintala-anuradhapura/"/>
    <hyperlink ref="M36" r:id="rId35" display="https://www.ezhunaonline.com/thissamaharama-inscription/"/>
    <hyperlink ref="M37" r:id="rId36" display="https://www.ezhunaonline.com/pidurangala-bhirami-inscription/"/>
    <hyperlink ref="M38" r:id="rId37" display="https://www.ezhunaonline.com/sri-lanka-eastern-province-ancient-history/"/>
    <hyperlink ref="M39" r:id="rId38" display="https://www.ezhunaonline.com/vessagiriya-inscription-that-tells-about-naga-blacksmith/"/>
    <hyperlink ref="M40" r:id="rId39" display="https://www.ezhunaonline.com/the-wife-of-akkapothi-sri-lankan-eastern-history/"/>
    <hyperlink ref="M41" r:id="rId40" display="https://www.ezhunaonline.com/kathirgamam-inscription-by-tamil-king-maha-nagan/"/>
    <hyperlink ref="M42" r:id="rId41" display="https://www.ezhunaonline.com/siththar-rock-inscription-which-tell-about-maharajan/"/>
    <hyperlink ref="M43" r:id="rId42" display="https://www.ezhunaonline.com/irakkamam-a-tax-free-village-for-anuradhapura-commander/"/>
    <hyperlink ref="M44" r:id="rId43" display="https://www.ezhunaonline.com/pandakiriya-inscription/"/>
    <hyperlink ref="M45" r:id="rId44" display="https://www.ezhunaonline.com/padarkal-malai-inscrption/"/>
    <hyperlink ref="M46" r:id="rId45" display="https://www.ezhunaonline.com/velodum-malai-nagamalai-inscription-mentions-maha-naga-king/"/>
    <hyperlink ref="M47" r:id="rId46" display="https://www.ezhunaonline.com/inscriptions-about-nagar-on-pambarakasthalava-hill-nagaparvata-hill/"/>
    <hyperlink ref="M48" r:id="rId47" display="https://www.ezhunaonline.com/kalladi-niliyamman-hill-inscriptions-sri-lanka-mentions-the-naga-king-and-the-naga-canal/"/>
    <hyperlink ref="M49" r:id="rId48" display="https://www.ezhunaonline.com/the-rajagala-inscriptions-refer-to-nagar/"/>
    <hyperlink ref="M50" r:id="rId49" display="https://www.ezhunaonline.com/the-kudumbigala-hill-inscription-mentions-the-village-officer-nagan/"/>
    <hyperlink ref="M51" r:id="rId50" display="https://www.ezhunaonline.com/chola-in-keekhagarai/"/>
    <hyperlink ref="M52" r:id="rId51" display="https://www.ezhunaonline.com/muthukal-hill-inscriptions-mention-nagar/"/>
    <hyperlink ref="M53" r:id="rId52" display="https://www.ezhunaonline.com/kayanguda-kumacholai-inscription-of-eastern-ceylon-viceroy/"/>
    <hyperlink ref="M54" r:id="rId53" display="https://www.ezhunaonline.com/handagala-brahmic-inscriptions-refer-to-nagar/"/>
    <hyperlink ref="M55" r:id="rId54" display="https://www.ezhunaonline.com/later-inscriptions-refer-to-tamils/"/>
    <hyperlink ref="M56" r:id="rId55" display="https://www.ezhunaonline.com/tamaraveva-pillar-inscription-referring-to-the-tamil-official-mahasathan/"/>
    <hyperlink ref="M57" r:id="rId56" display="https://www.ezhunaonline.com/badulla-inscription/"/>
    <hyperlink ref="M58" r:id="rId57" display="https://www.ezhunaonline.com/anuradhapura-inscription/"/>
    <hyperlink ref="M59" r:id="rId58" display="https://www.ezhunaonline.com/rankoth-viharai-inscription/"/>
    <hyperlink ref="M60" r:id="rId59" display="https://www.ezhunaonline.com/wessagiri-inscription/"/>
    <hyperlink ref="M61" r:id="rId60" display="https://www.ezhunaonline.com/keekhakarai-paravani-inscriptioniii/"/>
    <hyperlink ref="M62" r:id="rId61" display="https://www.ezhunaonline.com/batticaloa-history-iii/"/>
    <hyperlink ref="M63" r:id="rId62" display="https://www.ezhunaonline.com/the-other-myths-of-batticaloa-2/"/>
    <hyperlink ref="M64" r:id="rId63" display="https://www.ezhunaonline.com/timeline-of-sri-lankan-pre-history/"/>
    <hyperlink ref="M65" r:id="rId64" display="https://www.ezhunaonline.com/the-initial-stage-of-sri-lankan-history-period/"/>
    <hyperlink ref="M66" r:id="rId65" display="https://www.ezhunaonline.com/brahmic-inscriptions-on-tamils-in-ceylon-an-introduction/"/>
    <hyperlink ref="M67" r:id="rId66" display="https://www.ezhunaonline.com/5brahmic-in-icriptions-tamils/"/>
    <hyperlink ref="M68" r:id="rId67" display="https://www.ezhunaonline.com/tamil-vanikan-puliankulam-inscriptions/"/>
    <hyperlink ref="M69" r:id="rId68" display="https://www.ezhunaonline.com/seruvila-inscription-on-tamil-family-leader-guttan/"/>
    <hyperlink ref="M70" r:id="rId69" display="https://www.ezhunaonline.com/gudvil-inscription-about-a-tamil-merchant-who-was-a-resident-of-dikavapi/"/>
    <hyperlink ref="M71" r:id="rId70" display="https://www.ezhunaonline.com/evidence-for-keekhakarai-tamil-literature/"/>
    <hyperlink ref="M72" r:id="rId71" display="https://amazinglanka.com/wp/sankiliyatital/"/>
    <hyperlink ref="M73" r:id="rId72" display="https://www.lankapradeepa.com/2020/04/tamil-inscriptions-in-sri-lanka_16.html"/>
    <hyperlink ref="M74" r:id="rId73" display="https://www.his.jfn.ac.lk/?p=791"/>
    <hyperlink ref="M75" r:id="rId74" display="https://www.his.jfn.ac.lk/?p=791"/>
    <hyperlink ref="M76" r:id="rId75" display="https://www.his.jfn.ac.lk/?p=791"/>
    <hyperlink ref="M77" r:id="rId76" display="https://www.worldgenweb.org/lkawgw/tamil-brahmi.htm"/>
    <hyperlink ref="M78" r:id="rId77" display="https://amazinglanka.com/wp/jaffna/"/>
    <hyperlink ref="M79" r:id="rId78" display="https://amazinglanka.com/wp/tikali/"/>
    <hyperlink ref="M80" r:id="rId79" display="https://amazinglanka.com/wp/manniththalai-settlements/"/>
    <hyperlink ref="M81" r:id="rId80" display="https://amazinglanka.com/wp/vanni-bandara-en/"/>
    <hyperlink ref="M82" r:id="rId81" display="https://www.ezhunaonline.com/history-and-culture-of-srilankan-tamils-part-3/"/>
    <hyperlink ref="M83" r:id="rId82" display="https://www.ezhunaonline.com/article/brahmin-and-brahmatheya-in-sri-lankan-tamil-inscriptions/"/>
    <hyperlink ref="M84" r:id="rId83" display="https://www.ezhunaonline.com/sangam-age-in-sri-lankan-brahmic-inscriptions/"/>
    <hyperlink ref="M85" r:id="rId84" display="https://www.ezhunaonline.com/how-kannagi-worship-entered-sri-lanka/"/>
    <hyperlink ref="M86" r:id="rId85" display="https://www.ezhunaonline.com/the-kallanchiya-rock-inscription-tells-of-king-nagan/"/>
    <hyperlink ref="M87" r:id="rId86" display="https://www.ezhunaonline.com/the-archaeological-value-of-cheddikulam/"/>
    <hyperlink ref="M88" r:id="rId87" display="https://www.ezhunaonline.com/folk-religion-and-hinduism/"/>
    <hyperlink ref="M89" r:id="rId88" display="https://www.ezhunaonline.com/kanaki-worship-in-ancient-tamil-culture/"/>
    <hyperlink ref="M90" r:id="rId89" display="https://www.ezhunaonline.com/article/brahmi-script-and-early-literacy/"/>
    <hyperlink ref="M91" r:id="rId90" display="https://www.ezhunaonline.com/compilation/buddhism-and-tamils-during-megalith-of-srilanka/"/>
    <hyperlink ref="M92" r:id="rId91" display="https://www.ezhunaonline.com/history-of-ariya-kulam-jaffna/"/>
    <hyperlink ref="M93" r:id="rId92" display="https://www.ezhunaonline.com/tamil-rasathani-in-vanni-kurundankula-temple/"/>
    <hyperlink ref="M94" r:id="rId93" display="https://www.ezhunaonline.com/jaffna-fort/"/>
    <hyperlink ref="M95" r:id="rId94" display="https://www.ezhunaonline.com/velana-palaeolithic-culture-at-chatti/"/>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7"/>
    <col collapsed="false" customWidth="true" hidden="false" outlineLevel="0" max="4" min="4" style="0" width="11"/>
    <col collapsed="false" customWidth="true" hidden="false" outlineLevel="0" max="5" min="5" style="0" width="60"/>
    <col collapsed="false" customWidth="true" hidden="false" outlineLevel="0" max="6" min="6" style="0" width="28"/>
    <col collapsed="false" customWidth="true" hidden="false" outlineLevel="0" max="7" min="7" style="0" width="34"/>
    <col collapsed="false" customWidth="true" hidden="false" outlineLevel="0" max="8" min="8" style="0" width="18"/>
    <col collapsed="false" customWidth="true" hidden="false" outlineLevel="0" max="9" min="9" style="0" width="10"/>
    <col collapsed="false" customWidth="true" hidden="false" outlineLevel="0" max="11" min="10" style="0" width="30"/>
    <col collapsed="false" customWidth="true" hidden="false" outlineLevel="0" max="12" min="12" style="0" width="14"/>
    <col collapsed="false" customWidth="true" hidden="false" outlineLevel="0" max="13" min="13" style="0" width="30"/>
    <col collapsed="false" customWidth="true" hidden="false" outlineLevel="0" max="14" min="14" style="0" width="45"/>
  </cols>
  <sheetData>
    <row r="1" customFormat="false" ht="30" hidden="false" customHeight="true" outlineLevel="0" collapsed="false">
      <c r="A1" s="6" t="s">
        <v>28</v>
      </c>
      <c r="B1" s="6" t="s">
        <v>3</v>
      </c>
      <c r="C1" s="6" t="s">
        <v>29</v>
      </c>
      <c r="D1" s="6" t="s">
        <v>30</v>
      </c>
      <c r="E1" s="6" t="s">
        <v>31</v>
      </c>
      <c r="F1" s="6" t="s">
        <v>32</v>
      </c>
      <c r="G1" s="6" t="s">
        <v>33</v>
      </c>
      <c r="H1" s="6" t="s">
        <v>34</v>
      </c>
      <c r="I1" s="6" t="s">
        <v>35</v>
      </c>
      <c r="J1" s="6" t="s">
        <v>36</v>
      </c>
      <c r="K1" s="6" t="s">
        <v>37</v>
      </c>
      <c r="L1" s="6" t="s">
        <v>5</v>
      </c>
      <c r="M1" s="6" t="s">
        <v>38</v>
      </c>
      <c r="N1" s="6" t="s">
        <v>39</v>
      </c>
    </row>
    <row r="2" customFormat="false" ht="23.85" hidden="false" customHeight="false" outlineLevel="0" collapsed="false">
      <c r="A2" s="7" t="s">
        <v>1222</v>
      </c>
      <c r="B2" s="7" t="s">
        <v>6</v>
      </c>
      <c r="C2" s="8" t="s">
        <v>41</v>
      </c>
      <c r="D2" s="7" t="s">
        <v>42</v>
      </c>
      <c r="E2" s="9" t="s">
        <v>43</v>
      </c>
      <c r="F2" s="9" t="s">
        <v>44</v>
      </c>
      <c r="G2" s="9"/>
      <c r="H2" s="7" t="s">
        <v>45</v>
      </c>
      <c r="I2" s="7" t="s">
        <v>46</v>
      </c>
      <c r="J2" s="9" t="s">
        <v>47</v>
      </c>
      <c r="K2" s="9" t="s">
        <v>48</v>
      </c>
      <c r="L2" s="7" t="s">
        <v>49</v>
      </c>
      <c r="M2" s="9" t="s">
        <v>50</v>
      </c>
      <c r="N2" s="10" t="s">
        <v>51</v>
      </c>
    </row>
    <row r="3" customFormat="false" ht="23.85" hidden="false" customHeight="false" outlineLevel="0" collapsed="false">
      <c r="A3" s="11" t="s">
        <v>1223</v>
      </c>
      <c r="B3" s="11" t="s">
        <v>6</v>
      </c>
      <c r="C3" s="12" t="s">
        <v>53</v>
      </c>
      <c r="D3" s="11"/>
      <c r="E3" s="13" t="s">
        <v>54</v>
      </c>
      <c r="F3" s="13" t="s">
        <v>55</v>
      </c>
      <c r="G3" s="13" t="s">
        <v>56</v>
      </c>
      <c r="H3" s="11" t="s">
        <v>45</v>
      </c>
      <c r="I3" s="11" t="s">
        <v>57</v>
      </c>
      <c r="J3" s="13" t="s">
        <v>58</v>
      </c>
      <c r="K3" s="13" t="s">
        <v>59</v>
      </c>
      <c r="L3" s="11" t="s">
        <v>49</v>
      </c>
      <c r="M3" s="13" t="s">
        <v>60</v>
      </c>
      <c r="N3" s="14" t="s">
        <v>61</v>
      </c>
    </row>
    <row r="4" customFormat="false" ht="15" hidden="false" customHeight="false" outlineLevel="0" collapsed="false">
      <c r="A4" s="7" t="s">
        <v>1224</v>
      </c>
      <c r="B4" s="7" t="s">
        <v>6</v>
      </c>
      <c r="C4" s="8" t="s">
        <v>63</v>
      </c>
      <c r="D4" s="7"/>
      <c r="E4" s="9" t="s">
        <v>64</v>
      </c>
      <c r="F4" s="9" t="s">
        <v>65</v>
      </c>
      <c r="G4" s="9" t="s">
        <v>66</v>
      </c>
      <c r="H4" s="7" t="s">
        <v>45</v>
      </c>
      <c r="I4" s="7" t="s">
        <v>46</v>
      </c>
      <c r="J4" s="9" t="s">
        <v>14</v>
      </c>
      <c r="K4" s="9" t="s">
        <v>67</v>
      </c>
      <c r="L4" s="7" t="s">
        <v>49</v>
      </c>
      <c r="M4" s="9"/>
      <c r="N4" s="10" t="s">
        <v>68</v>
      </c>
    </row>
    <row r="5" customFormat="false" ht="15" hidden="false" customHeight="false" outlineLevel="0" collapsed="false">
      <c r="A5" s="11" t="s">
        <v>1225</v>
      </c>
      <c r="B5" s="11" t="s">
        <v>6</v>
      </c>
      <c r="C5" s="12" t="s">
        <v>70</v>
      </c>
      <c r="D5" s="11"/>
      <c r="E5" s="13" t="s">
        <v>71</v>
      </c>
      <c r="F5" s="13" t="s">
        <v>72</v>
      </c>
      <c r="G5" s="13" t="s">
        <v>73</v>
      </c>
      <c r="H5" s="11" t="s">
        <v>74</v>
      </c>
      <c r="I5" s="11" t="s">
        <v>57</v>
      </c>
      <c r="J5" s="13" t="s">
        <v>12</v>
      </c>
      <c r="K5" s="13" t="s">
        <v>75</v>
      </c>
      <c r="L5" s="11" t="s">
        <v>49</v>
      </c>
      <c r="M5" s="13"/>
      <c r="N5" s="14" t="s">
        <v>76</v>
      </c>
    </row>
    <row r="6" customFormat="false" ht="23.85" hidden="false" customHeight="false" outlineLevel="0" collapsed="false">
      <c r="A6" s="7" t="s">
        <v>1226</v>
      </c>
      <c r="B6" s="7" t="s">
        <v>6</v>
      </c>
      <c r="C6" s="8" t="s">
        <v>78</v>
      </c>
      <c r="D6" s="7"/>
      <c r="E6" s="9" t="s">
        <v>79</v>
      </c>
      <c r="F6" s="9" t="s">
        <v>80</v>
      </c>
      <c r="G6" s="9" t="s">
        <v>81</v>
      </c>
      <c r="H6" s="7" t="s">
        <v>74</v>
      </c>
      <c r="I6" s="7" t="s">
        <v>46</v>
      </c>
      <c r="J6" s="9" t="s">
        <v>14</v>
      </c>
      <c r="K6" s="9" t="s">
        <v>82</v>
      </c>
      <c r="L6" s="7" t="s">
        <v>49</v>
      </c>
      <c r="M6" s="9"/>
      <c r="N6" s="10" t="s">
        <v>76</v>
      </c>
    </row>
    <row r="7" customFormat="false" ht="23.85" hidden="false" customHeight="false" outlineLevel="0" collapsed="false">
      <c r="A7" s="11" t="s">
        <v>1227</v>
      </c>
      <c r="B7" s="11" t="s">
        <v>6</v>
      </c>
      <c r="C7" s="12" t="s">
        <v>84</v>
      </c>
      <c r="D7" s="11"/>
      <c r="E7" s="13" t="s">
        <v>85</v>
      </c>
      <c r="F7" s="13" t="s">
        <v>86</v>
      </c>
      <c r="G7" s="13" t="s">
        <v>87</v>
      </c>
      <c r="H7" s="11" t="s">
        <v>45</v>
      </c>
      <c r="I7" s="11" t="s">
        <v>46</v>
      </c>
      <c r="J7" s="13" t="s">
        <v>12</v>
      </c>
      <c r="K7" s="13" t="s">
        <v>88</v>
      </c>
      <c r="L7" s="11" t="s">
        <v>49</v>
      </c>
      <c r="M7" s="13" t="s">
        <v>89</v>
      </c>
      <c r="N7" s="14" t="s">
        <v>90</v>
      </c>
    </row>
    <row r="8" customFormat="false" ht="23.85" hidden="false" customHeight="false" outlineLevel="0" collapsed="false">
      <c r="A8" s="7" t="s">
        <v>1228</v>
      </c>
      <c r="B8" s="7" t="s">
        <v>6</v>
      </c>
      <c r="C8" s="8" t="s">
        <v>92</v>
      </c>
      <c r="D8" s="7"/>
      <c r="E8" s="9" t="s">
        <v>93</v>
      </c>
      <c r="F8" s="9" t="s">
        <v>44</v>
      </c>
      <c r="G8" s="9" t="s">
        <v>94</v>
      </c>
      <c r="H8" s="7" t="s">
        <v>45</v>
      </c>
      <c r="I8" s="7" t="s">
        <v>57</v>
      </c>
      <c r="J8" s="9" t="s">
        <v>12</v>
      </c>
      <c r="K8" s="9" t="s">
        <v>95</v>
      </c>
      <c r="L8" s="7" t="s">
        <v>49</v>
      </c>
      <c r="M8" s="9" t="s">
        <v>96</v>
      </c>
      <c r="N8" s="10" t="s">
        <v>97</v>
      </c>
    </row>
    <row r="9" customFormat="false" ht="23.85" hidden="false" customHeight="false" outlineLevel="0" collapsed="false">
      <c r="A9" s="11" t="s">
        <v>1229</v>
      </c>
      <c r="B9" s="11" t="s">
        <v>6</v>
      </c>
      <c r="C9" s="12" t="s">
        <v>92</v>
      </c>
      <c r="D9" s="11"/>
      <c r="E9" s="13" t="s">
        <v>99</v>
      </c>
      <c r="F9" s="13" t="s">
        <v>44</v>
      </c>
      <c r="G9" s="13" t="s">
        <v>100</v>
      </c>
      <c r="H9" s="11" t="s">
        <v>45</v>
      </c>
      <c r="I9" s="11" t="s">
        <v>57</v>
      </c>
      <c r="J9" s="13" t="s">
        <v>12</v>
      </c>
      <c r="K9" s="13" t="s">
        <v>101</v>
      </c>
      <c r="L9" s="11" t="s">
        <v>49</v>
      </c>
      <c r="M9" s="13"/>
      <c r="N9" s="14" t="s">
        <v>102</v>
      </c>
    </row>
    <row r="10" customFormat="false" ht="23.85" hidden="false" customHeight="false" outlineLevel="0" collapsed="false">
      <c r="A10" s="7" t="s">
        <v>1230</v>
      </c>
      <c r="B10" s="7" t="s">
        <v>6</v>
      </c>
      <c r="C10" s="8" t="s">
        <v>104</v>
      </c>
      <c r="D10" s="7"/>
      <c r="E10" s="9" t="s">
        <v>105</v>
      </c>
      <c r="F10" s="9" t="s">
        <v>106</v>
      </c>
      <c r="G10" s="9" t="s">
        <v>94</v>
      </c>
      <c r="H10" s="7" t="s">
        <v>107</v>
      </c>
      <c r="I10" s="7" t="s">
        <v>57</v>
      </c>
      <c r="J10" s="9"/>
      <c r="K10" s="9" t="s">
        <v>108</v>
      </c>
      <c r="L10" s="7" t="s">
        <v>49</v>
      </c>
      <c r="M10" s="9" t="s">
        <v>109</v>
      </c>
      <c r="N10" s="10" t="s">
        <v>97</v>
      </c>
    </row>
    <row r="11" customFormat="false" ht="23.85" hidden="false" customHeight="false" outlineLevel="0" collapsed="false">
      <c r="A11" s="11" t="s">
        <v>1231</v>
      </c>
      <c r="B11" s="11" t="s">
        <v>6</v>
      </c>
      <c r="C11" s="12" t="s">
        <v>104</v>
      </c>
      <c r="D11" s="11"/>
      <c r="E11" s="13" t="s">
        <v>111</v>
      </c>
      <c r="F11" s="13" t="s">
        <v>65</v>
      </c>
      <c r="G11" s="13" t="s">
        <v>112</v>
      </c>
      <c r="H11" s="11" t="s">
        <v>45</v>
      </c>
      <c r="I11" s="11" t="s">
        <v>46</v>
      </c>
      <c r="J11" s="13" t="s">
        <v>58</v>
      </c>
      <c r="K11" s="13" t="s">
        <v>113</v>
      </c>
      <c r="L11" s="11" t="s">
        <v>49</v>
      </c>
      <c r="M11" s="13"/>
      <c r="N11" s="14" t="s">
        <v>68</v>
      </c>
    </row>
    <row r="12" customFormat="false" ht="23.85" hidden="false" customHeight="false" outlineLevel="0" collapsed="false">
      <c r="A12" s="7" t="s">
        <v>1232</v>
      </c>
      <c r="B12" s="7" t="s">
        <v>6</v>
      </c>
      <c r="C12" s="8" t="s">
        <v>115</v>
      </c>
      <c r="D12" s="7"/>
      <c r="E12" s="9" t="s">
        <v>116</v>
      </c>
      <c r="F12" s="9" t="s">
        <v>117</v>
      </c>
      <c r="G12" s="9" t="s">
        <v>118</v>
      </c>
      <c r="H12" s="7" t="s">
        <v>45</v>
      </c>
      <c r="I12" s="7" t="s">
        <v>46</v>
      </c>
      <c r="J12" s="9" t="s">
        <v>12</v>
      </c>
      <c r="K12" s="9" t="s">
        <v>119</v>
      </c>
      <c r="L12" s="7" t="s">
        <v>49</v>
      </c>
      <c r="M12" s="9" t="s">
        <v>120</v>
      </c>
      <c r="N12" s="10" t="s">
        <v>121</v>
      </c>
    </row>
    <row r="13" customFormat="false" ht="15" hidden="false" customHeight="false" outlineLevel="0" collapsed="false">
      <c r="A13" s="11" t="s">
        <v>1233</v>
      </c>
      <c r="B13" s="11" t="s">
        <v>6</v>
      </c>
      <c r="C13" s="12" t="s">
        <v>115</v>
      </c>
      <c r="D13" s="11"/>
      <c r="E13" s="13" t="s">
        <v>123</v>
      </c>
      <c r="F13" s="13" t="s">
        <v>44</v>
      </c>
      <c r="G13" s="13" t="s">
        <v>118</v>
      </c>
      <c r="H13" s="11" t="s">
        <v>45</v>
      </c>
      <c r="I13" s="11" t="s">
        <v>57</v>
      </c>
      <c r="J13" s="13"/>
      <c r="K13" s="13" t="s">
        <v>124</v>
      </c>
      <c r="L13" s="11" t="s">
        <v>49</v>
      </c>
      <c r="M13" s="13"/>
      <c r="N13" s="14" t="s">
        <v>97</v>
      </c>
    </row>
    <row r="14" customFormat="false" ht="15" hidden="false" customHeight="false" outlineLevel="0" collapsed="false">
      <c r="A14" s="7" t="s">
        <v>1234</v>
      </c>
      <c r="B14" s="7" t="s">
        <v>6</v>
      </c>
      <c r="C14" s="8" t="s">
        <v>115</v>
      </c>
      <c r="D14" s="7"/>
      <c r="E14" s="9" t="s">
        <v>126</v>
      </c>
      <c r="F14" s="9" t="s">
        <v>44</v>
      </c>
      <c r="G14" s="9" t="s">
        <v>127</v>
      </c>
      <c r="H14" s="7" t="s">
        <v>45</v>
      </c>
      <c r="I14" s="7" t="s">
        <v>57</v>
      </c>
      <c r="J14" s="9"/>
      <c r="K14" s="9" t="s">
        <v>128</v>
      </c>
      <c r="L14" s="7" t="s">
        <v>49</v>
      </c>
      <c r="M14" s="9"/>
      <c r="N14" s="10" t="s">
        <v>102</v>
      </c>
    </row>
    <row r="15" customFormat="false" ht="23.85" hidden="false" customHeight="false" outlineLevel="0" collapsed="false">
      <c r="A15" s="11" t="s">
        <v>1235</v>
      </c>
      <c r="B15" s="11" t="s">
        <v>6</v>
      </c>
      <c r="C15" s="12" t="s">
        <v>130</v>
      </c>
      <c r="D15" s="11"/>
      <c r="E15" s="13" t="s">
        <v>131</v>
      </c>
      <c r="F15" s="13" t="s">
        <v>132</v>
      </c>
      <c r="G15" s="13" t="s">
        <v>133</v>
      </c>
      <c r="H15" s="11" t="s">
        <v>45</v>
      </c>
      <c r="I15" s="11" t="s">
        <v>46</v>
      </c>
      <c r="J15" s="13" t="s">
        <v>58</v>
      </c>
      <c r="K15" s="13" t="s">
        <v>134</v>
      </c>
      <c r="L15" s="11" t="s">
        <v>49</v>
      </c>
      <c r="M15" s="13" t="s">
        <v>135</v>
      </c>
      <c r="N15" s="14" t="s">
        <v>136</v>
      </c>
    </row>
    <row r="16" customFormat="false" ht="15" hidden="false" customHeight="false" outlineLevel="0" collapsed="false">
      <c r="A16" s="7" t="s">
        <v>1236</v>
      </c>
      <c r="B16" s="7" t="s">
        <v>6</v>
      </c>
      <c r="C16" s="8" t="s">
        <v>130</v>
      </c>
      <c r="D16" s="7"/>
      <c r="E16" s="9" t="s">
        <v>138</v>
      </c>
      <c r="F16" s="9" t="s">
        <v>139</v>
      </c>
      <c r="G16" s="9" t="s">
        <v>140</v>
      </c>
      <c r="H16" s="7" t="s">
        <v>74</v>
      </c>
      <c r="I16" s="7" t="s">
        <v>46</v>
      </c>
      <c r="J16" s="9" t="s">
        <v>14</v>
      </c>
      <c r="K16" s="9" t="s">
        <v>141</v>
      </c>
      <c r="L16" s="7" t="s">
        <v>49</v>
      </c>
      <c r="M16" s="9"/>
      <c r="N16" s="10" t="s">
        <v>97</v>
      </c>
    </row>
    <row r="17" customFormat="false" ht="23.85" hidden="false" customHeight="false" outlineLevel="0" collapsed="false">
      <c r="A17" s="11" t="s">
        <v>1237</v>
      </c>
      <c r="B17" s="11" t="s">
        <v>6</v>
      </c>
      <c r="C17" s="12" t="s">
        <v>143</v>
      </c>
      <c r="D17" s="11"/>
      <c r="E17" s="13" t="s">
        <v>144</v>
      </c>
      <c r="F17" s="13" t="s">
        <v>145</v>
      </c>
      <c r="G17" s="13" t="s">
        <v>146</v>
      </c>
      <c r="H17" s="11" t="s">
        <v>45</v>
      </c>
      <c r="I17" s="11" t="s">
        <v>46</v>
      </c>
      <c r="J17" s="13" t="s">
        <v>47</v>
      </c>
      <c r="K17" s="13" t="s">
        <v>147</v>
      </c>
      <c r="L17" s="11" t="s">
        <v>49</v>
      </c>
      <c r="M17" s="13" t="s">
        <v>148</v>
      </c>
      <c r="N17" s="14" t="s">
        <v>149</v>
      </c>
    </row>
    <row r="18" customFormat="false" ht="23.85" hidden="false" customHeight="false" outlineLevel="0" collapsed="false">
      <c r="A18" s="7" t="s">
        <v>1238</v>
      </c>
      <c r="B18" s="7" t="s">
        <v>6</v>
      </c>
      <c r="C18" s="8" t="s">
        <v>151</v>
      </c>
      <c r="D18" s="7"/>
      <c r="E18" s="9" t="s">
        <v>152</v>
      </c>
      <c r="F18" s="9" t="s">
        <v>153</v>
      </c>
      <c r="G18" s="9" t="s">
        <v>154</v>
      </c>
      <c r="H18" s="7" t="s">
        <v>45</v>
      </c>
      <c r="I18" s="7" t="s">
        <v>57</v>
      </c>
      <c r="J18" s="9" t="s">
        <v>14</v>
      </c>
      <c r="K18" s="9" t="s">
        <v>155</v>
      </c>
      <c r="L18" s="7" t="s">
        <v>49</v>
      </c>
      <c r="M18" s="9"/>
      <c r="N18" s="10" t="s">
        <v>102</v>
      </c>
    </row>
    <row r="19" customFormat="false" ht="35.05" hidden="false" customHeight="false" outlineLevel="0" collapsed="false">
      <c r="A19" s="11" t="s">
        <v>1239</v>
      </c>
      <c r="B19" s="11" t="s">
        <v>6</v>
      </c>
      <c r="C19" s="12" t="s">
        <v>157</v>
      </c>
      <c r="D19" s="11"/>
      <c r="E19" s="13" t="s">
        <v>158</v>
      </c>
      <c r="F19" s="13" t="s">
        <v>159</v>
      </c>
      <c r="G19" s="13" t="s">
        <v>160</v>
      </c>
      <c r="H19" s="11" t="s">
        <v>74</v>
      </c>
      <c r="I19" s="11" t="s">
        <v>46</v>
      </c>
      <c r="J19" s="13" t="s">
        <v>14</v>
      </c>
      <c r="K19" s="13" t="s">
        <v>67</v>
      </c>
      <c r="L19" s="11" t="s">
        <v>49</v>
      </c>
      <c r="M19" s="13"/>
      <c r="N19" s="14" t="s">
        <v>97</v>
      </c>
    </row>
    <row r="20" customFormat="false" ht="15" hidden="false" customHeight="false" outlineLevel="0" collapsed="false">
      <c r="A20" s="7" t="s">
        <v>1240</v>
      </c>
      <c r="B20" s="7" t="s">
        <v>6</v>
      </c>
      <c r="C20" s="8" t="s">
        <v>157</v>
      </c>
      <c r="D20" s="7"/>
      <c r="E20" s="9" t="s">
        <v>162</v>
      </c>
      <c r="F20" s="9" t="s">
        <v>163</v>
      </c>
      <c r="G20" s="9" t="s">
        <v>164</v>
      </c>
      <c r="H20" s="7" t="s">
        <v>74</v>
      </c>
      <c r="I20" s="7" t="s">
        <v>46</v>
      </c>
      <c r="J20" s="9" t="s">
        <v>12</v>
      </c>
      <c r="K20" s="9" t="s">
        <v>165</v>
      </c>
      <c r="L20" s="7" t="s">
        <v>49</v>
      </c>
      <c r="M20" s="9" t="s">
        <v>166</v>
      </c>
      <c r="N20" s="10" t="s">
        <v>97</v>
      </c>
    </row>
    <row r="21" customFormat="false" ht="23.85" hidden="false" customHeight="false" outlineLevel="0" collapsed="false">
      <c r="A21" s="11" t="s">
        <v>1241</v>
      </c>
      <c r="B21" s="11" t="s">
        <v>6</v>
      </c>
      <c r="C21" s="12" t="s">
        <v>168</v>
      </c>
      <c r="D21" s="11"/>
      <c r="E21" s="13" t="s">
        <v>169</v>
      </c>
      <c r="F21" s="13" t="s">
        <v>170</v>
      </c>
      <c r="G21" s="13" t="s">
        <v>171</v>
      </c>
      <c r="H21" s="11" t="s">
        <v>45</v>
      </c>
      <c r="I21" s="11" t="s">
        <v>46</v>
      </c>
      <c r="J21" s="13" t="s">
        <v>17</v>
      </c>
      <c r="K21" s="13" t="s">
        <v>172</v>
      </c>
      <c r="L21" s="11" t="s">
        <v>49</v>
      </c>
      <c r="M21" s="13" t="s">
        <v>173</v>
      </c>
      <c r="N21" s="14" t="s">
        <v>174</v>
      </c>
    </row>
    <row r="22" customFormat="false" ht="23.85" hidden="false" customHeight="false" outlineLevel="0" collapsed="false">
      <c r="A22" s="7" t="s">
        <v>1242</v>
      </c>
      <c r="B22" s="7" t="s">
        <v>6</v>
      </c>
      <c r="C22" s="8" t="s">
        <v>168</v>
      </c>
      <c r="D22" s="7"/>
      <c r="E22" s="9" t="s">
        <v>176</v>
      </c>
      <c r="F22" s="9" t="s">
        <v>177</v>
      </c>
      <c r="G22" s="9" t="s">
        <v>178</v>
      </c>
      <c r="H22" s="7" t="s">
        <v>45</v>
      </c>
      <c r="I22" s="7" t="s">
        <v>46</v>
      </c>
      <c r="J22" s="9"/>
      <c r="K22" s="9" t="s">
        <v>179</v>
      </c>
      <c r="L22" s="7" t="s">
        <v>49</v>
      </c>
      <c r="M22" s="9" t="s">
        <v>180</v>
      </c>
      <c r="N22" s="10" t="s">
        <v>181</v>
      </c>
    </row>
    <row r="23" customFormat="false" ht="23.85" hidden="false" customHeight="false" outlineLevel="0" collapsed="false">
      <c r="A23" s="11" t="s">
        <v>1243</v>
      </c>
      <c r="B23" s="11" t="s">
        <v>6</v>
      </c>
      <c r="C23" s="12" t="s">
        <v>183</v>
      </c>
      <c r="D23" s="11"/>
      <c r="E23" s="13" t="s">
        <v>184</v>
      </c>
      <c r="F23" s="13" t="s">
        <v>185</v>
      </c>
      <c r="G23" s="13" t="s">
        <v>186</v>
      </c>
      <c r="H23" s="11" t="s">
        <v>45</v>
      </c>
      <c r="I23" s="11" t="s">
        <v>46</v>
      </c>
      <c r="J23" s="13" t="s">
        <v>12</v>
      </c>
      <c r="K23" s="13" t="s">
        <v>187</v>
      </c>
      <c r="L23" s="11" t="s">
        <v>188</v>
      </c>
      <c r="M23" s="13" t="s">
        <v>189</v>
      </c>
      <c r="N23" s="14" t="s">
        <v>190</v>
      </c>
    </row>
    <row r="24" customFormat="false" ht="23.85" hidden="false" customHeight="false" outlineLevel="0" collapsed="false">
      <c r="A24" s="7" t="s">
        <v>1244</v>
      </c>
      <c r="B24" s="7" t="s">
        <v>6</v>
      </c>
      <c r="C24" s="8" t="s">
        <v>192</v>
      </c>
      <c r="D24" s="7"/>
      <c r="E24" s="9" t="s">
        <v>193</v>
      </c>
      <c r="F24" s="9" t="s">
        <v>194</v>
      </c>
      <c r="G24" s="9" t="s">
        <v>94</v>
      </c>
      <c r="H24" s="7" t="s">
        <v>45</v>
      </c>
      <c r="I24" s="7" t="s">
        <v>57</v>
      </c>
      <c r="J24" s="9" t="s">
        <v>12</v>
      </c>
      <c r="K24" s="9" t="s">
        <v>195</v>
      </c>
      <c r="L24" s="7" t="s">
        <v>188</v>
      </c>
      <c r="M24" s="9" t="s">
        <v>196</v>
      </c>
      <c r="N24" s="10" t="s">
        <v>197</v>
      </c>
    </row>
    <row r="25" customFormat="false" ht="23.85" hidden="false" customHeight="false" outlineLevel="0" collapsed="false">
      <c r="A25" s="11" t="s">
        <v>1245</v>
      </c>
      <c r="B25" s="11" t="s">
        <v>6</v>
      </c>
      <c r="C25" s="12" t="s">
        <v>192</v>
      </c>
      <c r="D25" s="11"/>
      <c r="E25" s="13" t="s">
        <v>199</v>
      </c>
      <c r="F25" s="13" t="s">
        <v>145</v>
      </c>
      <c r="G25" s="13" t="s">
        <v>200</v>
      </c>
      <c r="H25" s="11" t="s">
        <v>45</v>
      </c>
      <c r="I25" s="11" t="s">
        <v>57</v>
      </c>
      <c r="J25" s="13" t="s">
        <v>201</v>
      </c>
      <c r="K25" s="13" t="s">
        <v>202</v>
      </c>
      <c r="L25" s="11" t="s">
        <v>188</v>
      </c>
      <c r="M25" s="13" t="s">
        <v>203</v>
      </c>
      <c r="N25" s="14" t="s">
        <v>204</v>
      </c>
    </row>
    <row r="26" customFormat="false" ht="15" hidden="false" customHeight="false" outlineLevel="0" collapsed="false">
      <c r="A26" s="7" t="s">
        <v>1246</v>
      </c>
      <c r="B26" s="7" t="s">
        <v>6</v>
      </c>
      <c r="C26" s="8" t="s">
        <v>206</v>
      </c>
      <c r="D26" s="7"/>
      <c r="E26" s="9" t="s">
        <v>207</v>
      </c>
      <c r="F26" s="9" t="s">
        <v>208</v>
      </c>
      <c r="G26" s="9" t="s">
        <v>209</v>
      </c>
      <c r="H26" s="7" t="s">
        <v>45</v>
      </c>
      <c r="I26" s="7" t="s">
        <v>46</v>
      </c>
      <c r="J26" s="9" t="s">
        <v>14</v>
      </c>
      <c r="K26" s="9" t="s">
        <v>210</v>
      </c>
      <c r="L26" s="7" t="s">
        <v>188</v>
      </c>
      <c r="M26" s="9" t="s">
        <v>211</v>
      </c>
      <c r="N26" s="10" t="s">
        <v>212</v>
      </c>
    </row>
    <row r="27" customFormat="false" ht="15" hidden="false" customHeight="false" outlineLevel="0" collapsed="false">
      <c r="A27" s="11" t="s">
        <v>1247</v>
      </c>
      <c r="B27" s="11" t="s">
        <v>6</v>
      </c>
      <c r="C27" s="12" t="s">
        <v>214</v>
      </c>
      <c r="D27" s="11"/>
      <c r="E27" s="13" t="s">
        <v>215</v>
      </c>
      <c r="F27" s="13" t="s">
        <v>216</v>
      </c>
      <c r="G27" s="13" t="s">
        <v>217</v>
      </c>
      <c r="H27" s="11" t="s">
        <v>45</v>
      </c>
      <c r="I27" s="11" t="s">
        <v>46</v>
      </c>
      <c r="J27" s="13" t="s">
        <v>12</v>
      </c>
      <c r="K27" s="13" t="s">
        <v>218</v>
      </c>
      <c r="L27" s="11" t="s">
        <v>188</v>
      </c>
      <c r="M27" s="13" t="s">
        <v>211</v>
      </c>
      <c r="N27" s="14" t="s">
        <v>219</v>
      </c>
    </row>
    <row r="28" customFormat="false" ht="15" hidden="false" customHeight="false" outlineLevel="0" collapsed="false">
      <c r="A28" s="7" t="s">
        <v>1248</v>
      </c>
      <c r="B28" s="7" t="s">
        <v>6</v>
      </c>
      <c r="C28" s="8" t="s">
        <v>214</v>
      </c>
      <c r="D28" s="7"/>
      <c r="E28" s="9" t="s">
        <v>221</v>
      </c>
      <c r="F28" s="9" t="s">
        <v>222</v>
      </c>
      <c r="G28" s="9" t="s">
        <v>223</v>
      </c>
      <c r="H28" s="7" t="s">
        <v>45</v>
      </c>
      <c r="I28" s="7" t="s">
        <v>46</v>
      </c>
      <c r="J28" s="9" t="s">
        <v>12</v>
      </c>
      <c r="K28" s="9" t="s">
        <v>218</v>
      </c>
      <c r="L28" s="7" t="s">
        <v>188</v>
      </c>
      <c r="M28" s="9" t="s">
        <v>211</v>
      </c>
      <c r="N28" s="10" t="s">
        <v>224</v>
      </c>
    </row>
    <row r="29" customFormat="false" ht="15" hidden="false" customHeight="false" outlineLevel="0" collapsed="false">
      <c r="A29" s="11" t="s">
        <v>1249</v>
      </c>
      <c r="B29" s="11" t="s">
        <v>6</v>
      </c>
      <c r="C29" s="12"/>
      <c r="D29" s="11"/>
      <c r="E29" s="13" t="s">
        <v>226</v>
      </c>
      <c r="F29" s="13"/>
      <c r="G29" s="13" t="s">
        <v>227</v>
      </c>
      <c r="H29" s="11" t="s">
        <v>45</v>
      </c>
      <c r="I29" s="11" t="s">
        <v>46</v>
      </c>
      <c r="J29" s="13" t="s">
        <v>14</v>
      </c>
      <c r="K29" s="13" t="s">
        <v>228</v>
      </c>
      <c r="L29" s="11" t="s">
        <v>229</v>
      </c>
      <c r="M29" s="13" t="s">
        <v>230</v>
      </c>
      <c r="N29" s="14" t="s">
        <v>231</v>
      </c>
    </row>
    <row r="30" customFormat="false" ht="15" hidden="false" customHeight="false" outlineLevel="0" collapsed="false">
      <c r="A30" s="7" t="s">
        <v>1250</v>
      </c>
      <c r="B30" s="7" t="s">
        <v>6</v>
      </c>
      <c r="C30" s="8"/>
      <c r="D30" s="7"/>
      <c r="E30" s="9" t="s">
        <v>233</v>
      </c>
      <c r="F30" s="9" t="s">
        <v>234</v>
      </c>
      <c r="G30" s="9" t="s">
        <v>227</v>
      </c>
      <c r="H30" s="7" t="s">
        <v>45</v>
      </c>
      <c r="I30" s="7" t="s">
        <v>46</v>
      </c>
      <c r="J30" s="9" t="s">
        <v>14</v>
      </c>
      <c r="K30" s="9" t="s">
        <v>235</v>
      </c>
      <c r="L30" s="7" t="s">
        <v>229</v>
      </c>
      <c r="M30" s="9" t="s">
        <v>236</v>
      </c>
      <c r="N30" s="10" t="s">
        <v>237</v>
      </c>
    </row>
    <row r="31" customFormat="false" ht="15" hidden="false" customHeight="false" outlineLevel="0" collapsed="false">
      <c r="A31" s="11" t="s">
        <v>1251</v>
      </c>
      <c r="B31" s="11" t="s">
        <v>6</v>
      </c>
      <c r="C31" s="12"/>
      <c r="D31" s="11"/>
      <c r="E31" s="13" t="s">
        <v>239</v>
      </c>
      <c r="F31" s="13"/>
      <c r="G31" s="13" t="s">
        <v>227</v>
      </c>
      <c r="H31" s="11" t="s">
        <v>45</v>
      </c>
      <c r="I31" s="11" t="s">
        <v>46</v>
      </c>
      <c r="J31" s="13" t="s">
        <v>14</v>
      </c>
      <c r="K31" s="13" t="s">
        <v>240</v>
      </c>
      <c r="L31" s="11" t="s">
        <v>229</v>
      </c>
      <c r="M31" s="13" t="s">
        <v>230</v>
      </c>
      <c r="N31" s="14" t="s">
        <v>241</v>
      </c>
    </row>
    <row r="32" customFormat="false" ht="23.85" hidden="false" customHeight="false" outlineLevel="0" collapsed="false">
      <c r="A32" s="7" t="s">
        <v>1252</v>
      </c>
      <c r="B32" s="7" t="s">
        <v>6</v>
      </c>
      <c r="C32" s="8"/>
      <c r="D32" s="7"/>
      <c r="E32" s="9" t="s">
        <v>243</v>
      </c>
      <c r="F32" s="9"/>
      <c r="G32" s="9" t="s">
        <v>244</v>
      </c>
      <c r="H32" s="7" t="s">
        <v>45</v>
      </c>
      <c r="I32" s="7" t="s">
        <v>46</v>
      </c>
      <c r="J32" s="9" t="s">
        <v>14</v>
      </c>
      <c r="K32" s="9" t="s">
        <v>245</v>
      </c>
      <c r="L32" s="7" t="s">
        <v>229</v>
      </c>
      <c r="M32" s="9" t="s">
        <v>246</v>
      </c>
      <c r="N32" s="10" t="s">
        <v>247</v>
      </c>
    </row>
    <row r="33" customFormat="false" ht="23.85" hidden="false" customHeight="false" outlineLevel="0" collapsed="false">
      <c r="A33" s="11" t="s">
        <v>1253</v>
      </c>
      <c r="B33" s="11" t="s">
        <v>7</v>
      </c>
      <c r="C33" s="12" t="s">
        <v>41</v>
      </c>
      <c r="D33" s="11"/>
      <c r="E33" s="13" t="s">
        <v>249</v>
      </c>
      <c r="F33" s="13" t="s">
        <v>250</v>
      </c>
      <c r="G33" s="13" t="s">
        <v>251</v>
      </c>
      <c r="H33" s="11" t="s">
        <v>252</v>
      </c>
      <c r="I33" s="11" t="s">
        <v>46</v>
      </c>
      <c r="J33" s="13" t="s">
        <v>14</v>
      </c>
      <c r="K33" s="13" t="s">
        <v>253</v>
      </c>
      <c r="L33" s="11" t="s">
        <v>49</v>
      </c>
      <c r="M33" s="13"/>
      <c r="N33" s="14" t="s">
        <v>254</v>
      </c>
    </row>
    <row r="34" customFormat="false" ht="23.85" hidden="false" customHeight="false" outlineLevel="0" collapsed="false">
      <c r="A34" s="7" t="s">
        <v>1254</v>
      </c>
      <c r="B34" s="7" t="s">
        <v>7</v>
      </c>
      <c r="C34" s="8" t="s">
        <v>53</v>
      </c>
      <c r="D34" s="7"/>
      <c r="E34" s="9" t="s">
        <v>256</v>
      </c>
      <c r="F34" s="9"/>
      <c r="G34" s="9" t="s">
        <v>257</v>
      </c>
      <c r="H34" s="7" t="s">
        <v>258</v>
      </c>
      <c r="I34" s="7" t="s">
        <v>46</v>
      </c>
      <c r="J34" s="9" t="s">
        <v>14</v>
      </c>
      <c r="K34" s="9" t="s">
        <v>259</v>
      </c>
      <c r="L34" s="7" t="s">
        <v>49</v>
      </c>
      <c r="M34" s="9" t="s">
        <v>260</v>
      </c>
      <c r="N34" s="10" t="s">
        <v>261</v>
      </c>
    </row>
    <row r="35" customFormat="false" ht="35.05" hidden="false" customHeight="false" outlineLevel="0" collapsed="false">
      <c r="A35" s="11" t="s">
        <v>1255</v>
      </c>
      <c r="B35" s="11" t="s">
        <v>7</v>
      </c>
      <c r="C35" s="12" t="s">
        <v>53</v>
      </c>
      <c r="D35" s="11"/>
      <c r="E35" s="13" t="s">
        <v>263</v>
      </c>
      <c r="F35" s="13" t="s">
        <v>264</v>
      </c>
      <c r="G35" s="13" t="s">
        <v>265</v>
      </c>
      <c r="H35" s="11" t="s">
        <v>252</v>
      </c>
      <c r="I35" s="11" t="s">
        <v>57</v>
      </c>
      <c r="J35" s="13" t="s">
        <v>12</v>
      </c>
      <c r="K35" s="13" t="s">
        <v>266</v>
      </c>
      <c r="L35" s="11" t="s">
        <v>49</v>
      </c>
      <c r="M35" s="13"/>
      <c r="N35" s="14" t="s">
        <v>254</v>
      </c>
    </row>
    <row r="36" customFormat="false" ht="23.85" hidden="false" customHeight="false" outlineLevel="0" collapsed="false">
      <c r="A36" s="7" t="s">
        <v>1256</v>
      </c>
      <c r="B36" s="7" t="s">
        <v>7</v>
      </c>
      <c r="C36" s="8" t="s">
        <v>53</v>
      </c>
      <c r="D36" s="7" t="s">
        <v>268</v>
      </c>
      <c r="E36" s="9" t="s">
        <v>269</v>
      </c>
      <c r="F36" s="9" t="s">
        <v>270</v>
      </c>
      <c r="G36" s="9" t="s">
        <v>271</v>
      </c>
      <c r="H36" s="7" t="s">
        <v>252</v>
      </c>
      <c r="I36" s="7" t="s">
        <v>46</v>
      </c>
      <c r="J36" s="9" t="s">
        <v>14</v>
      </c>
      <c r="K36" s="9" t="s">
        <v>272</v>
      </c>
      <c r="L36" s="7" t="s">
        <v>49</v>
      </c>
      <c r="M36" s="9"/>
      <c r="N36" s="10" t="s">
        <v>273</v>
      </c>
    </row>
    <row r="37" customFormat="false" ht="15" hidden="false" customHeight="false" outlineLevel="0" collapsed="false">
      <c r="A37" s="11" t="s">
        <v>1257</v>
      </c>
      <c r="B37" s="11" t="s">
        <v>7</v>
      </c>
      <c r="C37" s="12" t="s">
        <v>53</v>
      </c>
      <c r="D37" s="11" t="s">
        <v>275</v>
      </c>
      <c r="E37" s="13" t="s">
        <v>276</v>
      </c>
      <c r="F37" s="13"/>
      <c r="G37" s="13" t="s">
        <v>277</v>
      </c>
      <c r="H37" s="11" t="s">
        <v>278</v>
      </c>
      <c r="I37" s="11" t="s">
        <v>46</v>
      </c>
      <c r="J37" s="13" t="s">
        <v>15</v>
      </c>
      <c r="K37" s="13" t="s">
        <v>279</v>
      </c>
      <c r="L37" s="11" t="s">
        <v>49</v>
      </c>
      <c r="M37" s="13" t="s">
        <v>280</v>
      </c>
      <c r="N37" s="14" t="s">
        <v>281</v>
      </c>
    </row>
    <row r="38" customFormat="false" ht="23.85" hidden="false" customHeight="false" outlineLevel="0" collapsed="false">
      <c r="A38" s="7" t="s">
        <v>1258</v>
      </c>
      <c r="B38" s="7" t="s">
        <v>7</v>
      </c>
      <c r="C38" s="8" t="s">
        <v>283</v>
      </c>
      <c r="D38" s="7"/>
      <c r="E38" s="9" t="s">
        <v>284</v>
      </c>
      <c r="F38" s="9" t="s">
        <v>270</v>
      </c>
      <c r="G38" s="9" t="s">
        <v>285</v>
      </c>
      <c r="H38" s="7" t="s">
        <v>252</v>
      </c>
      <c r="I38" s="7" t="s">
        <v>46</v>
      </c>
      <c r="J38" s="9" t="s">
        <v>14</v>
      </c>
      <c r="K38" s="9" t="s">
        <v>286</v>
      </c>
      <c r="L38" s="7" t="s">
        <v>49</v>
      </c>
      <c r="M38" s="9"/>
      <c r="N38" s="10" t="s">
        <v>273</v>
      </c>
    </row>
    <row r="39" customFormat="false" ht="23.85" hidden="false" customHeight="false" outlineLevel="0" collapsed="false">
      <c r="A39" s="11" t="s">
        <v>1259</v>
      </c>
      <c r="B39" s="11" t="s">
        <v>7</v>
      </c>
      <c r="C39" s="12" t="s">
        <v>283</v>
      </c>
      <c r="D39" s="11"/>
      <c r="E39" s="13" t="s">
        <v>288</v>
      </c>
      <c r="F39" s="13" t="s">
        <v>264</v>
      </c>
      <c r="G39" s="13" t="s">
        <v>289</v>
      </c>
      <c r="H39" s="11" t="s">
        <v>252</v>
      </c>
      <c r="I39" s="11" t="s">
        <v>46</v>
      </c>
      <c r="J39" s="13" t="s">
        <v>12</v>
      </c>
      <c r="K39" s="13" t="s">
        <v>290</v>
      </c>
      <c r="L39" s="11" t="s">
        <v>49</v>
      </c>
      <c r="M39" s="13"/>
      <c r="N39" s="14" t="s">
        <v>254</v>
      </c>
    </row>
    <row r="40" customFormat="false" ht="23.85" hidden="false" customHeight="false" outlineLevel="0" collapsed="false">
      <c r="A40" s="7" t="s">
        <v>1260</v>
      </c>
      <c r="B40" s="7" t="s">
        <v>7</v>
      </c>
      <c r="C40" s="8" t="s">
        <v>292</v>
      </c>
      <c r="D40" s="7"/>
      <c r="E40" s="9" t="s">
        <v>293</v>
      </c>
      <c r="F40" s="9" t="s">
        <v>264</v>
      </c>
      <c r="G40" s="9" t="s">
        <v>294</v>
      </c>
      <c r="H40" s="7" t="s">
        <v>252</v>
      </c>
      <c r="I40" s="7" t="s">
        <v>46</v>
      </c>
      <c r="J40" s="9" t="s">
        <v>12</v>
      </c>
      <c r="K40" s="9" t="s">
        <v>295</v>
      </c>
      <c r="L40" s="7" t="s">
        <v>49</v>
      </c>
      <c r="M40" s="9"/>
      <c r="N40" s="10" t="s">
        <v>254</v>
      </c>
    </row>
    <row r="41" customFormat="false" ht="35.05" hidden="false" customHeight="false" outlineLevel="0" collapsed="false">
      <c r="A41" s="11" t="s">
        <v>1261</v>
      </c>
      <c r="B41" s="11" t="s">
        <v>7</v>
      </c>
      <c r="C41" s="12" t="s">
        <v>292</v>
      </c>
      <c r="D41" s="11"/>
      <c r="E41" s="13" t="s">
        <v>297</v>
      </c>
      <c r="F41" s="13" t="s">
        <v>298</v>
      </c>
      <c r="G41" s="13" t="s">
        <v>299</v>
      </c>
      <c r="H41" s="11" t="s">
        <v>258</v>
      </c>
      <c r="I41" s="11" t="s">
        <v>46</v>
      </c>
      <c r="J41" s="13" t="s">
        <v>14</v>
      </c>
      <c r="K41" s="13" t="s">
        <v>300</v>
      </c>
      <c r="L41" s="11" t="s">
        <v>49</v>
      </c>
      <c r="M41" s="13"/>
      <c r="N41" s="14" t="s">
        <v>273</v>
      </c>
    </row>
    <row r="42" customFormat="false" ht="23.85" hidden="false" customHeight="false" outlineLevel="0" collapsed="false">
      <c r="A42" s="7" t="s">
        <v>1262</v>
      </c>
      <c r="B42" s="7" t="s">
        <v>7</v>
      </c>
      <c r="C42" s="8" t="s">
        <v>292</v>
      </c>
      <c r="D42" s="7"/>
      <c r="E42" s="9" t="s">
        <v>302</v>
      </c>
      <c r="F42" s="9" t="s">
        <v>270</v>
      </c>
      <c r="G42" s="9" t="s">
        <v>303</v>
      </c>
      <c r="H42" s="7" t="s">
        <v>258</v>
      </c>
      <c r="I42" s="7" t="s">
        <v>46</v>
      </c>
      <c r="J42" s="9" t="s">
        <v>14</v>
      </c>
      <c r="K42" s="9" t="s">
        <v>304</v>
      </c>
      <c r="L42" s="7" t="s">
        <v>49</v>
      </c>
      <c r="M42" s="9"/>
      <c r="N42" s="10" t="s">
        <v>273</v>
      </c>
    </row>
    <row r="43" customFormat="false" ht="35.05" hidden="false" customHeight="false" outlineLevel="0" collapsed="false">
      <c r="A43" s="11" t="s">
        <v>1263</v>
      </c>
      <c r="B43" s="11" t="s">
        <v>7</v>
      </c>
      <c r="C43" s="12" t="s">
        <v>292</v>
      </c>
      <c r="D43" s="11"/>
      <c r="E43" s="13" t="s">
        <v>306</v>
      </c>
      <c r="F43" s="13" t="s">
        <v>264</v>
      </c>
      <c r="G43" s="13" t="s">
        <v>307</v>
      </c>
      <c r="H43" s="11" t="s">
        <v>252</v>
      </c>
      <c r="I43" s="11" t="s">
        <v>46</v>
      </c>
      <c r="J43" s="13" t="s">
        <v>12</v>
      </c>
      <c r="K43" s="13" t="s">
        <v>308</v>
      </c>
      <c r="L43" s="11" t="s">
        <v>49</v>
      </c>
      <c r="M43" s="13"/>
      <c r="N43" s="14" t="s">
        <v>254</v>
      </c>
    </row>
    <row r="44" customFormat="false" ht="23.85" hidden="false" customHeight="false" outlineLevel="0" collapsed="false">
      <c r="A44" s="7" t="s">
        <v>1264</v>
      </c>
      <c r="B44" s="7" t="s">
        <v>7</v>
      </c>
      <c r="C44" s="8" t="s">
        <v>292</v>
      </c>
      <c r="D44" s="7"/>
      <c r="E44" s="9" t="s">
        <v>310</v>
      </c>
      <c r="F44" s="9" t="s">
        <v>264</v>
      </c>
      <c r="G44" s="9" t="s">
        <v>311</v>
      </c>
      <c r="H44" s="7" t="s">
        <v>252</v>
      </c>
      <c r="I44" s="7" t="s">
        <v>46</v>
      </c>
      <c r="J44" s="9" t="s">
        <v>58</v>
      </c>
      <c r="K44" s="9" t="s">
        <v>312</v>
      </c>
      <c r="L44" s="7" t="s">
        <v>49</v>
      </c>
      <c r="M44" s="9"/>
      <c r="N44" s="10" t="s">
        <v>254</v>
      </c>
    </row>
    <row r="45" customFormat="false" ht="23.85" hidden="false" customHeight="false" outlineLevel="0" collapsed="false">
      <c r="A45" s="11" t="s">
        <v>1265</v>
      </c>
      <c r="B45" s="11" t="s">
        <v>7</v>
      </c>
      <c r="C45" s="12" t="s">
        <v>292</v>
      </c>
      <c r="D45" s="11"/>
      <c r="E45" s="13" t="s">
        <v>314</v>
      </c>
      <c r="F45" s="13" t="s">
        <v>264</v>
      </c>
      <c r="G45" s="13" t="s">
        <v>315</v>
      </c>
      <c r="H45" s="11" t="s">
        <v>252</v>
      </c>
      <c r="I45" s="11" t="s">
        <v>46</v>
      </c>
      <c r="J45" s="13" t="s">
        <v>12</v>
      </c>
      <c r="K45" s="13" t="s">
        <v>316</v>
      </c>
      <c r="L45" s="11" t="s">
        <v>49</v>
      </c>
      <c r="M45" s="13"/>
      <c r="N45" s="14" t="s">
        <v>254</v>
      </c>
    </row>
    <row r="46" customFormat="false" ht="23.85" hidden="false" customHeight="false" outlineLevel="0" collapsed="false">
      <c r="A46" s="7" t="s">
        <v>1266</v>
      </c>
      <c r="B46" s="7" t="s">
        <v>7</v>
      </c>
      <c r="C46" s="8" t="s">
        <v>63</v>
      </c>
      <c r="D46" s="7"/>
      <c r="E46" s="9" t="s">
        <v>318</v>
      </c>
      <c r="F46" s="9" t="s">
        <v>319</v>
      </c>
      <c r="G46" s="9" t="s">
        <v>320</v>
      </c>
      <c r="H46" s="7" t="s">
        <v>258</v>
      </c>
      <c r="I46" s="7" t="s">
        <v>46</v>
      </c>
      <c r="J46" s="9" t="s">
        <v>321</v>
      </c>
      <c r="K46" s="9" t="s">
        <v>322</v>
      </c>
      <c r="L46" s="7" t="s">
        <v>49</v>
      </c>
      <c r="M46" s="9" t="s">
        <v>323</v>
      </c>
      <c r="N46" s="10" t="s">
        <v>324</v>
      </c>
    </row>
    <row r="47" customFormat="false" ht="23.85" hidden="false" customHeight="false" outlineLevel="0" collapsed="false">
      <c r="A47" s="11" t="s">
        <v>1267</v>
      </c>
      <c r="B47" s="11" t="s">
        <v>7</v>
      </c>
      <c r="C47" s="12" t="s">
        <v>63</v>
      </c>
      <c r="D47" s="11"/>
      <c r="E47" s="13" t="s">
        <v>326</v>
      </c>
      <c r="F47" s="13" t="s">
        <v>327</v>
      </c>
      <c r="G47" s="13" t="s">
        <v>328</v>
      </c>
      <c r="H47" s="11" t="s">
        <v>252</v>
      </c>
      <c r="I47" s="11" t="s">
        <v>46</v>
      </c>
      <c r="J47" s="13" t="s">
        <v>14</v>
      </c>
      <c r="K47" s="13" t="s">
        <v>329</v>
      </c>
      <c r="L47" s="11" t="s">
        <v>49</v>
      </c>
      <c r="M47" s="13"/>
      <c r="N47" s="14" t="s">
        <v>330</v>
      </c>
    </row>
    <row r="48" customFormat="false" ht="23.85" hidden="false" customHeight="false" outlineLevel="0" collapsed="false">
      <c r="A48" s="7" t="s">
        <v>1268</v>
      </c>
      <c r="B48" s="7" t="s">
        <v>7</v>
      </c>
      <c r="C48" s="8" t="s">
        <v>63</v>
      </c>
      <c r="D48" s="7"/>
      <c r="E48" s="9" t="s">
        <v>332</v>
      </c>
      <c r="F48" s="9" t="s">
        <v>270</v>
      </c>
      <c r="G48" s="9" t="s">
        <v>333</v>
      </c>
      <c r="H48" s="7" t="s">
        <v>258</v>
      </c>
      <c r="I48" s="7" t="s">
        <v>46</v>
      </c>
      <c r="J48" s="9" t="s">
        <v>14</v>
      </c>
      <c r="K48" s="9" t="s">
        <v>259</v>
      </c>
      <c r="L48" s="7" t="s">
        <v>49</v>
      </c>
      <c r="M48" s="9"/>
      <c r="N48" s="10" t="s">
        <v>273</v>
      </c>
    </row>
    <row r="49" customFormat="false" ht="15" hidden="false" customHeight="false" outlineLevel="0" collapsed="false">
      <c r="A49" s="11" t="s">
        <v>1269</v>
      </c>
      <c r="B49" s="11" t="s">
        <v>7</v>
      </c>
      <c r="C49" s="12" t="s">
        <v>335</v>
      </c>
      <c r="D49" s="11"/>
      <c r="E49" s="13" t="s">
        <v>336</v>
      </c>
      <c r="F49" s="13" t="s">
        <v>337</v>
      </c>
      <c r="G49" s="13" t="s">
        <v>338</v>
      </c>
      <c r="H49" s="11" t="s">
        <v>339</v>
      </c>
      <c r="I49" s="11" t="s">
        <v>57</v>
      </c>
      <c r="J49" s="13" t="s">
        <v>14</v>
      </c>
      <c r="K49" s="13" t="s">
        <v>340</v>
      </c>
      <c r="L49" s="11" t="s">
        <v>49</v>
      </c>
      <c r="M49" s="13"/>
      <c r="N49" s="14" t="s">
        <v>341</v>
      </c>
    </row>
    <row r="50" customFormat="false" ht="23.85" hidden="false" customHeight="false" outlineLevel="0" collapsed="false">
      <c r="A50" s="7" t="s">
        <v>1270</v>
      </c>
      <c r="B50" s="7" t="s">
        <v>7</v>
      </c>
      <c r="C50" s="8" t="s">
        <v>335</v>
      </c>
      <c r="D50" s="7"/>
      <c r="E50" s="9" t="s">
        <v>343</v>
      </c>
      <c r="F50" s="9" t="s">
        <v>264</v>
      </c>
      <c r="G50" s="9" t="s">
        <v>344</v>
      </c>
      <c r="H50" s="7" t="s">
        <v>258</v>
      </c>
      <c r="I50" s="7" t="s">
        <v>46</v>
      </c>
      <c r="J50" s="9" t="s">
        <v>12</v>
      </c>
      <c r="K50" s="9" t="s">
        <v>345</v>
      </c>
      <c r="L50" s="7" t="s">
        <v>49</v>
      </c>
      <c r="M50" s="9"/>
      <c r="N50" s="10" t="s">
        <v>254</v>
      </c>
    </row>
    <row r="51" customFormat="false" ht="23.85" hidden="false" customHeight="false" outlineLevel="0" collapsed="false">
      <c r="A51" s="11" t="s">
        <v>1271</v>
      </c>
      <c r="B51" s="11" t="s">
        <v>7</v>
      </c>
      <c r="C51" s="12" t="s">
        <v>335</v>
      </c>
      <c r="D51" s="11"/>
      <c r="E51" s="13" t="s">
        <v>347</v>
      </c>
      <c r="F51" s="13" t="s">
        <v>348</v>
      </c>
      <c r="G51" s="13" t="s">
        <v>349</v>
      </c>
      <c r="H51" s="11" t="s">
        <v>258</v>
      </c>
      <c r="I51" s="11" t="s">
        <v>57</v>
      </c>
      <c r="J51" s="13" t="s">
        <v>12</v>
      </c>
      <c r="K51" s="13" t="s">
        <v>350</v>
      </c>
      <c r="L51" s="11" t="s">
        <v>49</v>
      </c>
      <c r="M51" s="13"/>
      <c r="N51" s="14" t="s">
        <v>254</v>
      </c>
    </row>
    <row r="52" customFormat="false" ht="23.85" hidden="false" customHeight="false" outlineLevel="0" collapsed="false">
      <c r="A52" s="7" t="s">
        <v>1272</v>
      </c>
      <c r="B52" s="7" t="s">
        <v>7</v>
      </c>
      <c r="C52" s="8" t="s">
        <v>352</v>
      </c>
      <c r="D52" s="7"/>
      <c r="E52" s="9" t="s">
        <v>353</v>
      </c>
      <c r="F52" s="9" t="s">
        <v>327</v>
      </c>
      <c r="G52" s="9" t="s">
        <v>354</v>
      </c>
      <c r="H52" s="7" t="s">
        <v>258</v>
      </c>
      <c r="I52" s="7" t="s">
        <v>57</v>
      </c>
      <c r="J52" s="9" t="s">
        <v>14</v>
      </c>
      <c r="K52" s="9" t="s">
        <v>355</v>
      </c>
      <c r="L52" s="7" t="s">
        <v>49</v>
      </c>
      <c r="M52" s="9"/>
      <c r="N52" s="10" t="s">
        <v>330</v>
      </c>
    </row>
    <row r="53" customFormat="false" ht="15" hidden="false" customHeight="false" outlineLevel="0" collapsed="false">
      <c r="A53" s="11" t="s">
        <v>1273</v>
      </c>
      <c r="B53" s="11" t="s">
        <v>7</v>
      </c>
      <c r="C53" s="12" t="s">
        <v>352</v>
      </c>
      <c r="D53" s="11"/>
      <c r="E53" s="13" t="s">
        <v>357</v>
      </c>
      <c r="F53" s="13" t="s">
        <v>327</v>
      </c>
      <c r="G53" s="13" t="s">
        <v>358</v>
      </c>
      <c r="H53" s="11" t="s">
        <v>258</v>
      </c>
      <c r="I53" s="11" t="s">
        <v>46</v>
      </c>
      <c r="J53" s="13" t="s">
        <v>14</v>
      </c>
      <c r="K53" s="13" t="s">
        <v>359</v>
      </c>
      <c r="L53" s="11" t="s">
        <v>49</v>
      </c>
      <c r="M53" s="13"/>
      <c r="N53" s="14" t="s">
        <v>330</v>
      </c>
    </row>
    <row r="54" customFormat="false" ht="35.05" hidden="false" customHeight="false" outlineLevel="0" collapsed="false">
      <c r="A54" s="7" t="s">
        <v>1274</v>
      </c>
      <c r="B54" s="7" t="s">
        <v>7</v>
      </c>
      <c r="C54" s="8" t="s">
        <v>352</v>
      </c>
      <c r="D54" s="7"/>
      <c r="E54" s="9" t="s">
        <v>361</v>
      </c>
      <c r="F54" s="9" t="s">
        <v>270</v>
      </c>
      <c r="G54" s="9" t="s">
        <v>362</v>
      </c>
      <c r="H54" s="7" t="s">
        <v>252</v>
      </c>
      <c r="I54" s="7" t="s">
        <v>57</v>
      </c>
      <c r="J54" s="9" t="s">
        <v>16</v>
      </c>
      <c r="K54" s="9" t="s">
        <v>363</v>
      </c>
      <c r="L54" s="7" t="s">
        <v>49</v>
      </c>
      <c r="M54" s="9"/>
      <c r="N54" s="10" t="s">
        <v>273</v>
      </c>
    </row>
    <row r="55" customFormat="false" ht="23.85" hidden="false" customHeight="false" outlineLevel="0" collapsed="false">
      <c r="A55" s="11" t="s">
        <v>1275</v>
      </c>
      <c r="B55" s="11" t="s">
        <v>7</v>
      </c>
      <c r="C55" s="12" t="s">
        <v>365</v>
      </c>
      <c r="D55" s="11"/>
      <c r="E55" s="13" t="s">
        <v>366</v>
      </c>
      <c r="F55" s="13" t="s">
        <v>327</v>
      </c>
      <c r="G55" s="13" t="s">
        <v>367</v>
      </c>
      <c r="H55" s="11" t="s">
        <v>252</v>
      </c>
      <c r="I55" s="11" t="s">
        <v>57</v>
      </c>
      <c r="J55" s="13" t="s">
        <v>368</v>
      </c>
      <c r="K55" s="13" t="s">
        <v>369</v>
      </c>
      <c r="L55" s="11" t="s">
        <v>49</v>
      </c>
      <c r="M55" s="13"/>
      <c r="N55" s="14" t="s">
        <v>330</v>
      </c>
    </row>
    <row r="56" customFormat="false" ht="23.85" hidden="false" customHeight="false" outlineLevel="0" collapsed="false">
      <c r="A56" s="7" t="s">
        <v>1276</v>
      </c>
      <c r="B56" s="7" t="s">
        <v>7</v>
      </c>
      <c r="C56" s="8" t="s">
        <v>365</v>
      </c>
      <c r="D56" s="7"/>
      <c r="E56" s="9" t="s">
        <v>371</v>
      </c>
      <c r="F56" s="9" t="s">
        <v>327</v>
      </c>
      <c r="G56" s="9" t="s">
        <v>372</v>
      </c>
      <c r="H56" s="7" t="s">
        <v>252</v>
      </c>
      <c r="I56" s="7" t="s">
        <v>57</v>
      </c>
      <c r="J56" s="9" t="s">
        <v>14</v>
      </c>
      <c r="K56" s="9" t="s">
        <v>373</v>
      </c>
      <c r="L56" s="7" t="s">
        <v>49</v>
      </c>
      <c r="M56" s="9"/>
      <c r="N56" s="10" t="s">
        <v>330</v>
      </c>
    </row>
    <row r="57" customFormat="false" ht="23.85" hidden="false" customHeight="false" outlineLevel="0" collapsed="false">
      <c r="A57" s="11" t="s">
        <v>1277</v>
      </c>
      <c r="B57" s="11" t="s">
        <v>7</v>
      </c>
      <c r="C57" s="12" t="s">
        <v>365</v>
      </c>
      <c r="D57" s="11"/>
      <c r="E57" s="13" t="s">
        <v>375</v>
      </c>
      <c r="F57" s="13" t="s">
        <v>376</v>
      </c>
      <c r="G57" s="13" t="s">
        <v>377</v>
      </c>
      <c r="H57" s="11" t="s">
        <v>258</v>
      </c>
      <c r="I57" s="11" t="s">
        <v>46</v>
      </c>
      <c r="J57" s="13" t="s">
        <v>14</v>
      </c>
      <c r="K57" s="13" t="s">
        <v>378</v>
      </c>
      <c r="L57" s="11" t="s">
        <v>49</v>
      </c>
      <c r="M57" s="13" t="s">
        <v>379</v>
      </c>
      <c r="N57" s="14" t="s">
        <v>380</v>
      </c>
    </row>
    <row r="58" customFormat="false" ht="23.85" hidden="false" customHeight="false" outlineLevel="0" collapsed="false">
      <c r="A58" s="7" t="s">
        <v>1278</v>
      </c>
      <c r="B58" s="7" t="s">
        <v>7</v>
      </c>
      <c r="C58" s="8" t="s">
        <v>365</v>
      </c>
      <c r="D58" s="7"/>
      <c r="E58" s="9" t="s">
        <v>382</v>
      </c>
      <c r="F58" s="9" t="s">
        <v>264</v>
      </c>
      <c r="G58" s="9" t="s">
        <v>383</v>
      </c>
      <c r="H58" s="7" t="s">
        <v>252</v>
      </c>
      <c r="I58" s="7" t="s">
        <v>46</v>
      </c>
      <c r="J58" s="9"/>
      <c r="K58" s="9" t="s">
        <v>384</v>
      </c>
      <c r="L58" s="7" t="s">
        <v>49</v>
      </c>
      <c r="M58" s="9"/>
      <c r="N58" s="10" t="s">
        <v>254</v>
      </c>
    </row>
    <row r="59" customFormat="false" ht="35.05" hidden="false" customHeight="false" outlineLevel="0" collapsed="false">
      <c r="A59" s="11" t="s">
        <v>1279</v>
      </c>
      <c r="B59" s="11" t="s">
        <v>7</v>
      </c>
      <c r="C59" s="12" t="s">
        <v>365</v>
      </c>
      <c r="D59" s="11"/>
      <c r="E59" s="13" t="s">
        <v>386</v>
      </c>
      <c r="F59" s="13" t="s">
        <v>327</v>
      </c>
      <c r="G59" s="13" t="s">
        <v>387</v>
      </c>
      <c r="H59" s="11" t="s">
        <v>258</v>
      </c>
      <c r="I59" s="11" t="s">
        <v>57</v>
      </c>
      <c r="J59" s="13" t="s">
        <v>388</v>
      </c>
      <c r="K59" s="13" t="s">
        <v>389</v>
      </c>
      <c r="L59" s="11" t="s">
        <v>49</v>
      </c>
      <c r="M59" s="13"/>
      <c r="N59" s="14" t="s">
        <v>330</v>
      </c>
    </row>
    <row r="60" customFormat="false" ht="23.85" hidden="false" customHeight="false" outlineLevel="0" collapsed="false">
      <c r="A60" s="7" t="s">
        <v>1280</v>
      </c>
      <c r="B60" s="7" t="s">
        <v>7</v>
      </c>
      <c r="C60" s="8" t="s">
        <v>391</v>
      </c>
      <c r="D60" s="7"/>
      <c r="E60" s="9" t="s">
        <v>392</v>
      </c>
      <c r="F60" s="9" t="s">
        <v>264</v>
      </c>
      <c r="G60" s="9" t="s">
        <v>393</v>
      </c>
      <c r="H60" s="7" t="s">
        <v>252</v>
      </c>
      <c r="I60" s="7" t="s">
        <v>57</v>
      </c>
      <c r="J60" s="9" t="s">
        <v>12</v>
      </c>
      <c r="K60" s="9" t="s">
        <v>394</v>
      </c>
      <c r="L60" s="7" t="s">
        <v>49</v>
      </c>
      <c r="M60" s="9"/>
      <c r="N60" s="10" t="s">
        <v>254</v>
      </c>
    </row>
    <row r="61" customFormat="false" ht="23.85" hidden="false" customHeight="false" outlineLevel="0" collapsed="false">
      <c r="A61" s="11" t="s">
        <v>1281</v>
      </c>
      <c r="B61" s="11" t="s">
        <v>7</v>
      </c>
      <c r="C61" s="12" t="s">
        <v>391</v>
      </c>
      <c r="D61" s="11"/>
      <c r="E61" s="13" t="s">
        <v>396</v>
      </c>
      <c r="F61" s="13" t="s">
        <v>327</v>
      </c>
      <c r="G61" s="13" t="s">
        <v>397</v>
      </c>
      <c r="H61" s="11" t="s">
        <v>258</v>
      </c>
      <c r="I61" s="11" t="s">
        <v>57</v>
      </c>
      <c r="J61" s="13"/>
      <c r="K61" s="13" t="s">
        <v>398</v>
      </c>
      <c r="L61" s="11" t="s">
        <v>49</v>
      </c>
      <c r="M61" s="13"/>
      <c r="N61" s="14" t="s">
        <v>330</v>
      </c>
    </row>
    <row r="62" customFormat="false" ht="23.85" hidden="false" customHeight="false" outlineLevel="0" collapsed="false">
      <c r="A62" s="7" t="s">
        <v>1282</v>
      </c>
      <c r="B62" s="7" t="s">
        <v>7</v>
      </c>
      <c r="C62" s="8" t="s">
        <v>391</v>
      </c>
      <c r="D62" s="7"/>
      <c r="E62" s="9" t="s">
        <v>400</v>
      </c>
      <c r="F62" s="9" t="s">
        <v>327</v>
      </c>
      <c r="G62" s="9" t="s">
        <v>401</v>
      </c>
      <c r="H62" s="7" t="s">
        <v>252</v>
      </c>
      <c r="I62" s="7" t="s">
        <v>57</v>
      </c>
      <c r="J62" s="9"/>
      <c r="K62" s="9" t="s">
        <v>402</v>
      </c>
      <c r="L62" s="7" t="s">
        <v>49</v>
      </c>
      <c r="M62" s="9"/>
      <c r="N62" s="10" t="s">
        <v>330</v>
      </c>
    </row>
    <row r="63" customFormat="false" ht="23.85" hidden="false" customHeight="false" outlineLevel="0" collapsed="false">
      <c r="A63" s="11" t="s">
        <v>1283</v>
      </c>
      <c r="B63" s="11" t="s">
        <v>7</v>
      </c>
      <c r="C63" s="12" t="s">
        <v>391</v>
      </c>
      <c r="D63" s="11"/>
      <c r="E63" s="13" t="s">
        <v>404</v>
      </c>
      <c r="F63" s="13" t="s">
        <v>327</v>
      </c>
      <c r="G63" s="13" t="s">
        <v>405</v>
      </c>
      <c r="H63" s="11" t="s">
        <v>258</v>
      </c>
      <c r="I63" s="11" t="s">
        <v>57</v>
      </c>
      <c r="J63" s="13" t="s">
        <v>14</v>
      </c>
      <c r="K63" s="13" t="s">
        <v>406</v>
      </c>
      <c r="L63" s="11" t="s">
        <v>49</v>
      </c>
      <c r="M63" s="13"/>
      <c r="N63" s="14" t="s">
        <v>330</v>
      </c>
    </row>
    <row r="64" customFormat="false" ht="23.85" hidden="false" customHeight="false" outlineLevel="0" collapsed="false">
      <c r="A64" s="7" t="s">
        <v>1284</v>
      </c>
      <c r="B64" s="7" t="s">
        <v>7</v>
      </c>
      <c r="C64" s="8" t="s">
        <v>391</v>
      </c>
      <c r="D64" s="7"/>
      <c r="E64" s="9" t="s">
        <v>408</v>
      </c>
      <c r="F64" s="9" t="s">
        <v>327</v>
      </c>
      <c r="G64" s="9" t="s">
        <v>409</v>
      </c>
      <c r="H64" s="7" t="s">
        <v>339</v>
      </c>
      <c r="I64" s="7" t="s">
        <v>57</v>
      </c>
      <c r="J64" s="9" t="s">
        <v>14</v>
      </c>
      <c r="K64" s="9" t="s">
        <v>329</v>
      </c>
      <c r="L64" s="7" t="s">
        <v>49</v>
      </c>
      <c r="M64" s="9"/>
      <c r="N64" s="10" t="s">
        <v>330</v>
      </c>
    </row>
    <row r="65" customFormat="false" ht="23.85" hidden="false" customHeight="false" outlineLevel="0" collapsed="false">
      <c r="A65" s="11" t="s">
        <v>1285</v>
      </c>
      <c r="B65" s="11" t="s">
        <v>7</v>
      </c>
      <c r="C65" s="12" t="s">
        <v>411</v>
      </c>
      <c r="D65" s="11"/>
      <c r="E65" s="13" t="s">
        <v>412</v>
      </c>
      <c r="F65" s="13" t="s">
        <v>327</v>
      </c>
      <c r="G65" s="13" t="s">
        <v>413</v>
      </c>
      <c r="H65" s="11" t="s">
        <v>252</v>
      </c>
      <c r="I65" s="11" t="s">
        <v>57</v>
      </c>
      <c r="J65" s="13" t="s">
        <v>12</v>
      </c>
      <c r="K65" s="13" t="s">
        <v>414</v>
      </c>
      <c r="L65" s="11" t="s">
        <v>49</v>
      </c>
      <c r="M65" s="13"/>
      <c r="N65" s="14" t="s">
        <v>330</v>
      </c>
    </row>
    <row r="66" customFormat="false" ht="23.85" hidden="false" customHeight="false" outlineLevel="0" collapsed="false">
      <c r="A66" s="7" t="s">
        <v>1286</v>
      </c>
      <c r="B66" s="7" t="s">
        <v>7</v>
      </c>
      <c r="C66" s="8" t="s">
        <v>411</v>
      </c>
      <c r="D66" s="7"/>
      <c r="E66" s="9" t="s">
        <v>416</v>
      </c>
      <c r="F66" s="9" t="s">
        <v>270</v>
      </c>
      <c r="G66" s="9" t="s">
        <v>417</v>
      </c>
      <c r="H66" s="7" t="s">
        <v>252</v>
      </c>
      <c r="I66" s="7" t="s">
        <v>46</v>
      </c>
      <c r="J66" s="9"/>
      <c r="K66" s="9" t="s">
        <v>418</v>
      </c>
      <c r="L66" s="7" t="s">
        <v>49</v>
      </c>
      <c r="M66" s="9"/>
      <c r="N66" s="10" t="s">
        <v>273</v>
      </c>
    </row>
    <row r="67" customFormat="false" ht="23.85" hidden="false" customHeight="false" outlineLevel="0" collapsed="false">
      <c r="A67" s="11" t="s">
        <v>1287</v>
      </c>
      <c r="B67" s="11" t="s">
        <v>7</v>
      </c>
      <c r="C67" s="12" t="s">
        <v>411</v>
      </c>
      <c r="D67" s="11"/>
      <c r="E67" s="13" t="s">
        <v>420</v>
      </c>
      <c r="F67" s="13" t="s">
        <v>327</v>
      </c>
      <c r="G67" s="13" t="s">
        <v>421</v>
      </c>
      <c r="H67" s="11" t="s">
        <v>258</v>
      </c>
      <c r="I67" s="11" t="s">
        <v>57</v>
      </c>
      <c r="J67" s="13" t="s">
        <v>14</v>
      </c>
      <c r="K67" s="13" t="s">
        <v>422</v>
      </c>
      <c r="L67" s="11" t="s">
        <v>49</v>
      </c>
      <c r="M67" s="13"/>
      <c r="N67" s="14" t="s">
        <v>330</v>
      </c>
    </row>
    <row r="68" customFormat="false" ht="35.05" hidden="false" customHeight="false" outlineLevel="0" collapsed="false">
      <c r="A68" s="7" t="s">
        <v>1288</v>
      </c>
      <c r="B68" s="7" t="s">
        <v>7</v>
      </c>
      <c r="C68" s="8" t="s">
        <v>424</v>
      </c>
      <c r="D68" s="7"/>
      <c r="E68" s="9" t="s">
        <v>425</v>
      </c>
      <c r="F68" s="9" t="s">
        <v>426</v>
      </c>
      <c r="G68" s="9" t="s">
        <v>427</v>
      </c>
      <c r="H68" s="7" t="s">
        <v>252</v>
      </c>
      <c r="I68" s="7" t="s">
        <v>46</v>
      </c>
      <c r="J68" s="9" t="s">
        <v>12</v>
      </c>
      <c r="K68" s="9" t="s">
        <v>428</v>
      </c>
      <c r="L68" s="7" t="s">
        <v>49</v>
      </c>
      <c r="M68" s="9" t="s">
        <v>429</v>
      </c>
      <c r="N68" s="10" t="s">
        <v>76</v>
      </c>
    </row>
    <row r="69" customFormat="false" ht="23.85" hidden="false" customHeight="false" outlineLevel="0" collapsed="false">
      <c r="A69" s="11" t="s">
        <v>1289</v>
      </c>
      <c r="B69" s="11" t="s">
        <v>7</v>
      </c>
      <c r="C69" s="12" t="s">
        <v>424</v>
      </c>
      <c r="D69" s="11"/>
      <c r="E69" s="13" t="s">
        <v>431</v>
      </c>
      <c r="F69" s="13" t="s">
        <v>337</v>
      </c>
      <c r="G69" s="13" t="s">
        <v>432</v>
      </c>
      <c r="H69" s="11" t="s">
        <v>252</v>
      </c>
      <c r="I69" s="11" t="s">
        <v>57</v>
      </c>
      <c r="J69" s="13" t="s">
        <v>14</v>
      </c>
      <c r="K69" s="13" t="s">
        <v>433</v>
      </c>
      <c r="L69" s="11" t="s">
        <v>49</v>
      </c>
      <c r="M69" s="13"/>
      <c r="N69" s="14" t="s">
        <v>341</v>
      </c>
    </row>
    <row r="70" customFormat="false" ht="23.85" hidden="false" customHeight="false" outlineLevel="0" collapsed="false">
      <c r="A70" s="7" t="s">
        <v>1290</v>
      </c>
      <c r="B70" s="7" t="s">
        <v>7</v>
      </c>
      <c r="C70" s="8" t="s">
        <v>70</v>
      </c>
      <c r="D70" s="7"/>
      <c r="E70" s="9" t="s">
        <v>435</v>
      </c>
      <c r="F70" s="9" t="s">
        <v>145</v>
      </c>
      <c r="G70" s="9" t="s">
        <v>436</v>
      </c>
      <c r="H70" s="7" t="s">
        <v>252</v>
      </c>
      <c r="I70" s="7" t="s">
        <v>46</v>
      </c>
      <c r="J70" s="9" t="s">
        <v>437</v>
      </c>
      <c r="K70" s="9" t="s">
        <v>438</v>
      </c>
      <c r="L70" s="7" t="s">
        <v>49</v>
      </c>
      <c r="M70" s="9"/>
      <c r="N70" s="10" t="s">
        <v>439</v>
      </c>
    </row>
    <row r="71" customFormat="false" ht="35.05" hidden="false" customHeight="false" outlineLevel="0" collapsed="false">
      <c r="A71" s="11" t="s">
        <v>1291</v>
      </c>
      <c r="B71" s="11" t="s">
        <v>7</v>
      </c>
      <c r="C71" s="12" t="s">
        <v>70</v>
      </c>
      <c r="D71" s="11"/>
      <c r="E71" s="13" t="s">
        <v>441</v>
      </c>
      <c r="F71" s="13" t="s">
        <v>327</v>
      </c>
      <c r="G71" s="13" t="s">
        <v>442</v>
      </c>
      <c r="H71" s="11" t="s">
        <v>252</v>
      </c>
      <c r="I71" s="11" t="s">
        <v>46</v>
      </c>
      <c r="J71" s="13" t="s">
        <v>14</v>
      </c>
      <c r="K71" s="13" t="s">
        <v>406</v>
      </c>
      <c r="L71" s="11" t="s">
        <v>49</v>
      </c>
      <c r="M71" s="13"/>
      <c r="N71" s="14" t="s">
        <v>330</v>
      </c>
    </row>
    <row r="72" customFormat="false" ht="23.85" hidden="false" customHeight="false" outlineLevel="0" collapsed="false">
      <c r="A72" s="7" t="s">
        <v>1292</v>
      </c>
      <c r="B72" s="7" t="s">
        <v>7</v>
      </c>
      <c r="C72" s="8" t="s">
        <v>444</v>
      </c>
      <c r="D72" s="7"/>
      <c r="E72" s="9" t="s">
        <v>445</v>
      </c>
      <c r="F72" s="9" t="s">
        <v>337</v>
      </c>
      <c r="G72" s="9" t="s">
        <v>446</v>
      </c>
      <c r="H72" s="7" t="s">
        <v>252</v>
      </c>
      <c r="I72" s="7" t="s">
        <v>46</v>
      </c>
      <c r="J72" s="9" t="s">
        <v>14</v>
      </c>
      <c r="K72" s="9" t="s">
        <v>447</v>
      </c>
      <c r="L72" s="7" t="s">
        <v>49</v>
      </c>
      <c r="M72" s="9"/>
      <c r="N72" s="10" t="s">
        <v>341</v>
      </c>
    </row>
    <row r="73" customFormat="false" ht="23.85" hidden="false" customHeight="false" outlineLevel="0" collapsed="false">
      <c r="A73" s="11" t="s">
        <v>1293</v>
      </c>
      <c r="B73" s="11" t="s">
        <v>7</v>
      </c>
      <c r="C73" s="12" t="s">
        <v>449</v>
      </c>
      <c r="D73" s="11"/>
      <c r="E73" s="13" t="s">
        <v>450</v>
      </c>
      <c r="F73" s="13" t="s">
        <v>426</v>
      </c>
      <c r="G73" s="13" t="s">
        <v>451</v>
      </c>
      <c r="H73" s="11" t="s">
        <v>252</v>
      </c>
      <c r="I73" s="11" t="s">
        <v>57</v>
      </c>
      <c r="J73" s="13"/>
      <c r="K73" s="13" t="s">
        <v>452</v>
      </c>
      <c r="L73" s="11" t="s">
        <v>49</v>
      </c>
      <c r="M73" s="13"/>
      <c r="N73" s="14" t="s">
        <v>76</v>
      </c>
    </row>
    <row r="74" customFormat="false" ht="15" hidden="false" customHeight="false" outlineLevel="0" collapsed="false">
      <c r="A74" s="7" t="s">
        <v>1294</v>
      </c>
      <c r="B74" s="7" t="s">
        <v>7</v>
      </c>
      <c r="C74" s="8" t="s">
        <v>449</v>
      </c>
      <c r="D74" s="7"/>
      <c r="E74" s="9" t="s">
        <v>454</v>
      </c>
      <c r="F74" s="9" t="s">
        <v>426</v>
      </c>
      <c r="G74" s="9" t="s">
        <v>455</v>
      </c>
      <c r="H74" s="7" t="s">
        <v>252</v>
      </c>
      <c r="I74" s="7" t="s">
        <v>57</v>
      </c>
      <c r="J74" s="9"/>
      <c r="K74" s="9" t="s">
        <v>456</v>
      </c>
      <c r="L74" s="7" t="s">
        <v>49</v>
      </c>
      <c r="M74" s="9"/>
      <c r="N74" s="10" t="s">
        <v>76</v>
      </c>
    </row>
    <row r="75" customFormat="false" ht="15" hidden="false" customHeight="false" outlineLevel="0" collapsed="false">
      <c r="A75" s="11" t="s">
        <v>1295</v>
      </c>
      <c r="B75" s="11" t="s">
        <v>7</v>
      </c>
      <c r="C75" s="12" t="s">
        <v>84</v>
      </c>
      <c r="D75" s="11"/>
      <c r="E75" s="13" t="s">
        <v>458</v>
      </c>
      <c r="F75" s="13" t="s">
        <v>426</v>
      </c>
      <c r="G75" s="13" t="s">
        <v>459</v>
      </c>
      <c r="H75" s="11" t="s">
        <v>252</v>
      </c>
      <c r="I75" s="11" t="s">
        <v>46</v>
      </c>
      <c r="J75" s="13"/>
      <c r="K75" s="13" t="s">
        <v>460</v>
      </c>
      <c r="L75" s="11" t="s">
        <v>49</v>
      </c>
      <c r="M75" s="13"/>
      <c r="N75" s="14" t="s">
        <v>76</v>
      </c>
    </row>
    <row r="76" customFormat="false" ht="23.85" hidden="false" customHeight="false" outlineLevel="0" collapsed="false">
      <c r="A76" s="7" t="s">
        <v>1296</v>
      </c>
      <c r="B76" s="7" t="s">
        <v>7</v>
      </c>
      <c r="C76" s="8" t="s">
        <v>84</v>
      </c>
      <c r="D76" s="7"/>
      <c r="E76" s="9" t="s">
        <v>462</v>
      </c>
      <c r="F76" s="9" t="s">
        <v>337</v>
      </c>
      <c r="G76" s="9" t="s">
        <v>463</v>
      </c>
      <c r="H76" s="7" t="s">
        <v>339</v>
      </c>
      <c r="I76" s="7" t="s">
        <v>57</v>
      </c>
      <c r="J76" s="9" t="s">
        <v>14</v>
      </c>
      <c r="K76" s="9" t="s">
        <v>464</v>
      </c>
      <c r="L76" s="7" t="s">
        <v>49</v>
      </c>
      <c r="M76" s="9"/>
      <c r="N76" s="10" t="s">
        <v>341</v>
      </c>
    </row>
    <row r="77" customFormat="false" ht="23.85" hidden="false" customHeight="false" outlineLevel="0" collapsed="false">
      <c r="A77" s="11" t="s">
        <v>1297</v>
      </c>
      <c r="B77" s="11" t="s">
        <v>7</v>
      </c>
      <c r="C77" s="12" t="s">
        <v>84</v>
      </c>
      <c r="D77" s="11"/>
      <c r="E77" s="13" t="s">
        <v>466</v>
      </c>
      <c r="F77" s="13" t="s">
        <v>467</v>
      </c>
      <c r="G77" s="13" t="s">
        <v>468</v>
      </c>
      <c r="H77" s="11" t="s">
        <v>258</v>
      </c>
      <c r="I77" s="11" t="s">
        <v>469</v>
      </c>
      <c r="J77" s="13" t="s">
        <v>58</v>
      </c>
      <c r="K77" s="13" t="s">
        <v>470</v>
      </c>
      <c r="L77" s="11" t="s">
        <v>49</v>
      </c>
      <c r="M77" s="13" t="s">
        <v>471</v>
      </c>
      <c r="N77" s="14" t="s">
        <v>224</v>
      </c>
    </row>
    <row r="78" customFormat="false" ht="23.85" hidden="false" customHeight="false" outlineLevel="0" collapsed="false">
      <c r="A78" s="7" t="s">
        <v>1298</v>
      </c>
      <c r="B78" s="7" t="s">
        <v>7</v>
      </c>
      <c r="C78" s="8" t="s">
        <v>92</v>
      </c>
      <c r="D78" s="7"/>
      <c r="E78" s="9" t="s">
        <v>473</v>
      </c>
      <c r="F78" s="9" t="s">
        <v>44</v>
      </c>
      <c r="G78" s="9" t="s">
        <v>474</v>
      </c>
      <c r="H78" s="7" t="s">
        <v>339</v>
      </c>
      <c r="I78" s="7" t="s">
        <v>46</v>
      </c>
      <c r="J78" s="9"/>
      <c r="K78" s="9" t="s">
        <v>475</v>
      </c>
      <c r="L78" s="7" t="s">
        <v>49</v>
      </c>
      <c r="M78" s="9"/>
      <c r="N78" s="10" t="s">
        <v>97</v>
      </c>
    </row>
    <row r="79" customFormat="false" ht="23.85" hidden="false" customHeight="false" outlineLevel="0" collapsed="false">
      <c r="A79" s="11" t="s">
        <v>1299</v>
      </c>
      <c r="B79" s="11" t="s">
        <v>7</v>
      </c>
      <c r="C79" s="12" t="s">
        <v>104</v>
      </c>
      <c r="D79" s="11"/>
      <c r="E79" s="13" t="s">
        <v>477</v>
      </c>
      <c r="F79" s="13" t="s">
        <v>44</v>
      </c>
      <c r="G79" s="13" t="s">
        <v>478</v>
      </c>
      <c r="H79" s="11" t="s">
        <v>339</v>
      </c>
      <c r="I79" s="11" t="s">
        <v>46</v>
      </c>
      <c r="J79" s="13"/>
      <c r="K79" s="13" t="s">
        <v>402</v>
      </c>
      <c r="L79" s="11" t="s">
        <v>49</v>
      </c>
      <c r="M79" s="13"/>
      <c r="N79" s="14" t="s">
        <v>97</v>
      </c>
    </row>
    <row r="80" customFormat="false" ht="23.85" hidden="false" customHeight="false" outlineLevel="0" collapsed="false">
      <c r="A80" s="7" t="s">
        <v>1300</v>
      </c>
      <c r="B80" s="7" t="s">
        <v>7</v>
      </c>
      <c r="C80" s="8" t="s">
        <v>115</v>
      </c>
      <c r="D80" s="7"/>
      <c r="E80" s="9" t="s">
        <v>480</v>
      </c>
      <c r="F80" s="9" t="s">
        <v>44</v>
      </c>
      <c r="G80" s="9" t="s">
        <v>481</v>
      </c>
      <c r="H80" s="7" t="s">
        <v>258</v>
      </c>
      <c r="I80" s="7" t="s">
        <v>46</v>
      </c>
      <c r="J80" s="9" t="s">
        <v>12</v>
      </c>
      <c r="K80" s="9" t="s">
        <v>482</v>
      </c>
      <c r="L80" s="7" t="s">
        <v>49</v>
      </c>
      <c r="M80" s="9" t="s">
        <v>483</v>
      </c>
      <c r="N80" s="10" t="s">
        <v>224</v>
      </c>
    </row>
    <row r="81" customFormat="false" ht="15" hidden="false" customHeight="false" outlineLevel="0" collapsed="false">
      <c r="A81" s="11" t="s">
        <v>1301</v>
      </c>
      <c r="B81" s="11" t="s">
        <v>7</v>
      </c>
      <c r="C81" s="12" t="s">
        <v>130</v>
      </c>
      <c r="D81" s="11"/>
      <c r="E81" s="13" t="s">
        <v>485</v>
      </c>
      <c r="F81" s="13" t="s">
        <v>44</v>
      </c>
      <c r="G81" s="13" t="s">
        <v>486</v>
      </c>
      <c r="H81" s="11" t="s">
        <v>339</v>
      </c>
      <c r="I81" s="11" t="s">
        <v>46</v>
      </c>
      <c r="J81" s="13"/>
      <c r="K81" s="13" t="s">
        <v>487</v>
      </c>
      <c r="L81" s="11" t="s">
        <v>49</v>
      </c>
      <c r="M81" s="13"/>
      <c r="N81" s="14" t="s">
        <v>97</v>
      </c>
    </row>
    <row r="82" customFormat="false" ht="15" hidden="false" customHeight="false" outlineLevel="0" collapsed="false">
      <c r="A82" s="7" t="s">
        <v>1302</v>
      </c>
      <c r="B82" s="7" t="s">
        <v>7</v>
      </c>
      <c r="C82" s="8" t="s">
        <v>130</v>
      </c>
      <c r="D82" s="7"/>
      <c r="E82" s="9" t="s">
        <v>489</v>
      </c>
      <c r="F82" s="9" t="s">
        <v>44</v>
      </c>
      <c r="G82" s="9" t="s">
        <v>138</v>
      </c>
      <c r="H82" s="7" t="s">
        <v>339</v>
      </c>
      <c r="I82" s="7" t="s">
        <v>46</v>
      </c>
      <c r="J82" s="9" t="s">
        <v>14</v>
      </c>
      <c r="K82" s="9" t="s">
        <v>490</v>
      </c>
      <c r="L82" s="7" t="s">
        <v>49</v>
      </c>
      <c r="M82" s="9"/>
      <c r="N82" s="10" t="s">
        <v>97</v>
      </c>
    </row>
    <row r="83" customFormat="false" ht="23.85" hidden="false" customHeight="false" outlineLevel="0" collapsed="false">
      <c r="A83" s="11" t="s">
        <v>1303</v>
      </c>
      <c r="B83" s="11" t="s">
        <v>7</v>
      </c>
      <c r="C83" s="12" t="s">
        <v>143</v>
      </c>
      <c r="D83" s="11"/>
      <c r="E83" s="13" t="s">
        <v>492</v>
      </c>
      <c r="F83" s="13" t="s">
        <v>44</v>
      </c>
      <c r="G83" s="13" t="s">
        <v>493</v>
      </c>
      <c r="H83" s="11" t="s">
        <v>339</v>
      </c>
      <c r="I83" s="11" t="s">
        <v>46</v>
      </c>
      <c r="J83" s="13" t="s">
        <v>12</v>
      </c>
      <c r="K83" s="13" t="s">
        <v>494</v>
      </c>
      <c r="L83" s="11" t="s">
        <v>49</v>
      </c>
      <c r="M83" s="13"/>
      <c r="N83" s="14" t="s">
        <v>97</v>
      </c>
    </row>
    <row r="84" customFormat="false" ht="23.85" hidden="false" customHeight="false" outlineLevel="0" collapsed="false">
      <c r="A84" s="7" t="s">
        <v>1304</v>
      </c>
      <c r="B84" s="7" t="s">
        <v>7</v>
      </c>
      <c r="C84" s="8" t="s">
        <v>143</v>
      </c>
      <c r="D84" s="7"/>
      <c r="E84" s="9" t="s">
        <v>496</v>
      </c>
      <c r="F84" s="9" t="s">
        <v>44</v>
      </c>
      <c r="G84" s="9" t="s">
        <v>497</v>
      </c>
      <c r="H84" s="7" t="s">
        <v>339</v>
      </c>
      <c r="I84" s="7" t="s">
        <v>46</v>
      </c>
      <c r="J84" s="9" t="s">
        <v>12</v>
      </c>
      <c r="K84" s="9" t="s">
        <v>498</v>
      </c>
      <c r="L84" s="7" t="s">
        <v>49</v>
      </c>
      <c r="M84" s="9"/>
      <c r="N84" s="10" t="s">
        <v>97</v>
      </c>
    </row>
    <row r="85" customFormat="false" ht="23.85" hidden="false" customHeight="false" outlineLevel="0" collapsed="false">
      <c r="A85" s="11" t="s">
        <v>1305</v>
      </c>
      <c r="B85" s="11" t="s">
        <v>7</v>
      </c>
      <c r="C85" s="12" t="s">
        <v>157</v>
      </c>
      <c r="D85" s="11"/>
      <c r="E85" s="13" t="s">
        <v>500</v>
      </c>
      <c r="F85" s="13" t="s">
        <v>44</v>
      </c>
      <c r="G85" s="13" t="s">
        <v>501</v>
      </c>
      <c r="H85" s="11" t="s">
        <v>258</v>
      </c>
      <c r="I85" s="11" t="s">
        <v>46</v>
      </c>
      <c r="J85" s="13" t="s">
        <v>12</v>
      </c>
      <c r="K85" s="13" t="s">
        <v>502</v>
      </c>
      <c r="L85" s="11" t="s">
        <v>49</v>
      </c>
      <c r="M85" s="13"/>
      <c r="N85" s="14" t="s">
        <v>97</v>
      </c>
    </row>
    <row r="86" customFormat="false" ht="23.85" hidden="false" customHeight="false" outlineLevel="0" collapsed="false">
      <c r="A86" s="7" t="s">
        <v>1306</v>
      </c>
      <c r="B86" s="7" t="s">
        <v>7</v>
      </c>
      <c r="C86" s="8" t="s">
        <v>157</v>
      </c>
      <c r="D86" s="7"/>
      <c r="E86" s="9" t="s">
        <v>504</v>
      </c>
      <c r="F86" s="9" t="s">
        <v>44</v>
      </c>
      <c r="G86" s="9" t="s">
        <v>505</v>
      </c>
      <c r="H86" s="7" t="s">
        <v>339</v>
      </c>
      <c r="I86" s="7" t="s">
        <v>46</v>
      </c>
      <c r="J86" s="9" t="s">
        <v>12</v>
      </c>
      <c r="K86" s="9" t="s">
        <v>506</v>
      </c>
      <c r="L86" s="7" t="s">
        <v>49</v>
      </c>
      <c r="M86" s="9"/>
      <c r="N86" s="10" t="s">
        <v>97</v>
      </c>
    </row>
    <row r="87" customFormat="false" ht="23.85" hidden="false" customHeight="false" outlineLevel="0" collapsed="false">
      <c r="A87" s="11" t="s">
        <v>1307</v>
      </c>
      <c r="B87" s="11" t="s">
        <v>7</v>
      </c>
      <c r="C87" s="12" t="s">
        <v>508</v>
      </c>
      <c r="D87" s="11"/>
      <c r="E87" s="13" t="s">
        <v>509</v>
      </c>
      <c r="F87" s="13" t="s">
        <v>467</v>
      </c>
      <c r="G87" s="13" t="s">
        <v>510</v>
      </c>
      <c r="H87" s="11" t="s">
        <v>339</v>
      </c>
      <c r="I87" s="11" t="s">
        <v>469</v>
      </c>
      <c r="J87" s="13" t="s">
        <v>58</v>
      </c>
      <c r="K87" s="13" t="s">
        <v>511</v>
      </c>
      <c r="L87" s="11" t="s">
        <v>49</v>
      </c>
      <c r="M87" s="13" t="s">
        <v>512</v>
      </c>
      <c r="N87" s="14" t="s">
        <v>224</v>
      </c>
    </row>
    <row r="88" customFormat="false" ht="23.85" hidden="false" customHeight="false" outlineLevel="0" collapsed="false">
      <c r="A88" s="7" t="s">
        <v>1308</v>
      </c>
      <c r="B88" s="7" t="s">
        <v>7</v>
      </c>
      <c r="C88" s="8" t="s">
        <v>514</v>
      </c>
      <c r="D88" s="7"/>
      <c r="E88" s="9" t="s">
        <v>515</v>
      </c>
      <c r="F88" s="9" t="s">
        <v>44</v>
      </c>
      <c r="G88" s="9" t="s">
        <v>516</v>
      </c>
      <c r="H88" s="7" t="s">
        <v>258</v>
      </c>
      <c r="I88" s="7" t="s">
        <v>46</v>
      </c>
      <c r="J88" s="9" t="s">
        <v>12</v>
      </c>
      <c r="K88" s="9" t="s">
        <v>517</v>
      </c>
      <c r="L88" s="7" t="s">
        <v>49</v>
      </c>
      <c r="M88" s="9"/>
      <c r="N88" s="10" t="s">
        <v>97</v>
      </c>
    </row>
    <row r="89" customFormat="false" ht="35.05" hidden="false" customHeight="false" outlineLevel="0" collapsed="false">
      <c r="A89" s="11" t="s">
        <v>1309</v>
      </c>
      <c r="B89" s="11" t="s">
        <v>7</v>
      </c>
      <c r="C89" s="12" t="s">
        <v>519</v>
      </c>
      <c r="D89" s="11"/>
      <c r="E89" s="13" t="s">
        <v>520</v>
      </c>
      <c r="F89" s="13" t="s">
        <v>44</v>
      </c>
      <c r="G89" s="13" t="s">
        <v>521</v>
      </c>
      <c r="H89" s="11" t="s">
        <v>258</v>
      </c>
      <c r="I89" s="11" t="s">
        <v>46</v>
      </c>
      <c r="J89" s="13" t="s">
        <v>12</v>
      </c>
      <c r="K89" s="13" t="s">
        <v>522</v>
      </c>
      <c r="L89" s="11" t="s">
        <v>188</v>
      </c>
      <c r="M89" s="13" t="s">
        <v>523</v>
      </c>
      <c r="N89" s="14" t="s">
        <v>524</v>
      </c>
    </row>
    <row r="90" customFormat="false" ht="15" hidden="false" customHeight="false" outlineLevel="0" collapsed="false">
      <c r="A90" s="7" t="s">
        <v>1310</v>
      </c>
      <c r="B90" s="7" t="s">
        <v>7</v>
      </c>
      <c r="C90" s="8" t="s">
        <v>183</v>
      </c>
      <c r="D90" s="7"/>
      <c r="E90" s="9" t="s">
        <v>526</v>
      </c>
      <c r="F90" s="9" t="s">
        <v>44</v>
      </c>
      <c r="G90" s="9" t="s">
        <v>527</v>
      </c>
      <c r="H90" s="7" t="s">
        <v>339</v>
      </c>
      <c r="I90" s="7" t="s">
        <v>46</v>
      </c>
      <c r="J90" s="9" t="s">
        <v>12</v>
      </c>
      <c r="K90" s="9" t="s">
        <v>528</v>
      </c>
      <c r="L90" s="7" t="s">
        <v>188</v>
      </c>
      <c r="M90" s="9" t="s">
        <v>529</v>
      </c>
      <c r="N90" s="10" t="s">
        <v>530</v>
      </c>
    </row>
    <row r="91" customFormat="false" ht="23.85" hidden="false" customHeight="false" outlineLevel="0" collapsed="false">
      <c r="A91" s="11" t="s">
        <v>1311</v>
      </c>
      <c r="B91" s="11" t="s">
        <v>7</v>
      </c>
      <c r="C91" s="12" t="s">
        <v>532</v>
      </c>
      <c r="D91" s="11"/>
      <c r="E91" s="13" t="s">
        <v>533</v>
      </c>
      <c r="F91" s="13" t="s">
        <v>65</v>
      </c>
      <c r="G91" s="13" t="s">
        <v>534</v>
      </c>
      <c r="H91" s="11" t="s">
        <v>258</v>
      </c>
      <c r="I91" s="11" t="s">
        <v>46</v>
      </c>
      <c r="J91" s="13" t="s">
        <v>12</v>
      </c>
      <c r="K91" s="13" t="s">
        <v>535</v>
      </c>
      <c r="L91" s="11" t="s">
        <v>188</v>
      </c>
      <c r="M91" s="13" t="s">
        <v>211</v>
      </c>
      <c r="N91" s="14" t="s">
        <v>224</v>
      </c>
    </row>
    <row r="92" customFormat="false" ht="15" hidden="false" customHeight="false" outlineLevel="0" collapsed="false">
      <c r="A92" s="7" t="s">
        <v>1312</v>
      </c>
      <c r="B92" s="7" t="s">
        <v>7</v>
      </c>
      <c r="C92" s="8" t="s">
        <v>537</v>
      </c>
      <c r="D92" s="7"/>
      <c r="E92" s="9" t="s">
        <v>538</v>
      </c>
      <c r="F92" s="9" t="s">
        <v>44</v>
      </c>
      <c r="G92" s="9" t="s">
        <v>539</v>
      </c>
      <c r="H92" s="7" t="s">
        <v>339</v>
      </c>
      <c r="I92" s="7" t="s">
        <v>46</v>
      </c>
      <c r="J92" s="9" t="s">
        <v>12</v>
      </c>
      <c r="K92" s="9" t="s">
        <v>540</v>
      </c>
      <c r="L92" s="7" t="s">
        <v>188</v>
      </c>
      <c r="M92" s="9" t="s">
        <v>211</v>
      </c>
      <c r="N92" s="10" t="s">
        <v>97</v>
      </c>
    </row>
    <row r="93" customFormat="false" ht="23.85" hidden="false" customHeight="false" outlineLevel="0" collapsed="false">
      <c r="A93" s="11" t="s">
        <v>1313</v>
      </c>
      <c r="B93" s="11" t="s">
        <v>7</v>
      </c>
      <c r="C93" s="12" t="s">
        <v>542</v>
      </c>
      <c r="D93" s="11"/>
      <c r="E93" s="13" t="s">
        <v>543</v>
      </c>
      <c r="F93" s="13" t="s">
        <v>544</v>
      </c>
      <c r="G93" s="13" t="s">
        <v>545</v>
      </c>
      <c r="H93" s="11" t="s">
        <v>258</v>
      </c>
      <c r="I93" s="11" t="s">
        <v>46</v>
      </c>
      <c r="J93" s="13" t="s">
        <v>12</v>
      </c>
      <c r="K93" s="13" t="s">
        <v>546</v>
      </c>
      <c r="L93" s="11" t="s">
        <v>188</v>
      </c>
      <c r="M93" s="13" t="s">
        <v>211</v>
      </c>
      <c r="N93" s="14" t="s">
        <v>224</v>
      </c>
    </row>
    <row r="94" customFormat="false" ht="15" hidden="false" customHeight="false" outlineLevel="0" collapsed="false">
      <c r="A94" s="7" t="s">
        <v>1314</v>
      </c>
      <c r="B94" s="7" t="s">
        <v>7</v>
      </c>
      <c r="C94" s="8" t="s">
        <v>542</v>
      </c>
      <c r="D94" s="7"/>
      <c r="E94" s="9" t="s">
        <v>548</v>
      </c>
      <c r="F94" s="9" t="s">
        <v>44</v>
      </c>
      <c r="G94" s="9" t="s">
        <v>549</v>
      </c>
      <c r="H94" s="7" t="s">
        <v>258</v>
      </c>
      <c r="I94" s="7" t="s">
        <v>46</v>
      </c>
      <c r="J94" s="9" t="s">
        <v>12</v>
      </c>
      <c r="K94" s="9" t="s">
        <v>550</v>
      </c>
      <c r="L94" s="7" t="s">
        <v>188</v>
      </c>
      <c r="M94" s="9" t="s">
        <v>211</v>
      </c>
      <c r="N94" s="10" t="s">
        <v>97</v>
      </c>
    </row>
    <row r="95" customFormat="false" ht="23.85" hidden="false" customHeight="false" outlineLevel="0" collapsed="false">
      <c r="A95" s="11" t="s">
        <v>1315</v>
      </c>
      <c r="B95" s="11" t="s">
        <v>7</v>
      </c>
      <c r="C95" s="12" t="s">
        <v>552</v>
      </c>
      <c r="D95" s="11"/>
      <c r="E95" s="13" t="s">
        <v>553</v>
      </c>
      <c r="F95" s="13" t="s">
        <v>65</v>
      </c>
      <c r="G95" s="13" t="s">
        <v>554</v>
      </c>
      <c r="H95" s="11" t="s">
        <v>258</v>
      </c>
      <c r="I95" s="11" t="s">
        <v>46</v>
      </c>
      <c r="J95" s="13" t="s">
        <v>12</v>
      </c>
      <c r="K95" s="13" t="s">
        <v>555</v>
      </c>
      <c r="L95" s="11" t="s">
        <v>188</v>
      </c>
      <c r="M95" s="13" t="s">
        <v>211</v>
      </c>
      <c r="N95" s="14" t="s">
        <v>556</v>
      </c>
    </row>
    <row r="96" customFormat="false" ht="23.85" hidden="false" customHeight="false" outlineLevel="0" collapsed="false">
      <c r="A96" s="7" t="s">
        <v>1316</v>
      </c>
      <c r="B96" s="7" t="s">
        <v>7</v>
      </c>
      <c r="C96" s="8"/>
      <c r="D96" s="7"/>
      <c r="E96" s="9" t="s">
        <v>558</v>
      </c>
      <c r="F96" s="9"/>
      <c r="G96" s="9" t="s">
        <v>559</v>
      </c>
      <c r="H96" s="7" t="s">
        <v>258</v>
      </c>
      <c r="I96" s="7" t="s">
        <v>46</v>
      </c>
      <c r="J96" s="9" t="s">
        <v>560</v>
      </c>
      <c r="K96" s="9" t="s">
        <v>561</v>
      </c>
      <c r="L96" s="7" t="s">
        <v>229</v>
      </c>
      <c r="M96" s="9" t="s">
        <v>562</v>
      </c>
      <c r="N96" s="10" t="s">
        <v>563</v>
      </c>
    </row>
    <row r="97" customFormat="false" ht="23.85" hidden="false" customHeight="false" outlineLevel="0" collapsed="false">
      <c r="A97" s="11" t="s">
        <v>1317</v>
      </c>
      <c r="B97" s="11" t="s">
        <v>7</v>
      </c>
      <c r="C97" s="12"/>
      <c r="D97" s="11"/>
      <c r="E97" s="13" t="s">
        <v>565</v>
      </c>
      <c r="F97" s="13"/>
      <c r="G97" s="13" t="s">
        <v>566</v>
      </c>
      <c r="H97" s="11" t="s">
        <v>567</v>
      </c>
      <c r="I97" s="11" t="s">
        <v>46</v>
      </c>
      <c r="J97" s="13" t="s">
        <v>58</v>
      </c>
      <c r="K97" s="13" t="s">
        <v>511</v>
      </c>
      <c r="L97" s="11" t="s">
        <v>229</v>
      </c>
      <c r="M97" s="13"/>
      <c r="N97" s="14" t="s">
        <v>568</v>
      </c>
    </row>
    <row r="98" customFormat="false" ht="23.85" hidden="false" customHeight="false" outlineLevel="0" collapsed="false">
      <c r="A98" s="7" t="s">
        <v>1318</v>
      </c>
      <c r="B98" s="7" t="s">
        <v>7</v>
      </c>
      <c r="C98" s="8"/>
      <c r="D98" s="7"/>
      <c r="E98" s="9" t="s">
        <v>570</v>
      </c>
      <c r="F98" s="9"/>
      <c r="G98" s="9" t="s">
        <v>571</v>
      </c>
      <c r="H98" s="7" t="s">
        <v>567</v>
      </c>
      <c r="I98" s="7" t="s">
        <v>46</v>
      </c>
      <c r="J98" s="9" t="s">
        <v>14</v>
      </c>
      <c r="K98" s="9" t="s">
        <v>572</v>
      </c>
      <c r="L98" s="7" t="s">
        <v>229</v>
      </c>
      <c r="M98" s="9"/>
      <c r="N98" s="10" t="s">
        <v>573</v>
      </c>
    </row>
    <row r="99" customFormat="false" ht="23.85" hidden="false" customHeight="false" outlineLevel="0" collapsed="false">
      <c r="A99" s="11" t="s">
        <v>1319</v>
      </c>
      <c r="B99" s="11" t="s">
        <v>7</v>
      </c>
      <c r="C99" s="12"/>
      <c r="D99" s="11"/>
      <c r="E99" s="13" t="s">
        <v>575</v>
      </c>
      <c r="F99" s="13"/>
      <c r="G99" s="13" t="s">
        <v>576</v>
      </c>
      <c r="H99" s="11" t="s">
        <v>258</v>
      </c>
      <c r="I99" s="11" t="s">
        <v>57</v>
      </c>
      <c r="J99" s="13" t="s">
        <v>15</v>
      </c>
      <c r="K99" s="13" t="s">
        <v>369</v>
      </c>
      <c r="L99" s="11" t="s">
        <v>229</v>
      </c>
      <c r="M99" s="13" t="s">
        <v>577</v>
      </c>
      <c r="N99" s="14" t="s">
        <v>578</v>
      </c>
    </row>
    <row r="100" customFormat="false" ht="15" hidden="false" customHeight="false" outlineLevel="0" collapsed="false">
      <c r="A100" s="7" t="s">
        <v>1320</v>
      </c>
      <c r="B100" s="7" t="s">
        <v>7</v>
      </c>
      <c r="C100" s="8"/>
      <c r="D100" s="7"/>
      <c r="E100" s="9" t="s">
        <v>580</v>
      </c>
      <c r="F100" s="9" t="s">
        <v>145</v>
      </c>
      <c r="G100" s="9" t="s">
        <v>581</v>
      </c>
      <c r="H100" s="7" t="s">
        <v>567</v>
      </c>
      <c r="I100" s="7" t="s">
        <v>46</v>
      </c>
      <c r="J100" s="9" t="s">
        <v>14</v>
      </c>
      <c r="K100" s="9" t="s">
        <v>572</v>
      </c>
      <c r="L100" s="7" t="s">
        <v>229</v>
      </c>
      <c r="M100" s="9" t="s">
        <v>236</v>
      </c>
      <c r="N100" s="10" t="s">
        <v>582</v>
      </c>
    </row>
    <row r="101" customFormat="false" ht="23.85" hidden="false" customHeight="false" outlineLevel="0" collapsed="false">
      <c r="A101" s="11" t="s">
        <v>1321</v>
      </c>
      <c r="B101" s="11" t="s">
        <v>7</v>
      </c>
      <c r="C101" s="12"/>
      <c r="D101" s="11"/>
      <c r="E101" s="13" t="s">
        <v>584</v>
      </c>
      <c r="F101" s="13"/>
      <c r="G101" s="13" t="s">
        <v>566</v>
      </c>
      <c r="H101" s="11" t="s">
        <v>567</v>
      </c>
      <c r="I101" s="11" t="s">
        <v>46</v>
      </c>
      <c r="J101" s="13"/>
      <c r="K101" s="13" t="s">
        <v>585</v>
      </c>
      <c r="L101" s="11" t="s">
        <v>229</v>
      </c>
      <c r="M101" s="13"/>
      <c r="N101" s="14" t="s">
        <v>586</v>
      </c>
    </row>
    <row r="102" customFormat="false" ht="23.85" hidden="false" customHeight="false" outlineLevel="0" collapsed="false">
      <c r="A102" s="7" t="s">
        <v>1322</v>
      </c>
      <c r="B102" s="7" t="s">
        <v>7</v>
      </c>
      <c r="C102" s="8"/>
      <c r="D102" s="7"/>
      <c r="E102" s="9" t="s">
        <v>588</v>
      </c>
      <c r="F102" s="9" t="s">
        <v>589</v>
      </c>
      <c r="G102" s="9" t="s">
        <v>590</v>
      </c>
      <c r="H102" s="7" t="s">
        <v>258</v>
      </c>
      <c r="I102" s="7" t="s">
        <v>46</v>
      </c>
      <c r="J102" s="9" t="s">
        <v>14</v>
      </c>
      <c r="K102" s="9" t="s">
        <v>591</v>
      </c>
      <c r="L102" s="7" t="s">
        <v>229</v>
      </c>
      <c r="M102" s="9" t="s">
        <v>236</v>
      </c>
      <c r="N102" s="10" t="s">
        <v>592</v>
      </c>
    </row>
    <row r="103" customFormat="false" ht="23.85" hidden="false" customHeight="false" outlineLevel="0" collapsed="false">
      <c r="A103" s="11" t="s">
        <v>1323</v>
      </c>
      <c r="B103" s="11" t="s">
        <v>7</v>
      </c>
      <c r="C103" s="12"/>
      <c r="D103" s="11"/>
      <c r="E103" s="13" t="s">
        <v>594</v>
      </c>
      <c r="F103" s="13"/>
      <c r="G103" s="13" t="s">
        <v>581</v>
      </c>
      <c r="H103" s="11" t="s">
        <v>567</v>
      </c>
      <c r="I103" s="11" t="s">
        <v>46</v>
      </c>
      <c r="J103" s="13" t="s">
        <v>12</v>
      </c>
      <c r="K103" s="13" t="s">
        <v>595</v>
      </c>
      <c r="L103" s="11" t="s">
        <v>229</v>
      </c>
      <c r="M103" s="13" t="s">
        <v>562</v>
      </c>
      <c r="N103" s="14" t="s">
        <v>596</v>
      </c>
    </row>
    <row r="104" customFormat="false" ht="23.85" hidden="false" customHeight="false" outlineLevel="0" collapsed="false">
      <c r="A104" s="7" t="s">
        <v>1324</v>
      </c>
      <c r="B104" s="7" t="s">
        <v>7</v>
      </c>
      <c r="C104" s="8"/>
      <c r="D104" s="7"/>
      <c r="E104" s="9" t="s">
        <v>598</v>
      </c>
      <c r="F104" s="9"/>
      <c r="G104" s="9" t="s">
        <v>599</v>
      </c>
      <c r="H104" s="7" t="s">
        <v>567</v>
      </c>
      <c r="I104" s="7" t="s">
        <v>46</v>
      </c>
      <c r="J104" s="9" t="s">
        <v>14</v>
      </c>
      <c r="K104" s="9" t="s">
        <v>600</v>
      </c>
      <c r="L104" s="7" t="s">
        <v>229</v>
      </c>
      <c r="M104" s="9"/>
      <c r="N104" s="10" t="s">
        <v>601</v>
      </c>
    </row>
    <row r="105" customFormat="false" ht="23.85" hidden="false" customHeight="false" outlineLevel="0" collapsed="false">
      <c r="A105" s="11" t="s">
        <v>1325</v>
      </c>
      <c r="B105" s="11" t="s">
        <v>7</v>
      </c>
      <c r="C105" s="12"/>
      <c r="D105" s="11"/>
      <c r="E105" s="13" t="s">
        <v>603</v>
      </c>
      <c r="F105" s="13"/>
      <c r="G105" s="13" t="s">
        <v>604</v>
      </c>
      <c r="H105" s="11" t="s">
        <v>605</v>
      </c>
      <c r="I105" s="11" t="s">
        <v>57</v>
      </c>
      <c r="J105" s="13"/>
      <c r="K105" s="13" t="s">
        <v>606</v>
      </c>
      <c r="L105" s="11" t="s">
        <v>229</v>
      </c>
      <c r="M105" s="13" t="s">
        <v>562</v>
      </c>
      <c r="N105" s="14" t="s">
        <v>607</v>
      </c>
    </row>
    <row r="106" customFormat="false" ht="23.85" hidden="false" customHeight="false" outlineLevel="0" collapsed="false">
      <c r="A106" s="7" t="s">
        <v>1326</v>
      </c>
      <c r="B106" s="7" t="s">
        <v>7</v>
      </c>
      <c r="C106" s="8"/>
      <c r="D106" s="7"/>
      <c r="E106" s="9" t="s">
        <v>609</v>
      </c>
      <c r="F106" s="9"/>
      <c r="G106" s="9" t="s">
        <v>604</v>
      </c>
      <c r="H106" s="7" t="s">
        <v>605</v>
      </c>
      <c r="I106" s="7" t="s">
        <v>57</v>
      </c>
      <c r="J106" s="9" t="s">
        <v>14</v>
      </c>
      <c r="K106" s="9" t="s">
        <v>610</v>
      </c>
      <c r="L106" s="7" t="s">
        <v>229</v>
      </c>
      <c r="M106" s="9" t="s">
        <v>562</v>
      </c>
      <c r="N106" s="10" t="s">
        <v>611</v>
      </c>
    </row>
    <row r="107" customFormat="false" ht="15" hidden="false" customHeight="false" outlineLevel="0" collapsed="false">
      <c r="A107" s="11" t="s">
        <v>1327</v>
      </c>
      <c r="B107" s="11" t="s">
        <v>8</v>
      </c>
      <c r="C107" s="12" t="s">
        <v>41</v>
      </c>
      <c r="D107" s="11" t="s">
        <v>613</v>
      </c>
      <c r="E107" s="13" t="s">
        <v>614</v>
      </c>
      <c r="F107" s="13" t="s">
        <v>615</v>
      </c>
      <c r="G107" s="13" t="s">
        <v>616</v>
      </c>
      <c r="H107" s="11" t="s">
        <v>617</v>
      </c>
      <c r="I107" s="11" t="s">
        <v>46</v>
      </c>
      <c r="J107" s="13" t="s">
        <v>13</v>
      </c>
      <c r="K107" s="13" t="s">
        <v>618</v>
      </c>
      <c r="L107" s="11" t="s">
        <v>49</v>
      </c>
      <c r="M107" s="13"/>
      <c r="N107" s="14" t="s">
        <v>619</v>
      </c>
    </row>
    <row r="108" customFormat="false" ht="23.85" hidden="false" customHeight="false" outlineLevel="0" collapsed="false">
      <c r="A108" s="7" t="s">
        <v>1328</v>
      </c>
      <c r="B108" s="7" t="s">
        <v>8</v>
      </c>
      <c r="C108" s="8" t="s">
        <v>41</v>
      </c>
      <c r="D108" s="7" t="s">
        <v>621</v>
      </c>
      <c r="E108" s="9" t="s">
        <v>622</v>
      </c>
      <c r="F108" s="9"/>
      <c r="G108" s="9" t="s">
        <v>623</v>
      </c>
      <c r="H108" s="7" t="s">
        <v>624</v>
      </c>
      <c r="I108" s="7" t="s">
        <v>46</v>
      </c>
      <c r="J108" s="9" t="s">
        <v>321</v>
      </c>
      <c r="K108" s="9" t="s">
        <v>625</v>
      </c>
      <c r="L108" s="7" t="s">
        <v>49</v>
      </c>
      <c r="M108" s="9"/>
      <c r="N108" s="10" t="s">
        <v>51</v>
      </c>
    </row>
    <row r="109" customFormat="false" ht="15" hidden="false" customHeight="false" outlineLevel="0" collapsed="false">
      <c r="A109" s="11" t="s">
        <v>1329</v>
      </c>
      <c r="B109" s="11" t="s">
        <v>8</v>
      </c>
      <c r="C109" s="12" t="s">
        <v>283</v>
      </c>
      <c r="D109" s="11"/>
      <c r="E109" s="13" t="s">
        <v>627</v>
      </c>
      <c r="F109" s="13"/>
      <c r="G109" s="13" t="s">
        <v>628</v>
      </c>
      <c r="H109" s="11" t="s">
        <v>624</v>
      </c>
      <c r="I109" s="11" t="s">
        <v>57</v>
      </c>
      <c r="J109" s="13" t="s">
        <v>14</v>
      </c>
      <c r="K109" s="13" t="s">
        <v>629</v>
      </c>
      <c r="L109" s="11" t="s">
        <v>49</v>
      </c>
      <c r="M109" s="13" t="s">
        <v>630</v>
      </c>
      <c r="N109" s="14" t="s">
        <v>631</v>
      </c>
    </row>
    <row r="110" customFormat="false" ht="15" hidden="false" customHeight="false" outlineLevel="0" collapsed="false">
      <c r="A110" s="7" t="s">
        <v>1330</v>
      </c>
      <c r="B110" s="7" t="s">
        <v>8</v>
      </c>
      <c r="C110" s="8" t="s">
        <v>391</v>
      </c>
      <c r="D110" s="7" t="s">
        <v>633</v>
      </c>
      <c r="E110" s="9" t="s">
        <v>634</v>
      </c>
      <c r="F110" s="9"/>
      <c r="G110" s="9" t="s">
        <v>635</v>
      </c>
      <c r="H110" s="7" t="s">
        <v>636</v>
      </c>
      <c r="I110" s="7" t="s">
        <v>46</v>
      </c>
      <c r="J110" s="9" t="s">
        <v>14</v>
      </c>
      <c r="K110" s="9" t="s">
        <v>637</v>
      </c>
      <c r="L110" s="7" t="s">
        <v>49</v>
      </c>
      <c r="M110" s="9"/>
      <c r="N110" s="10" t="s">
        <v>638</v>
      </c>
    </row>
    <row r="111" customFormat="false" ht="15" hidden="false" customHeight="false" outlineLevel="0" collapsed="false">
      <c r="A111" s="11" t="s">
        <v>1331</v>
      </c>
      <c r="B111" s="11" t="s">
        <v>8</v>
      </c>
      <c r="C111" s="12" t="s">
        <v>411</v>
      </c>
      <c r="D111" s="11" t="s">
        <v>640</v>
      </c>
      <c r="E111" s="13" t="s">
        <v>641</v>
      </c>
      <c r="F111" s="13"/>
      <c r="G111" s="13" t="s">
        <v>642</v>
      </c>
      <c r="H111" s="11" t="s">
        <v>636</v>
      </c>
      <c r="I111" s="11" t="s">
        <v>46</v>
      </c>
      <c r="J111" s="13" t="s">
        <v>14</v>
      </c>
      <c r="K111" s="13" t="s">
        <v>643</v>
      </c>
      <c r="L111" s="11" t="s">
        <v>49</v>
      </c>
      <c r="M111" s="13" t="s">
        <v>644</v>
      </c>
      <c r="N111" s="14" t="s">
        <v>645</v>
      </c>
    </row>
    <row r="112" customFormat="false" ht="15" hidden="false" customHeight="false" outlineLevel="0" collapsed="false">
      <c r="A112" s="7" t="s">
        <v>1332</v>
      </c>
      <c r="B112" s="7" t="s">
        <v>8</v>
      </c>
      <c r="C112" s="8" t="s">
        <v>444</v>
      </c>
      <c r="D112" s="7" t="s">
        <v>647</v>
      </c>
      <c r="E112" s="9" t="s">
        <v>648</v>
      </c>
      <c r="F112" s="9"/>
      <c r="G112" s="9" t="s">
        <v>649</v>
      </c>
      <c r="H112" s="7" t="s">
        <v>636</v>
      </c>
      <c r="I112" s="7" t="s">
        <v>46</v>
      </c>
      <c r="J112" s="9" t="s">
        <v>16</v>
      </c>
      <c r="K112" s="9" t="s">
        <v>650</v>
      </c>
      <c r="L112" s="7" t="s">
        <v>49</v>
      </c>
      <c r="M112" s="9" t="s">
        <v>280</v>
      </c>
      <c r="N112" s="10" t="s">
        <v>651</v>
      </c>
    </row>
    <row r="113" customFormat="false" ht="15" hidden="false" customHeight="false" outlineLevel="0" collapsed="false">
      <c r="A113" s="11" t="s">
        <v>1333</v>
      </c>
      <c r="B113" s="11" t="s">
        <v>8</v>
      </c>
      <c r="C113" s="12" t="s">
        <v>78</v>
      </c>
      <c r="D113" s="11" t="s">
        <v>653</v>
      </c>
      <c r="E113" s="13" t="s">
        <v>654</v>
      </c>
      <c r="F113" s="13"/>
      <c r="G113" s="13" t="s">
        <v>655</v>
      </c>
      <c r="H113" s="11" t="s">
        <v>624</v>
      </c>
      <c r="I113" s="11" t="s">
        <v>46</v>
      </c>
      <c r="J113" s="13" t="s">
        <v>13</v>
      </c>
      <c r="K113" s="13" t="s">
        <v>656</v>
      </c>
      <c r="L113" s="11" t="s">
        <v>49</v>
      </c>
      <c r="M113" s="13"/>
      <c r="N113" s="14" t="s">
        <v>657</v>
      </c>
    </row>
    <row r="114" customFormat="false" ht="23.85" hidden="false" customHeight="false" outlineLevel="0" collapsed="false">
      <c r="A114" s="7" t="s">
        <v>1334</v>
      </c>
      <c r="B114" s="7" t="s">
        <v>8</v>
      </c>
      <c r="C114" s="8" t="s">
        <v>449</v>
      </c>
      <c r="D114" s="7"/>
      <c r="E114" s="9" t="s">
        <v>659</v>
      </c>
      <c r="F114" s="9" t="s">
        <v>327</v>
      </c>
      <c r="G114" s="9" t="s">
        <v>660</v>
      </c>
      <c r="H114" s="7" t="s">
        <v>636</v>
      </c>
      <c r="I114" s="7" t="s">
        <v>57</v>
      </c>
      <c r="J114" s="9" t="s">
        <v>14</v>
      </c>
      <c r="K114" s="9" t="s">
        <v>406</v>
      </c>
      <c r="L114" s="7" t="s">
        <v>49</v>
      </c>
      <c r="M114" s="9"/>
      <c r="N114" s="10" t="s">
        <v>330</v>
      </c>
    </row>
    <row r="115" customFormat="false" ht="15" hidden="false" customHeight="false" outlineLevel="0" collapsed="false">
      <c r="A115" s="11" t="s">
        <v>1335</v>
      </c>
      <c r="B115" s="11" t="s">
        <v>8</v>
      </c>
      <c r="C115" s="12" t="s">
        <v>449</v>
      </c>
      <c r="D115" s="11" t="s">
        <v>662</v>
      </c>
      <c r="E115" s="13" t="s">
        <v>663</v>
      </c>
      <c r="F115" s="13"/>
      <c r="G115" s="13" t="s">
        <v>664</v>
      </c>
      <c r="H115" s="11" t="s">
        <v>636</v>
      </c>
      <c r="I115" s="11" t="s">
        <v>57</v>
      </c>
      <c r="J115" s="13" t="s">
        <v>14</v>
      </c>
      <c r="K115" s="13" t="s">
        <v>665</v>
      </c>
      <c r="L115" s="11" t="s">
        <v>49</v>
      </c>
      <c r="M115" s="13"/>
      <c r="N115" s="14" t="s">
        <v>666</v>
      </c>
    </row>
    <row r="116" customFormat="false" ht="23.85" hidden="false" customHeight="false" outlineLevel="0" collapsed="false">
      <c r="A116" s="7" t="s">
        <v>1336</v>
      </c>
      <c r="B116" s="7" t="s">
        <v>8</v>
      </c>
      <c r="C116" s="8" t="s">
        <v>84</v>
      </c>
      <c r="D116" s="7" t="s">
        <v>668</v>
      </c>
      <c r="E116" s="9" t="s">
        <v>669</v>
      </c>
      <c r="F116" s="9"/>
      <c r="G116" s="9" t="s">
        <v>655</v>
      </c>
      <c r="H116" s="7" t="s">
        <v>624</v>
      </c>
      <c r="I116" s="7" t="s">
        <v>46</v>
      </c>
      <c r="J116" s="9" t="s">
        <v>58</v>
      </c>
      <c r="K116" s="9" t="s">
        <v>670</v>
      </c>
      <c r="L116" s="7" t="s">
        <v>49</v>
      </c>
      <c r="M116" s="9"/>
      <c r="N116" s="10" t="s">
        <v>671</v>
      </c>
    </row>
    <row r="117" customFormat="false" ht="23.85" hidden="false" customHeight="false" outlineLevel="0" collapsed="false">
      <c r="A117" s="11" t="s">
        <v>1337</v>
      </c>
      <c r="B117" s="11" t="s">
        <v>8</v>
      </c>
      <c r="C117" s="12" t="s">
        <v>84</v>
      </c>
      <c r="D117" s="11" t="s">
        <v>673</v>
      </c>
      <c r="E117" s="13" t="s">
        <v>674</v>
      </c>
      <c r="F117" s="13"/>
      <c r="G117" s="13" t="s">
        <v>655</v>
      </c>
      <c r="H117" s="11" t="s">
        <v>624</v>
      </c>
      <c r="I117" s="11" t="s">
        <v>46</v>
      </c>
      <c r="J117" s="13" t="s">
        <v>13</v>
      </c>
      <c r="K117" s="13" t="s">
        <v>675</v>
      </c>
      <c r="L117" s="11" t="s">
        <v>49</v>
      </c>
      <c r="M117" s="13"/>
      <c r="N117" s="14" t="s">
        <v>676</v>
      </c>
    </row>
    <row r="118" customFormat="false" ht="23.85" hidden="false" customHeight="false" outlineLevel="0" collapsed="false">
      <c r="A118" s="7" t="s">
        <v>1338</v>
      </c>
      <c r="B118" s="7" t="s">
        <v>8</v>
      </c>
      <c r="C118" s="8" t="s">
        <v>84</v>
      </c>
      <c r="D118" s="7" t="s">
        <v>678</v>
      </c>
      <c r="E118" s="9" t="s">
        <v>679</v>
      </c>
      <c r="F118" s="9"/>
      <c r="G118" s="9" t="s">
        <v>655</v>
      </c>
      <c r="H118" s="7" t="s">
        <v>624</v>
      </c>
      <c r="I118" s="7" t="s">
        <v>46</v>
      </c>
      <c r="J118" s="9" t="s">
        <v>58</v>
      </c>
      <c r="K118" s="9" t="s">
        <v>670</v>
      </c>
      <c r="L118" s="7" t="s">
        <v>49</v>
      </c>
      <c r="M118" s="9"/>
      <c r="N118" s="10" t="s">
        <v>680</v>
      </c>
    </row>
    <row r="119" customFormat="false" ht="15" hidden="false" customHeight="false" outlineLevel="0" collapsed="false">
      <c r="A119" s="11" t="s">
        <v>1339</v>
      </c>
      <c r="B119" s="11" t="s">
        <v>8</v>
      </c>
      <c r="C119" s="12" t="s">
        <v>84</v>
      </c>
      <c r="D119" s="11" t="s">
        <v>682</v>
      </c>
      <c r="E119" s="13" t="s">
        <v>683</v>
      </c>
      <c r="F119" s="13"/>
      <c r="G119" s="13" t="s">
        <v>655</v>
      </c>
      <c r="H119" s="11" t="s">
        <v>624</v>
      </c>
      <c r="I119" s="11" t="s">
        <v>46</v>
      </c>
      <c r="J119" s="13" t="s">
        <v>12</v>
      </c>
      <c r="K119" s="13" t="s">
        <v>684</v>
      </c>
      <c r="L119" s="11" t="s">
        <v>49</v>
      </c>
      <c r="M119" s="13"/>
      <c r="N119" s="14" t="s">
        <v>685</v>
      </c>
    </row>
    <row r="120" customFormat="false" ht="15" hidden="false" customHeight="false" outlineLevel="0" collapsed="false">
      <c r="A120" s="7" t="s">
        <v>1340</v>
      </c>
      <c r="B120" s="7" t="s">
        <v>8</v>
      </c>
      <c r="C120" s="8" t="s">
        <v>157</v>
      </c>
      <c r="D120" s="7" t="s">
        <v>687</v>
      </c>
      <c r="E120" s="9" t="s">
        <v>688</v>
      </c>
      <c r="F120" s="9" t="s">
        <v>689</v>
      </c>
      <c r="G120" s="9" t="s">
        <v>635</v>
      </c>
      <c r="H120" s="7" t="s">
        <v>690</v>
      </c>
      <c r="I120" s="7" t="s">
        <v>46</v>
      </c>
      <c r="J120" s="9" t="s">
        <v>17</v>
      </c>
      <c r="K120" s="9" t="s">
        <v>691</v>
      </c>
      <c r="L120" s="7" t="s">
        <v>49</v>
      </c>
      <c r="M120" s="9"/>
      <c r="N120" s="10" t="s">
        <v>174</v>
      </c>
    </row>
    <row r="121" customFormat="false" ht="23.85" hidden="false" customHeight="false" outlineLevel="0" collapsed="false">
      <c r="A121" s="11" t="s">
        <v>1341</v>
      </c>
      <c r="B121" s="11" t="s">
        <v>8</v>
      </c>
      <c r="C121" s="12"/>
      <c r="D121" s="11"/>
      <c r="E121" s="13" t="s">
        <v>693</v>
      </c>
      <c r="F121" s="13"/>
      <c r="G121" s="13" t="s">
        <v>623</v>
      </c>
      <c r="H121" s="11" t="s">
        <v>624</v>
      </c>
      <c r="I121" s="11" t="s">
        <v>46</v>
      </c>
      <c r="J121" s="13" t="s">
        <v>58</v>
      </c>
      <c r="K121" s="13" t="s">
        <v>656</v>
      </c>
      <c r="L121" s="11" t="s">
        <v>229</v>
      </c>
      <c r="M121" s="13" t="s">
        <v>694</v>
      </c>
      <c r="N121" s="14" t="s">
        <v>695</v>
      </c>
    </row>
    <row r="122" customFormat="false" ht="15" hidden="false" customHeight="false" outlineLevel="0" collapsed="false">
      <c r="A122" s="7" t="s">
        <v>1342</v>
      </c>
      <c r="B122" s="7" t="s">
        <v>8</v>
      </c>
      <c r="C122" s="8"/>
      <c r="D122" s="7"/>
      <c r="E122" s="9" t="s">
        <v>697</v>
      </c>
      <c r="F122" s="9"/>
      <c r="G122" s="9" t="s">
        <v>623</v>
      </c>
      <c r="H122" s="7" t="s">
        <v>624</v>
      </c>
      <c r="I122" s="7" t="s">
        <v>46</v>
      </c>
      <c r="J122" s="9" t="s">
        <v>14</v>
      </c>
      <c r="K122" s="9" t="s">
        <v>698</v>
      </c>
      <c r="L122" s="7" t="s">
        <v>229</v>
      </c>
      <c r="M122" s="9"/>
      <c r="N122" s="10" t="s">
        <v>699</v>
      </c>
    </row>
    <row r="123" customFormat="false" ht="15" hidden="false" customHeight="false" outlineLevel="0" collapsed="false">
      <c r="A123" s="11" t="s">
        <v>1343</v>
      </c>
      <c r="B123" s="11" t="s">
        <v>8</v>
      </c>
      <c r="C123" s="12"/>
      <c r="D123" s="11"/>
      <c r="E123" s="13" t="s">
        <v>701</v>
      </c>
      <c r="F123" s="13"/>
      <c r="G123" s="13" t="s">
        <v>623</v>
      </c>
      <c r="H123" s="11" t="s">
        <v>624</v>
      </c>
      <c r="I123" s="11" t="s">
        <v>46</v>
      </c>
      <c r="J123" s="13" t="s">
        <v>17</v>
      </c>
      <c r="K123" s="13" t="s">
        <v>702</v>
      </c>
      <c r="L123" s="11" t="s">
        <v>229</v>
      </c>
      <c r="M123" s="13"/>
      <c r="N123" s="14" t="s">
        <v>703</v>
      </c>
    </row>
    <row r="124" customFormat="false" ht="15" hidden="false" customHeight="false" outlineLevel="0" collapsed="false">
      <c r="A124" s="7" t="s">
        <v>1344</v>
      </c>
      <c r="B124" s="7" t="s">
        <v>8</v>
      </c>
      <c r="C124" s="8"/>
      <c r="D124" s="7"/>
      <c r="E124" s="9" t="s">
        <v>705</v>
      </c>
      <c r="F124" s="9"/>
      <c r="G124" s="9" t="s">
        <v>616</v>
      </c>
      <c r="H124" s="7" t="s">
        <v>706</v>
      </c>
      <c r="I124" s="7" t="s">
        <v>46</v>
      </c>
      <c r="J124" s="9"/>
      <c r="K124" s="9" t="s">
        <v>707</v>
      </c>
      <c r="L124" s="7" t="s">
        <v>229</v>
      </c>
      <c r="M124" s="9"/>
      <c r="N124" s="10" t="s">
        <v>708</v>
      </c>
    </row>
    <row r="125" customFormat="false" ht="15" hidden="false" customHeight="false" outlineLevel="0" collapsed="false">
      <c r="A125" s="11" t="s">
        <v>1345</v>
      </c>
      <c r="B125" s="11" t="s">
        <v>8</v>
      </c>
      <c r="C125" s="12"/>
      <c r="D125" s="11"/>
      <c r="E125" s="13" t="s">
        <v>710</v>
      </c>
      <c r="F125" s="13"/>
      <c r="G125" s="13" t="s">
        <v>649</v>
      </c>
      <c r="H125" s="11" t="s">
        <v>636</v>
      </c>
      <c r="I125" s="11" t="s">
        <v>46</v>
      </c>
      <c r="J125" s="13"/>
      <c r="K125" s="13" t="s">
        <v>711</v>
      </c>
      <c r="L125" s="11" t="s">
        <v>229</v>
      </c>
      <c r="M125" s="13"/>
      <c r="N125" s="14" t="s">
        <v>712</v>
      </c>
    </row>
    <row r="126" customFormat="false" ht="23.85" hidden="false" customHeight="false" outlineLevel="0" collapsed="false">
      <c r="A126" s="7" t="s">
        <v>1346</v>
      </c>
      <c r="B126" s="7" t="s">
        <v>8</v>
      </c>
      <c r="C126" s="8"/>
      <c r="D126" s="7"/>
      <c r="E126" s="9" t="s">
        <v>714</v>
      </c>
      <c r="F126" s="9"/>
      <c r="G126" s="9" t="s">
        <v>715</v>
      </c>
      <c r="H126" s="7" t="s">
        <v>636</v>
      </c>
      <c r="I126" s="7" t="s">
        <v>46</v>
      </c>
      <c r="J126" s="9"/>
      <c r="K126" s="9" t="s">
        <v>716</v>
      </c>
      <c r="L126" s="7" t="s">
        <v>229</v>
      </c>
      <c r="M126" s="9"/>
      <c r="N126" s="10" t="s">
        <v>717</v>
      </c>
    </row>
    <row r="127" customFormat="false" ht="15" hidden="false" customHeight="false" outlineLevel="0" collapsed="false">
      <c r="A127" s="11" t="s">
        <v>1347</v>
      </c>
      <c r="B127" s="11" t="s">
        <v>8</v>
      </c>
      <c r="C127" s="12"/>
      <c r="D127" s="11"/>
      <c r="E127" s="13" t="s">
        <v>719</v>
      </c>
      <c r="F127" s="13"/>
      <c r="G127" s="13" t="s">
        <v>715</v>
      </c>
      <c r="H127" s="11" t="s">
        <v>624</v>
      </c>
      <c r="I127" s="11" t="s">
        <v>46</v>
      </c>
      <c r="J127" s="13" t="s">
        <v>16</v>
      </c>
      <c r="K127" s="13" t="s">
        <v>720</v>
      </c>
      <c r="L127" s="11" t="s">
        <v>229</v>
      </c>
      <c r="M127" s="13"/>
      <c r="N127" s="14" t="s">
        <v>721</v>
      </c>
    </row>
    <row r="128" customFormat="false" ht="15" hidden="false" customHeight="false" outlineLevel="0" collapsed="false">
      <c r="A128" s="7" t="s">
        <v>1348</v>
      </c>
      <c r="B128" s="7" t="s">
        <v>8</v>
      </c>
      <c r="C128" s="8"/>
      <c r="D128" s="7"/>
      <c r="E128" s="9" t="s">
        <v>723</v>
      </c>
      <c r="F128" s="9"/>
      <c r="G128" s="9" t="s">
        <v>649</v>
      </c>
      <c r="H128" s="7" t="s">
        <v>636</v>
      </c>
      <c r="I128" s="7" t="s">
        <v>46</v>
      </c>
      <c r="J128" s="9" t="s">
        <v>13</v>
      </c>
      <c r="K128" s="9" t="s">
        <v>724</v>
      </c>
      <c r="L128" s="7" t="s">
        <v>229</v>
      </c>
      <c r="M128" s="9"/>
      <c r="N128" s="10" t="s">
        <v>725</v>
      </c>
    </row>
    <row r="129" customFormat="false" ht="23.85" hidden="false" customHeight="false" outlineLevel="0" collapsed="false">
      <c r="A129" s="11" t="s">
        <v>1349</v>
      </c>
      <c r="B129" s="11" t="s">
        <v>8</v>
      </c>
      <c r="C129" s="12"/>
      <c r="D129" s="11"/>
      <c r="E129" s="13" t="s">
        <v>727</v>
      </c>
      <c r="F129" s="13"/>
      <c r="G129" s="13" t="s">
        <v>623</v>
      </c>
      <c r="H129" s="11" t="s">
        <v>624</v>
      </c>
      <c r="I129" s="11" t="s">
        <v>46</v>
      </c>
      <c r="J129" s="13" t="s">
        <v>14</v>
      </c>
      <c r="K129" s="13" t="s">
        <v>728</v>
      </c>
      <c r="L129" s="11" t="s">
        <v>229</v>
      </c>
      <c r="M129" s="13"/>
      <c r="N129" s="14" t="s">
        <v>729</v>
      </c>
    </row>
    <row r="130" customFormat="false" ht="15" hidden="false" customHeight="false" outlineLevel="0" collapsed="false">
      <c r="A130" s="7" t="s">
        <v>1350</v>
      </c>
      <c r="B130" s="7" t="s">
        <v>8</v>
      </c>
      <c r="C130" s="8"/>
      <c r="D130" s="7"/>
      <c r="E130" s="9" t="s">
        <v>731</v>
      </c>
      <c r="F130" s="9"/>
      <c r="G130" s="9" t="s">
        <v>616</v>
      </c>
      <c r="H130" s="7" t="s">
        <v>617</v>
      </c>
      <c r="I130" s="7" t="s">
        <v>46</v>
      </c>
      <c r="J130" s="9" t="s">
        <v>13</v>
      </c>
      <c r="K130" s="9" t="s">
        <v>732</v>
      </c>
      <c r="L130" s="7" t="s">
        <v>229</v>
      </c>
      <c r="M130" s="9"/>
      <c r="N130" s="10" t="s">
        <v>733</v>
      </c>
    </row>
    <row r="131" customFormat="false" ht="15" hidden="false" customHeight="false" outlineLevel="0" collapsed="false">
      <c r="A131" s="11" t="s">
        <v>1351</v>
      </c>
      <c r="B131" s="11" t="s">
        <v>8</v>
      </c>
      <c r="C131" s="12"/>
      <c r="D131" s="11"/>
      <c r="E131" s="13" t="s">
        <v>735</v>
      </c>
      <c r="F131" s="13"/>
      <c r="G131" s="13" t="s">
        <v>623</v>
      </c>
      <c r="H131" s="11" t="s">
        <v>636</v>
      </c>
      <c r="I131" s="11" t="s">
        <v>46</v>
      </c>
      <c r="J131" s="13" t="s">
        <v>14</v>
      </c>
      <c r="K131" s="13" t="s">
        <v>736</v>
      </c>
      <c r="L131" s="11" t="s">
        <v>229</v>
      </c>
      <c r="M131" s="13"/>
      <c r="N131" s="14" t="s">
        <v>737</v>
      </c>
    </row>
    <row r="132" customFormat="false" ht="15" hidden="false" customHeight="false" outlineLevel="0" collapsed="false">
      <c r="A132" s="7" t="s">
        <v>1352</v>
      </c>
      <c r="B132" s="7" t="s">
        <v>8</v>
      </c>
      <c r="C132" s="8"/>
      <c r="D132" s="7"/>
      <c r="E132" s="9" t="s">
        <v>739</v>
      </c>
      <c r="F132" s="9"/>
      <c r="G132" s="9" t="s">
        <v>616</v>
      </c>
      <c r="H132" s="7" t="s">
        <v>617</v>
      </c>
      <c r="I132" s="7" t="s">
        <v>46</v>
      </c>
      <c r="J132" s="9" t="s">
        <v>14</v>
      </c>
      <c r="K132" s="9" t="s">
        <v>740</v>
      </c>
      <c r="L132" s="7" t="s">
        <v>229</v>
      </c>
      <c r="M132" s="9"/>
      <c r="N132" s="10" t="s">
        <v>741</v>
      </c>
    </row>
    <row r="133" customFormat="false" ht="23.85" hidden="false" customHeight="false" outlineLevel="0" collapsed="false">
      <c r="A133" s="11" t="s">
        <v>1353</v>
      </c>
      <c r="B133" s="11" t="s">
        <v>8</v>
      </c>
      <c r="C133" s="12"/>
      <c r="D133" s="11"/>
      <c r="E133" s="13" t="s">
        <v>743</v>
      </c>
      <c r="F133" s="13"/>
      <c r="G133" s="13" t="s">
        <v>623</v>
      </c>
      <c r="H133" s="11" t="s">
        <v>624</v>
      </c>
      <c r="I133" s="11" t="s">
        <v>46</v>
      </c>
      <c r="J133" s="13" t="s">
        <v>12</v>
      </c>
      <c r="K133" s="13" t="s">
        <v>744</v>
      </c>
      <c r="L133" s="11" t="s">
        <v>229</v>
      </c>
      <c r="M133" s="13"/>
      <c r="N133" s="14" t="s">
        <v>745</v>
      </c>
    </row>
    <row r="134" customFormat="false" ht="23.85" hidden="false" customHeight="false" outlineLevel="0" collapsed="false">
      <c r="A134" s="7" t="s">
        <v>1354</v>
      </c>
      <c r="B134" s="7" t="s">
        <v>8</v>
      </c>
      <c r="C134" s="8"/>
      <c r="D134" s="7"/>
      <c r="E134" s="9" t="s">
        <v>747</v>
      </c>
      <c r="F134" s="9"/>
      <c r="G134" s="9" t="s">
        <v>748</v>
      </c>
      <c r="H134" s="7" t="s">
        <v>624</v>
      </c>
      <c r="I134" s="7" t="s">
        <v>57</v>
      </c>
      <c r="J134" s="9" t="s">
        <v>12</v>
      </c>
      <c r="K134" s="9" t="s">
        <v>749</v>
      </c>
      <c r="L134" s="7" t="s">
        <v>229</v>
      </c>
      <c r="M134" s="9" t="s">
        <v>750</v>
      </c>
      <c r="N134" s="10" t="s">
        <v>751</v>
      </c>
    </row>
    <row r="135" customFormat="false" ht="23.85" hidden="false" customHeight="false" outlineLevel="0" collapsed="false">
      <c r="A135" s="11" t="s">
        <v>1355</v>
      </c>
      <c r="B135" s="11" t="s">
        <v>8</v>
      </c>
      <c r="C135" s="12"/>
      <c r="D135" s="11"/>
      <c r="E135" s="13" t="s">
        <v>753</v>
      </c>
      <c r="F135" s="13"/>
      <c r="G135" s="13" t="s">
        <v>754</v>
      </c>
      <c r="H135" s="11" t="s">
        <v>636</v>
      </c>
      <c r="I135" s="11" t="s">
        <v>57</v>
      </c>
      <c r="J135" s="13" t="s">
        <v>58</v>
      </c>
      <c r="K135" s="13" t="s">
        <v>755</v>
      </c>
      <c r="L135" s="11" t="s">
        <v>229</v>
      </c>
      <c r="M135" s="13"/>
      <c r="N135" s="14" t="s">
        <v>756</v>
      </c>
    </row>
    <row r="136" customFormat="false" ht="23.85" hidden="false" customHeight="false" outlineLevel="0" collapsed="false">
      <c r="A136" s="7" t="s">
        <v>1356</v>
      </c>
      <c r="B136" s="7" t="s">
        <v>8</v>
      </c>
      <c r="C136" s="8"/>
      <c r="D136" s="7"/>
      <c r="E136" s="9" t="s">
        <v>758</v>
      </c>
      <c r="F136" s="9"/>
      <c r="G136" s="9" t="s">
        <v>759</v>
      </c>
      <c r="H136" s="7" t="s">
        <v>636</v>
      </c>
      <c r="I136" s="7" t="s">
        <v>57</v>
      </c>
      <c r="J136" s="9" t="s">
        <v>12</v>
      </c>
      <c r="K136" s="9" t="s">
        <v>760</v>
      </c>
      <c r="L136" s="7" t="s">
        <v>229</v>
      </c>
      <c r="M136" s="9"/>
      <c r="N136" s="10" t="s">
        <v>761</v>
      </c>
    </row>
    <row r="137" customFormat="false" ht="23.85" hidden="false" customHeight="false" outlineLevel="0" collapsed="false">
      <c r="A137" s="11" t="s">
        <v>1357</v>
      </c>
      <c r="B137" s="11" t="s">
        <v>8</v>
      </c>
      <c r="C137" s="12"/>
      <c r="D137" s="11"/>
      <c r="E137" s="13" t="s">
        <v>763</v>
      </c>
      <c r="F137" s="13" t="s">
        <v>145</v>
      </c>
      <c r="G137" s="13" t="s">
        <v>764</v>
      </c>
      <c r="H137" s="11" t="s">
        <v>636</v>
      </c>
      <c r="I137" s="11" t="s">
        <v>57</v>
      </c>
      <c r="J137" s="13" t="s">
        <v>14</v>
      </c>
      <c r="K137" s="13" t="s">
        <v>765</v>
      </c>
      <c r="L137" s="11" t="s">
        <v>229</v>
      </c>
      <c r="M137" s="13"/>
      <c r="N137" s="14" t="s">
        <v>766</v>
      </c>
    </row>
    <row r="138" customFormat="false" ht="23.85" hidden="false" customHeight="false" outlineLevel="0" collapsed="false">
      <c r="A138" s="7" t="s">
        <v>1358</v>
      </c>
      <c r="B138" s="7" t="s">
        <v>9</v>
      </c>
      <c r="C138" s="8" t="s">
        <v>41</v>
      </c>
      <c r="D138" s="7" t="s">
        <v>768</v>
      </c>
      <c r="E138" s="9" t="s">
        <v>769</v>
      </c>
      <c r="F138" s="9" t="s">
        <v>770</v>
      </c>
      <c r="G138" s="9" t="s">
        <v>771</v>
      </c>
      <c r="H138" s="7" t="s">
        <v>772</v>
      </c>
      <c r="I138" s="7" t="s">
        <v>57</v>
      </c>
      <c r="J138" s="9" t="s">
        <v>14</v>
      </c>
      <c r="K138" s="9" t="s">
        <v>773</v>
      </c>
      <c r="L138" s="7" t="s">
        <v>49</v>
      </c>
      <c r="M138" s="9" t="s">
        <v>774</v>
      </c>
      <c r="N138" s="10" t="s">
        <v>775</v>
      </c>
    </row>
    <row r="139" customFormat="false" ht="23.85" hidden="false" customHeight="false" outlineLevel="0" collapsed="false">
      <c r="A139" s="11" t="s">
        <v>1359</v>
      </c>
      <c r="B139" s="11" t="s">
        <v>9</v>
      </c>
      <c r="C139" s="12" t="s">
        <v>41</v>
      </c>
      <c r="D139" s="11" t="s">
        <v>777</v>
      </c>
      <c r="E139" s="13" t="s">
        <v>778</v>
      </c>
      <c r="F139" s="13" t="s">
        <v>770</v>
      </c>
      <c r="G139" s="13" t="s">
        <v>771</v>
      </c>
      <c r="H139" s="11" t="s">
        <v>772</v>
      </c>
      <c r="I139" s="11" t="s">
        <v>57</v>
      </c>
      <c r="J139" s="13"/>
      <c r="K139" s="13" t="s">
        <v>779</v>
      </c>
      <c r="L139" s="11" t="s">
        <v>49</v>
      </c>
      <c r="M139" s="13" t="s">
        <v>774</v>
      </c>
      <c r="N139" s="14" t="s">
        <v>780</v>
      </c>
    </row>
    <row r="140" customFormat="false" ht="23.85" hidden="false" customHeight="false" outlineLevel="0" collapsed="false">
      <c r="A140" s="7" t="s">
        <v>1360</v>
      </c>
      <c r="B140" s="7" t="s">
        <v>9</v>
      </c>
      <c r="C140" s="8" t="s">
        <v>41</v>
      </c>
      <c r="D140" s="7" t="s">
        <v>782</v>
      </c>
      <c r="E140" s="9" t="s">
        <v>783</v>
      </c>
      <c r="F140" s="9" t="s">
        <v>770</v>
      </c>
      <c r="G140" s="9" t="s">
        <v>771</v>
      </c>
      <c r="H140" s="7" t="s">
        <v>772</v>
      </c>
      <c r="I140" s="7" t="s">
        <v>57</v>
      </c>
      <c r="J140" s="9" t="s">
        <v>14</v>
      </c>
      <c r="K140" s="9" t="s">
        <v>784</v>
      </c>
      <c r="L140" s="7" t="s">
        <v>49</v>
      </c>
      <c r="M140" s="9" t="s">
        <v>774</v>
      </c>
      <c r="N140" s="10" t="s">
        <v>785</v>
      </c>
    </row>
    <row r="141" customFormat="false" ht="23.85" hidden="false" customHeight="false" outlineLevel="0" collapsed="false">
      <c r="A141" s="11" t="s">
        <v>1361</v>
      </c>
      <c r="B141" s="11" t="s">
        <v>9</v>
      </c>
      <c r="C141" s="12" t="s">
        <v>41</v>
      </c>
      <c r="D141" s="11" t="s">
        <v>787</v>
      </c>
      <c r="E141" s="13" t="s">
        <v>788</v>
      </c>
      <c r="F141" s="13" t="s">
        <v>770</v>
      </c>
      <c r="G141" s="13" t="s">
        <v>771</v>
      </c>
      <c r="H141" s="11" t="s">
        <v>772</v>
      </c>
      <c r="I141" s="11" t="s">
        <v>57</v>
      </c>
      <c r="J141" s="13" t="s">
        <v>17</v>
      </c>
      <c r="K141" s="13" t="s">
        <v>789</v>
      </c>
      <c r="L141" s="11" t="s">
        <v>49</v>
      </c>
      <c r="M141" s="13" t="s">
        <v>774</v>
      </c>
      <c r="N141" s="14" t="s">
        <v>790</v>
      </c>
    </row>
    <row r="142" customFormat="false" ht="23.85" hidden="false" customHeight="false" outlineLevel="0" collapsed="false">
      <c r="A142" s="7" t="s">
        <v>1362</v>
      </c>
      <c r="B142" s="7" t="s">
        <v>9</v>
      </c>
      <c r="C142" s="8" t="s">
        <v>41</v>
      </c>
      <c r="D142" s="7" t="s">
        <v>792</v>
      </c>
      <c r="E142" s="9" t="s">
        <v>793</v>
      </c>
      <c r="F142" s="9" t="s">
        <v>770</v>
      </c>
      <c r="G142" s="9" t="s">
        <v>771</v>
      </c>
      <c r="H142" s="7" t="s">
        <v>772</v>
      </c>
      <c r="I142" s="7" t="s">
        <v>57</v>
      </c>
      <c r="J142" s="9" t="s">
        <v>17</v>
      </c>
      <c r="K142" s="9" t="s">
        <v>789</v>
      </c>
      <c r="L142" s="7" t="s">
        <v>49</v>
      </c>
      <c r="M142" s="9" t="s">
        <v>774</v>
      </c>
      <c r="N142" s="10" t="s">
        <v>794</v>
      </c>
    </row>
    <row r="143" customFormat="false" ht="23.85" hidden="false" customHeight="false" outlineLevel="0" collapsed="false">
      <c r="A143" s="11" t="s">
        <v>1363</v>
      </c>
      <c r="B143" s="11" t="s">
        <v>9</v>
      </c>
      <c r="C143" s="12" t="s">
        <v>41</v>
      </c>
      <c r="D143" s="11" t="s">
        <v>796</v>
      </c>
      <c r="E143" s="13" t="s">
        <v>797</v>
      </c>
      <c r="F143" s="13" t="s">
        <v>770</v>
      </c>
      <c r="G143" s="13" t="s">
        <v>771</v>
      </c>
      <c r="H143" s="11" t="s">
        <v>772</v>
      </c>
      <c r="I143" s="11" t="s">
        <v>57</v>
      </c>
      <c r="J143" s="13" t="s">
        <v>14</v>
      </c>
      <c r="K143" s="13" t="s">
        <v>798</v>
      </c>
      <c r="L143" s="11" t="s">
        <v>49</v>
      </c>
      <c r="M143" s="13" t="s">
        <v>774</v>
      </c>
      <c r="N143" s="14" t="s">
        <v>799</v>
      </c>
    </row>
    <row r="144" customFormat="false" ht="23.85" hidden="false" customHeight="false" outlineLevel="0" collapsed="false">
      <c r="A144" s="7" t="s">
        <v>1364</v>
      </c>
      <c r="B144" s="7" t="s">
        <v>9</v>
      </c>
      <c r="C144" s="8" t="s">
        <v>41</v>
      </c>
      <c r="D144" s="7" t="s">
        <v>801</v>
      </c>
      <c r="E144" s="9" t="s">
        <v>802</v>
      </c>
      <c r="F144" s="9" t="s">
        <v>770</v>
      </c>
      <c r="G144" s="9" t="s">
        <v>771</v>
      </c>
      <c r="H144" s="7" t="s">
        <v>772</v>
      </c>
      <c r="I144" s="7" t="s">
        <v>57</v>
      </c>
      <c r="J144" s="9" t="s">
        <v>14</v>
      </c>
      <c r="K144" s="9" t="s">
        <v>803</v>
      </c>
      <c r="L144" s="7" t="s">
        <v>49</v>
      </c>
      <c r="M144" s="9" t="s">
        <v>774</v>
      </c>
      <c r="N144" s="10" t="s">
        <v>804</v>
      </c>
    </row>
    <row r="145" customFormat="false" ht="23.85" hidden="false" customHeight="false" outlineLevel="0" collapsed="false">
      <c r="A145" s="11" t="s">
        <v>1365</v>
      </c>
      <c r="B145" s="11" t="s">
        <v>9</v>
      </c>
      <c r="C145" s="12" t="s">
        <v>53</v>
      </c>
      <c r="D145" s="11" t="s">
        <v>806</v>
      </c>
      <c r="E145" s="13" t="s">
        <v>807</v>
      </c>
      <c r="F145" s="13" t="s">
        <v>55</v>
      </c>
      <c r="G145" s="13" t="s">
        <v>771</v>
      </c>
      <c r="H145" s="11" t="s">
        <v>772</v>
      </c>
      <c r="I145" s="11" t="s">
        <v>57</v>
      </c>
      <c r="J145" s="13" t="s">
        <v>14</v>
      </c>
      <c r="K145" s="13" t="s">
        <v>808</v>
      </c>
      <c r="L145" s="11" t="s">
        <v>49</v>
      </c>
      <c r="M145" s="13" t="s">
        <v>809</v>
      </c>
      <c r="N145" s="14" t="s">
        <v>810</v>
      </c>
    </row>
    <row r="146" customFormat="false" ht="23.85" hidden="false" customHeight="false" outlineLevel="0" collapsed="false">
      <c r="A146" s="7" t="s">
        <v>1366</v>
      </c>
      <c r="B146" s="7" t="s">
        <v>9</v>
      </c>
      <c r="C146" s="8" t="s">
        <v>53</v>
      </c>
      <c r="D146" s="7" t="s">
        <v>812</v>
      </c>
      <c r="E146" s="9" t="s">
        <v>813</v>
      </c>
      <c r="F146" s="9" t="s">
        <v>55</v>
      </c>
      <c r="G146" s="9" t="s">
        <v>771</v>
      </c>
      <c r="H146" s="7" t="s">
        <v>772</v>
      </c>
      <c r="I146" s="7" t="s">
        <v>57</v>
      </c>
      <c r="J146" s="9" t="s">
        <v>12</v>
      </c>
      <c r="K146" s="9" t="s">
        <v>814</v>
      </c>
      <c r="L146" s="7" t="s">
        <v>49</v>
      </c>
      <c r="M146" s="9" t="s">
        <v>809</v>
      </c>
      <c r="N146" s="10" t="s">
        <v>815</v>
      </c>
    </row>
    <row r="147" customFormat="false" ht="23.85" hidden="false" customHeight="false" outlineLevel="0" collapsed="false">
      <c r="A147" s="11" t="s">
        <v>1367</v>
      </c>
      <c r="B147" s="11" t="s">
        <v>9</v>
      </c>
      <c r="C147" s="12" t="s">
        <v>53</v>
      </c>
      <c r="D147" s="11" t="s">
        <v>817</v>
      </c>
      <c r="E147" s="13" t="s">
        <v>818</v>
      </c>
      <c r="F147" s="13" t="s">
        <v>819</v>
      </c>
      <c r="G147" s="13" t="s">
        <v>771</v>
      </c>
      <c r="H147" s="11" t="s">
        <v>772</v>
      </c>
      <c r="I147" s="11" t="s">
        <v>57</v>
      </c>
      <c r="J147" s="13"/>
      <c r="K147" s="13" t="s">
        <v>820</v>
      </c>
      <c r="L147" s="11" t="s">
        <v>49</v>
      </c>
      <c r="M147" s="13" t="s">
        <v>821</v>
      </c>
      <c r="N147" s="14" t="s">
        <v>822</v>
      </c>
    </row>
    <row r="148" customFormat="false" ht="23.85" hidden="false" customHeight="false" outlineLevel="0" collapsed="false">
      <c r="A148" s="7" t="s">
        <v>1368</v>
      </c>
      <c r="B148" s="7" t="s">
        <v>9</v>
      </c>
      <c r="C148" s="8" t="s">
        <v>53</v>
      </c>
      <c r="D148" s="7" t="s">
        <v>824</v>
      </c>
      <c r="E148" s="9" t="s">
        <v>825</v>
      </c>
      <c r="F148" s="9" t="s">
        <v>55</v>
      </c>
      <c r="G148" s="9" t="s">
        <v>771</v>
      </c>
      <c r="H148" s="7" t="s">
        <v>772</v>
      </c>
      <c r="I148" s="7" t="s">
        <v>57</v>
      </c>
      <c r="J148" s="9" t="s">
        <v>12</v>
      </c>
      <c r="K148" s="9" t="s">
        <v>826</v>
      </c>
      <c r="L148" s="7" t="s">
        <v>49</v>
      </c>
      <c r="M148" s="9" t="s">
        <v>809</v>
      </c>
      <c r="N148" s="10" t="s">
        <v>827</v>
      </c>
    </row>
    <row r="149" customFormat="false" ht="23.85" hidden="false" customHeight="false" outlineLevel="0" collapsed="false">
      <c r="A149" s="11" t="s">
        <v>1369</v>
      </c>
      <c r="B149" s="11" t="s">
        <v>9</v>
      </c>
      <c r="C149" s="12" t="s">
        <v>53</v>
      </c>
      <c r="D149" s="11" t="s">
        <v>829</v>
      </c>
      <c r="E149" s="13" t="s">
        <v>830</v>
      </c>
      <c r="F149" s="13" t="s">
        <v>55</v>
      </c>
      <c r="G149" s="13" t="s">
        <v>771</v>
      </c>
      <c r="H149" s="11" t="s">
        <v>772</v>
      </c>
      <c r="I149" s="11" t="s">
        <v>57</v>
      </c>
      <c r="J149" s="13" t="s">
        <v>12</v>
      </c>
      <c r="K149" s="13" t="s">
        <v>826</v>
      </c>
      <c r="L149" s="11" t="s">
        <v>49</v>
      </c>
      <c r="M149" s="13" t="s">
        <v>809</v>
      </c>
      <c r="N149" s="14" t="s">
        <v>831</v>
      </c>
    </row>
    <row r="150" customFormat="false" ht="23.85" hidden="false" customHeight="false" outlineLevel="0" collapsed="false">
      <c r="A150" s="7" t="s">
        <v>1370</v>
      </c>
      <c r="B150" s="7" t="s">
        <v>9</v>
      </c>
      <c r="C150" s="8" t="s">
        <v>53</v>
      </c>
      <c r="D150" s="7" t="s">
        <v>833</v>
      </c>
      <c r="E150" s="9" t="s">
        <v>834</v>
      </c>
      <c r="F150" s="9" t="s">
        <v>770</v>
      </c>
      <c r="G150" s="9" t="s">
        <v>771</v>
      </c>
      <c r="H150" s="7" t="s">
        <v>772</v>
      </c>
      <c r="I150" s="7" t="s">
        <v>57</v>
      </c>
      <c r="J150" s="9" t="s">
        <v>14</v>
      </c>
      <c r="K150" s="9" t="s">
        <v>798</v>
      </c>
      <c r="L150" s="7" t="s">
        <v>49</v>
      </c>
      <c r="M150" s="9" t="s">
        <v>774</v>
      </c>
      <c r="N150" s="10" t="s">
        <v>835</v>
      </c>
    </row>
    <row r="151" customFormat="false" ht="23.85" hidden="false" customHeight="false" outlineLevel="0" collapsed="false">
      <c r="A151" s="11" t="s">
        <v>1371</v>
      </c>
      <c r="B151" s="11" t="s">
        <v>9</v>
      </c>
      <c r="C151" s="12" t="s">
        <v>53</v>
      </c>
      <c r="D151" s="11" t="s">
        <v>837</v>
      </c>
      <c r="E151" s="13" t="s">
        <v>838</v>
      </c>
      <c r="F151" s="13" t="s">
        <v>770</v>
      </c>
      <c r="G151" s="13" t="s">
        <v>771</v>
      </c>
      <c r="H151" s="11" t="s">
        <v>772</v>
      </c>
      <c r="I151" s="11" t="s">
        <v>57</v>
      </c>
      <c r="J151" s="13" t="s">
        <v>14</v>
      </c>
      <c r="K151" s="13" t="s">
        <v>839</v>
      </c>
      <c r="L151" s="11" t="s">
        <v>49</v>
      </c>
      <c r="M151" s="13" t="s">
        <v>774</v>
      </c>
      <c r="N151" s="14" t="s">
        <v>840</v>
      </c>
    </row>
    <row r="152" customFormat="false" ht="23.85" hidden="false" customHeight="false" outlineLevel="0" collapsed="false">
      <c r="A152" s="7" t="s">
        <v>1372</v>
      </c>
      <c r="B152" s="7" t="s">
        <v>9</v>
      </c>
      <c r="C152" s="8" t="s">
        <v>53</v>
      </c>
      <c r="D152" s="7" t="s">
        <v>842</v>
      </c>
      <c r="E152" s="9" t="s">
        <v>843</v>
      </c>
      <c r="F152" s="9" t="s">
        <v>55</v>
      </c>
      <c r="G152" s="9" t="s">
        <v>771</v>
      </c>
      <c r="H152" s="7" t="s">
        <v>772</v>
      </c>
      <c r="I152" s="7" t="s">
        <v>57</v>
      </c>
      <c r="J152" s="9" t="s">
        <v>12</v>
      </c>
      <c r="K152" s="9" t="s">
        <v>844</v>
      </c>
      <c r="L152" s="7" t="s">
        <v>49</v>
      </c>
      <c r="M152" s="9" t="s">
        <v>809</v>
      </c>
      <c r="N152" s="10" t="s">
        <v>845</v>
      </c>
    </row>
    <row r="153" customFormat="false" ht="23.85" hidden="false" customHeight="false" outlineLevel="0" collapsed="false">
      <c r="A153" s="11" t="s">
        <v>1373</v>
      </c>
      <c r="B153" s="11" t="s">
        <v>9</v>
      </c>
      <c r="C153" s="12" t="s">
        <v>53</v>
      </c>
      <c r="D153" s="11" t="s">
        <v>847</v>
      </c>
      <c r="E153" s="13" t="s">
        <v>848</v>
      </c>
      <c r="F153" s="13" t="s">
        <v>55</v>
      </c>
      <c r="G153" s="13" t="s">
        <v>771</v>
      </c>
      <c r="H153" s="11" t="s">
        <v>772</v>
      </c>
      <c r="I153" s="11" t="s">
        <v>57</v>
      </c>
      <c r="J153" s="13" t="s">
        <v>12</v>
      </c>
      <c r="K153" s="13" t="s">
        <v>849</v>
      </c>
      <c r="L153" s="11" t="s">
        <v>49</v>
      </c>
      <c r="M153" s="13" t="s">
        <v>809</v>
      </c>
      <c r="N153" s="14" t="s">
        <v>850</v>
      </c>
    </row>
    <row r="154" customFormat="false" ht="23.85" hidden="false" customHeight="false" outlineLevel="0" collapsed="false">
      <c r="A154" s="7" t="s">
        <v>1374</v>
      </c>
      <c r="B154" s="7" t="s">
        <v>9</v>
      </c>
      <c r="C154" s="8" t="s">
        <v>53</v>
      </c>
      <c r="D154" s="7" t="s">
        <v>852</v>
      </c>
      <c r="E154" s="9" t="s">
        <v>853</v>
      </c>
      <c r="F154" s="9" t="s">
        <v>770</v>
      </c>
      <c r="G154" s="9" t="s">
        <v>771</v>
      </c>
      <c r="H154" s="7" t="s">
        <v>772</v>
      </c>
      <c r="I154" s="7" t="s">
        <v>57</v>
      </c>
      <c r="J154" s="9"/>
      <c r="K154" s="9" t="s">
        <v>854</v>
      </c>
      <c r="L154" s="7" t="s">
        <v>49</v>
      </c>
      <c r="M154" s="9" t="s">
        <v>774</v>
      </c>
      <c r="N154" s="10" t="s">
        <v>855</v>
      </c>
    </row>
    <row r="155" customFormat="false" ht="23.85" hidden="false" customHeight="false" outlineLevel="0" collapsed="false">
      <c r="A155" s="11" t="s">
        <v>1375</v>
      </c>
      <c r="B155" s="11" t="s">
        <v>9</v>
      </c>
      <c r="C155" s="12" t="s">
        <v>53</v>
      </c>
      <c r="D155" s="11" t="s">
        <v>857</v>
      </c>
      <c r="E155" s="13" t="s">
        <v>858</v>
      </c>
      <c r="F155" s="13" t="s">
        <v>770</v>
      </c>
      <c r="G155" s="13" t="s">
        <v>771</v>
      </c>
      <c r="H155" s="11" t="s">
        <v>772</v>
      </c>
      <c r="I155" s="11" t="s">
        <v>57</v>
      </c>
      <c r="J155" s="13" t="s">
        <v>14</v>
      </c>
      <c r="K155" s="13" t="s">
        <v>859</v>
      </c>
      <c r="L155" s="11" t="s">
        <v>49</v>
      </c>
      <c r="M155" s="13" t="s">
        <v>774</v>
      </c>
      <c r="N155" s="14" t="s">
        <v>860</v>
      </c>
    </row>
    <row r="156" customFormat="false" ht="23.85" hidden="false" customHeight="false" outlineLevel="0" collapsed="false">
      <c r="A156" s="7" t="s">
        <v>1376</v>
      </c>
      <c r="B156" s="7" t="s">
        <v>9</v>
      </c>
      <c r="C156" s="8" t="s">
        <v>53</v>
      </c>
      <c r="D156" s="7" t="s">
        <v>862</v>
      </c>
      <c r="E156" s="9" t="s">
        <v>863</v>
      </c>
      <c r="F156" s="9" t="s">
        <v>770</v>
      </c>
      <c r="G156" s="9" t="s">
        <v>771</v>
      </c>
      <c r="H156" s="7" t="s">
        <v>772</v>
      </c>
      <c r="I156" s="7" t="s">
        <v>57</v>
      </c>
      <c r="J156" s="9" t="s">
        <v>14</v>
      </c>
      <c r="K156" s="9" t="s">
        <v>798</v>
      </c>
      <c r="L156" s="7" t="s">
        <v>49</v>
      </c>
      <c r="M156" s="9" t="s">
        <v>774</v>
      </c>
      <c r="N156" s="10" t="s">
        <v>864</v>
      </c>
    </row>
    <row r="157" customFormat="false" ht="23.85" hidden="false" customHeight="false" outlineLevel="0" collapsed="false">
      <c r="A157" s="11" t="s">
        <v>1377</v>
      </c>
      <c r="B157" s="11" t="s">
        <v>9</v>
      </c>
      <c r="C157" s="12" t="s">
        <v>53</v>
      </c>
      <c r="D157" s="11" t="s">
        <v>866</v>
      </c>
      <c r="E157" s="13" t="s">
        <v>867</v>
      </c>
      <c r="F157" s="13" t="s">
        <v>770</v>
      </c>
      <c r="G157" s="13" t="s">
        <v>771</v>
      </c>
      <c r="H157" s="11" t="s">
        <v>772</v>
      </c>
      <c r="I157" s="11" t="s">
        <v>57</v>
      </c>
      <c r="J157" s="13" t="s">
        <v>321</v>
      </c>
      <c r="K157" s="13" t="s">
        <v>868</v>
      </c>
      <c r="L157" s="11" t="s">
        <v>49</v>
      </c>
      <c r="M157" s="13" t="s">
        <v>774</v>
      </c>
      <c r="N157" s="14" t="s">
        <v>869</v>
      </c>
    </row>
    <row r="158" customFormat="false" ht="23.85" hidden="false" customHeight="false" outlineLevel="0" collapsed="false">
      <c r="A158" s="7" t="s">
        <v>1378</v>
      </c>
      <c r="B158" s="7" t="s">
        <v>9</v>
      </c>
      <c r="C158" s="8" t="s">
        <v>53</v>
      </c>
      <c r="D158" s="7" t="s">
        <v>871</v>
      </c>
      <c r="E158" s="9" t="s">
        <v>872</v>
      </c>
      <c r="F158" s="9" t="s">
        <v>55</v>
      </c>
      <c r="G158" s="9" t="s">
        <v>771</v>
      </c>
      <c r="H158" s="7" t="s">
        <v>772</v>
      </c>
      <c r="I158" s="7" t="s">
        <v>57</v>
      </c>
      <c r="J158" s="9" t="s">
        <v>12</v>
      </c>
      <c r="K158" s="9" t="s">
        <v>873</v>
      </c>
      <c r="L158" s="7" t="s">
        <v>49</v>
      </c>
      <c r="M158" s="9" t="s">
        <v>809</v>
      </c>
      <c r="N158" s="10" t="s">
        <v>874</v>
      </c>
    </row>
    <row r="159" customFormat="false" ht="23.85" hidden="false" customHeight="false" outlineLevel="0" collapsed="false">
      <c r="A159" s="11" t="s">
        <v>1379</v>
      </c>
      <c r="B159" s="11" t="s">
        <v>9</v>
      </c>
      <c r="C159" s="12" t="s">
        <v>53</v>
      </c>
      <c r="D159" s="11" t="s">
        <v>876</v>
      </c>
      <c r="E159" s="13" t="s">
        <v>877</v>
      </c>
      <c r="F159" s="13" t="s">
        <v>770</v>
      </c>
      <c r="G159" s="13" t="s">
        <v>771</v>
      </c>
      <c r="H159" s="11" t="s">
        <v>772</v>
      </c>
      <c r="I159" s="11" t="s">
        <v>57</v>
      </c>
      <c r="J159" s="13"/>
      <c r="K159" s="13" t="s">
        <v>878</v>
      </c>
      <c r="L159" s="11" t="s">
        <v>49</v>
      </c>
      <c r="M159" s="13" t="s">
        <v>774</v>
      </c>
      <c r="N159" s="14" t="s">
        <v>879</v>
      </c>
    </row>
    <row r="160" customFormat="false" ht="23.85" hidden="false" customHeight="false" outlineLevel="0" collapsed="false">
      <c r="A160" s="7" t="s">
        <v>1380</v>
      </c>
      <c r="B160" s="7" t="s">
        <v>9</v>
      </c>
      <c r="C160" s="8" t="s">
        <v>53</v>
      </c>
      <c r="D160" s="7" t="s">
        <v>881</v>
      </c>
      <c r="E160" s="9" t="s">
        <v>882</v>
      </c>
      <c r="F160" s="9" t="s">
        <v>770</v>
      </c>
      <c r="G160" s="9" t="s">
        <v>771</v>
      </c>
      <c r="H160" s="7" t="s">
        <v>772</v>
      </c>
      <c r="I160" s="7" t="s">
        <v>57</v>
      </c>
      <c r="J160" s="9" t="s">
        <v>14</v>
      </c>
      <c r="K160" s="9" t="s">
        <v>883</v>
      </c>
      <c r="L160" s="7" t="s">
        <v>49</v>
      </c>
      <c r="M160" s="9" t="s">
        <v>774</v>
      </c>
      <c r="N160" s="10" t="s">
        <v>884</v>
      </c>
    </row>
    <row r="161" customFormat="false" ht="23.85" hidden="false" customHeight="false" outlineLevel="0" collapsed="false">
      <c r="A161" s="11" t="s">
        <v>1381</v>
      </c>
      <c r="B161" s="11" t="s">
        <v>9</v>
      </c>
      <c r="C161" s="12" t="s">
        <v>53</v>
      </c>
      <c r="D161" s="11" t="s">
        <v>886</v>
      </c>
      <c r="E161" s="13" t="s">
        <v>887</v>
      </c>
      <c r="F161" s="13" t="s">
        <v>770</v>
      </c>
      <c r="G161" s="13" t="s">
        <v>771</v>
      </c>
      <c r="H161" s="11" t="s">
        <v>772</v>
      </c>
      <c r="I161" s="11" t="s">
        <v>57</v>
      </c>
      <c r="J161" s="13" t="s">
        <v>14</v>
      </c>
      <c r="K161" s="13" t="s">
        <v>888</v>
      </c>
      <c r="L161" s="11" t="s">
        <v>49</v>
      </c>
      <c r="M161" s="13" t="s">
        <v>774</v>
      </c>
      <c r="N161" s="14" t="s">
        <v>889</v>
      </c>
    </row>
    <row r="162" customFormat="false" ht="23.85" hidden="false" customHeight="false" outlineLevel="0" collapsed="false">
      <c r="A162" s="7" t="s">
        <v>1382</v>
      </c>
      <c r="B162" s="7" t="s">
        <v>9</v>
      </c>
      <c r="C162" s="8" t="s">
        <v>53</v>
      </c>
      <c r="D162" s="7" t="s">
        <v>891</v>
      </c>
      <c r="E162" s="9" t="s">
        <v>892</v>
      </c>
      <c r="F162" s="9" t="s">
        <v>770</v>
      </c>
      <c r="G162" s="9" t="s">
        <v>771</v>
      </c>
      <c r="H162" s="7" t="s">
        <v>772</v>
      </c>
      <c r="I162" s="7" t="s">
        <v>57</v>
      </c>
      <c r="J162" s="9" t="s">
        <v>14</v>
      </c>
      <c r="K162" s="9" t="s">
        <v>893</v>
      </c>
      <c r="L162" s="7" t="s">
        <v>49</v>
      </c>
      <c r="M162" s="9" t="s">
        <v>774</v>
      </c>
      <c r="N162" s="10" t="s">
        <v>894</v>
      </c>
    </row>
    <row r="163" customFormat="false" ht="23.85" hidden="false" customHeight="false" outlineLevel="0" collapsed="false">
      <c r="A163" s="11" t="s">
        <v>1383</v>
      </c>
      <c r="B163" s="11" t="s">
        <v>9</v>
      </c>
      <c r="C163" s="12" t="s">
        <v>53</v>
      </c>
      <c r="D163" s="11" t="s">
        <v>896</v>
      </c>
      <c r="E163" s="13" t="s">
        <v>897</v>
      </c>
      <c r="F163" s="13" t="s">
        <v>770</v>
      </c>
      <c r="G163" s="13" t="s">
        <v>771</v>
      </c>
      <c r="H163" s="11" t="s">
        <v>772</v>
      </c>
      <c r="I163" s="11" t="s">
        <v>57</v>
      </c>
      <c r="J163" s="13" t="s">
        <v>14</v>
      </c>
      <c r="K163" s="13" t="s">
        <v>898</v>
      </c>
      <c r="L163" s="11" t="s">
        <v>49</v>
      </c>
      <c r="M163" s="13" t="s">
        <v>774</v>
      </c>
      <c r="N163" s="14" t="s">
        <v>899</v>
      </c>
    </row>
    <row r="164" customFormat="false" ht="23.85" hidden="false" customHeight="false" outlineLevel="0" collapsed="false">
      <c r="A164" s="7" t="s">
        <v>1384</v>
      </c>
      <c r="B164" s="7" t="s">
        <v>9</v>
      </c>
      <c r="C164" s="8" t="s">
        <v>283</v>
      </c>
      <c r="D164" s="7" t="s">
        <v>901</v>
      </c>
      <c r="E164" s="9" t="s">
        <v>902</v>
      </c>
      <c r="F164" s="9" t="s">
        <v>819</v>
      </c>
      <c r="G164" s="9" t="s">
        <v>771</v>
      </c>
      <c r="H164" s="7" t="s">
        <v>772</v>
      </c>
      <c r="I164" s="7" t="s">
        <v>57</v>
      </c>
      <c r="J164" s="9"/>
      <c r="K164" s="9" t="s">
        <v>903</v>
      </c>
      <c r="L164" s="7" t="s">
        <v>49</v>
      </c>
      <c r="M164" s="9" t="s">
        <v>821</v>
      </c>
      <c r="N164" s="10" t="s">
        <v>904</v>
      </c>
    </row>
    <row r="165" customFormat="false" ht="23.85" hidden="false" customHeight="false" outlineLevel="0" collapsed="false">
      <c r="A165" s="11" t="s">
        <v>1385</v>
      </c>
      <c r="B165" s="11" t="s">
        <v>9</v>
      </c>
      <c r="C165" s="12" t="s">
        <v>283</v>
      </c>
      <c r="D165" s="11" t="s">
        <v>906</v>
      </c>
      <c r="E165" s="13" t="s">
        <v>907</v>
      </c>
      <c r="F165" s="13" t="s">
        <v>819</v>
      </c>
      <c r="G165" s="13" t="s">
        <v>771</v>
      </c>
      <c r="H165" s="11" t="s">
        <v>772</v>
      </c>
      <c r="I165" s="11" t="s">
        <v>57</v>
      </c>
      <c r="J165" s="13" t="s">
        <v>58</v>
      </c>
      <c r="K165" s="13" t="s">
        <v>908</v>
      </c>
      <c r="L165" s="11" t="s">
        <v>49</v>
      </c>
      <c r="M165" s="13" t="s">
        <v>821</v>
      </c>
      <c r="N165" s="14" t="s">
        <v>909</v>
      </c>
    </row>
    <row r="166" customFormat="false" ht="23.85" hidden="false" customHeight="false" outlineLevel="0" collapsed="false">
      <c r="A166" s="7" t="s">
        <v>1386</v>
      </c>
      <c r="B166" s="7" t="s">
        <v>9</v>
      </c>
      <c r="C166" s="8" t="s">
        <v>283</v>
      </c>
      <c r="D166" s="7" t="s">
        <v>911</v>
      </c>
      <c r="E166" s="9" t="s">
        <v>912</v>
      </c>
      <c r="F166" s="9" t="s">
        <v>55</v>
      </c>
      <c r="G166" s="9" t="s">
        <v>771</v>
      </c>
      <c r="H166" s="7" t="s">
        <v>772</v>
      </c>
      <c r="I166" s="7" t="s">
        <v>57</v>
      </c>
      <c r="J166" s="9" t="s">
        <v>58</v>
      </c>
      <c r="K166" s="9" t="s">
        <v>913</v>
      </c>
      <c r="L166" s="7" t="s">
        <v>49</v>
      </c>
      <c r="M166" s="9" t="s">
        <v>809</v>
      </c>
      <c r="N166" s="10" t="s">
        <v>914</v>
      </c>
    </row>
    <row r="167" customFormat="false" ht="23.85" hidden="false" customHeight="false" outlineLevel="0" collapsed="false">
      <c r="A167" s="11" t="s">
        <v>1387</v>
      </c>
      <c r="B167" s="11" t="s">
        <v>9</v>
      </c>
      <c r="C167" s="12" t="s">
        <v>283</v>
      </c>
      <c r="D167" s="11" t="s">
        <v>916</v>
      </c>
      <c r="E167" s="13" t="s">
        <v>917</v>
      </c>
      <c r="F167" s="13" t="s">
        <v>55</v>
      </c>
      <c r="G167" s="13" t="s">
        <v>771</v>
      </c>
      <c r="H167" s="11" t="s">
        <v>772</v>
      </c>
      <c r="I167" s="11" t="s">
        <v>57</v>
      </c>
      <c r="J167" s="13" t="s">
        <v>12</v>
      </c>
      <c r="K167" s="13" t="s">
        <v>918</v>
      </c>
      <c r="L167" s="11" t="s">
        <v>49</v>
      </c>
      <c r="M167" s="13" t="s">
        <v>809</v>
      </c>
      <c r="N167" s="14" t="s">
        <v>919</v>
      </c>
    </row>
    <row r="168" customFormat="false" ht="23.85" hidden="false" customHeight="false" outlineLevel="0" collapsed="false">
      <c r="A168" s="7" t="s">
        <v>1388</v>
      </c>
      <c r="B168" s="7" t="s">
        <v>9</v>
      </c>
      <c r="C168" s="8" t="s">
        <v>283</v>
      </c>
      <c r="D168" s="7" t="s">
        <v>921</v>
      </c>
      <c r="E168" s="9" t="s">
        <v>922</v>
      </c>
      <c r="F168" s="9" t="s">
        <v>819</v>
      </c>
      <c r="G168" s="9" t="s">
        <v>771</v>
      </c>
      <c r="H168" s="7" t="s">
        <v>772</v>
      </c>
      <c r="I168" s="7" t="s">
        <v>57</v>
      </c>
      <c r="J168" s="9"/>
      <c r="K168" s="9" t="s">
        <v>820</v>
      </c>
      <c r="L168" s="7" t="s">
        <v>49</v>
      </c>
      <c r="M168" s="9" t="s">
        <v>821</v>
      </c>
      <c r="N168" s="10" t="s">
        <v>923</v>
      </c>
    </row>
    <row r="169" customFormat="false" ht="23.85" hidden="false" customHeight="false" outlineLevel="0" collapsed="false">
      <c r="A169" s="11" t="s">
        <v>1389</v>
      </c>
      <c r="B169" s="11" t="s">
        <v>9</v>
      </c>
      <c r="C169" s="12" t="s">
        <v>283</v>
      </c>
      <c r="D169" s="11" t="s">
        <v>925</v>
      </c>
      <c r="E169" s="13" t="s">
        <v>926</v>
      </c>
      <c r="F169" s="13" t="s">
        <v>55</v>
      </c>
      <c r="G169" s="13" t="s">
        <v>771</v>
      </c>
      <c r="H169" s="11" t="s">
        <v>772</v>
      </c>
      <c r="I169" s="11" t="s">
        <v>57</v>
      </c>
      <c r="J169" s="13"/>
      <c r="K169" s="13" t="s">
        <v>927</v>
      </c>
      <c r="L169" s="11" t="s">
        <v>49</v>
      </c>
      <c r="M169" s="13" t="s">
        <v>809</v>
      </c>
      <c r="N169" s="14" t="s">
        <v>928</v>
      </c>
    </row>
    <row r="170" customFormat="false" ht="23.85" hidden="false" customHeight="false" outlineLevel="0" collapsed="false">
      <c r="A170" s="7" t="s">
        <v>1390</v>
      </c>
      <c r="B170" s="7" t="s">
        <v>9</v>
      </c>
      <c r="C170" s="8" t="s">
        <v>283</v>
      </c>
      <c r="D170" s="7" t="s">
        <v>930</v>
      </c>
      <c r="E170" s="9" t="s">
        <v>931</v>
      </c>
      <c r="F170" s="9" t="s">
        <v>819</v>
      </c>
      <c r="G170" s="9" t="s">
        <v>771</v>
      </c>
      <c r="H170" s="7" t="s">
        <v>772</v>
      </c>
      <c r="I170" s="7" t="s">
        <v>57</v>
      </c>
      <c r="J170" s="9"/>
      <c r="K170" s="9" t="s">
        <v>932</v>
      </c>
      <c r="L170" s="7" t="s">
        <v>49</v>
      </c>
      <c r="M170" s="9" t="s">
        <v>821</v>
      </c>
      <c r="N170" s="10" t="s">
        <v>933</v>
      </c>
    </row>
    <row r="171" customFormat="false" ht="23.85" hidden="false" customHeight="false" outlineLevel="0" collapsed="false">
      <c r="A171" s="11" t="s">
        <v>1391</v>
      </c>
      <c r="B171" s="11" t="s">
        <v>9</v>
      </c>
      <c r="C171" s="12" t="s">
        <v>283</v>
      </c>
      <c r="D171" s="11" t="s">
        <v>935</v>
      </c>
      <c r="E171" s="13" t="s">
        <v>936</v>
      </c>
      <c r="F171" s="13" t="s">
        <v>55</v>
      </c>
      <c r="G171" s="13" t="s">
        <v>771</v>
      </c>
      <c r="H171" s="11" t="s">
        <v>772</v>
      </c>
      <c r="I171" s="11" t="s">
        <v>57</v>
      </c>
      <c r="J171" s="13" t="s">
        <v>58</v>
      </c>
      <c r="K171" s="13" t="s">
        <v>937</v>
      </c>
      <c r="L171" s="11" t="s">
        <v>49</v>
      </c>
      <c r="M171" s="13" t="s">
        <v>809</v>
      </c>
      <c r="N171" s="14" t="s">
        <v>938</v>
      </c>
    </row>
    <row r="172" customFormat="false" ht="23.85" hidden="false" customHeight="false" outlineLevel="0" collapsed="false">
      <c r="A172" s="7" t="s">
        <v>1392</v>
      </c>
      <c r="B172" s="7" t="s">
        <v>9</v>
      </c>
      <c r="C172" s="8" t="s">
        <v>283</v>
      </c>
      <c r="D172" s="7" t="s">
        <v>940</v>
      </c>
      <c r="E172" s="9" t="s">
        <v>941</v>
      </c>
      <c r="F172" s="9" t="s">
        <v>55</v>
      </c>
      <c r="G172" s="9" t="s">
        <v>771</v>
      </c>
      <c r="H172" s="7" t="s">
        <v>772</v>
      </c>
      <c r="I172" s="7" t="s">
        <v>57</v>
      </c>
      <c r="J172" s="9" t="s">
        <v>12</v>
      </c>
      <c r="K172" s="9" t="s">
        <v>942</v>
      </c>
      <c r="L172" s="7" t="s">
        <v>49</v>
      </c>
      <c r="M172" s="9" t="s">
        <v>809</v>
      </c>
      <c r="N172" s="10" t="s">
        <v>943</v>
      </c>
    </row>
    <row r="173" customFormat="false" ht="23.85" hidden="false" customHeight="false" outlineLevel="0" collapsed="false">
      <c r="A173" s="11" t="s">
        <v>1393</v>
      </c>
      <c r="B173" s="11" t="s">
        <v>9</v>
      </c>
      <c r="C173" s="12" t="s">
        <v>283</v>
      </c>
      <c r="D173" s="11" t="s">
        <v>945</v>
      </c>
      <c r="E173" s="13" t="s">
        <v>946</v>
      </c>
      <c r="F173" s="13" t="s">
        <v>55</v>
      </c>
      <c r="G173" s="13" t="s">
        <v>771</v>
      </c>
      <c r="H173" s="11" t="s">
        <v>772</v>
      </c>
      <c r="I173" s="11" t="s">
        <v>57</v>
      </c>
      <c r="J173" s="13" t="s">
        <v>58</v>
      </c>
      <c r="K173" s="13" t="s">
        <v>947</v>
      </c>
      <c r="L173" s="11" t="s">
        <v>49</v>
      </c>
      <c r="M173" s="13" t="s">
        <v>809</v>
      </c>
      <c r="N173" s="14" t="s">
        <v>948</v>
      </c>
    </row>
    <row r="174" customFormat="false" ht="23.85" hidden="false" customHeight="false" outlineLevel="0" collapsed="false">
      <c r="A174" s="7" t="s">
        <v>1394</v>
      </c>
      <c r="B174" s="7" t="s">
        <v>9</v>
      </c>
      <c r="C174" s="8" t="s">
        <v>283</v>
      </c>
      <c r="D174" s="7" t="s">
        <v>950</v>
      </c>
      <c r="E174" s="9" t="s">
        <v>951</v>
      </c>
      <c r="F174" s="9" t="s">
        <v>819</v>
      </c>
      <c r="G174" s="9" t="s">
        <v>771</v>
      </c>
      <c r="H174" s="7" t="s">
        <v>772</v>
      </c>
      <c r="I174" s="7" t="s">
        <v>57</v>
      </c>
      <c r="J174" s="9"/>
      <c r="K174" s="9" t="s">
        <v>820</v>
      </c>
      <c r="L174" s="7" t="s">
        <v>49</v>
      </c>
      <c r="M174" s="9" t="s">
        <v>821</v>
      </c>
      <c r="N174" s="10" t="s">
        <v>952</v>
      </c>
    </row>
    <row r="175" customFormat="false" ht="23.85" hidden="false" customHeight="false" outlineLevel="0" collapsed="false">
      <c r="A175" s="11" t="s">
        <v>1395</v>
      </c>
      <c r="B175" s="11" t="s">
        <v>9</v>
      </c>
      <c r="C175" s="12" t="s">
        <v>283</v>
      </c>
      <c r="D175" s="11" t="s">
        <v>954</v>
      </c>
      <c r="E175" s="13" t="s">
        <v>955</v>
      </c>
      <c r="F175" s="13" t="s">
        <v>55</v>
      </c>
      <c r="G175" s="13" t="s">
        <v>771</v>
      </c>
      <c r="H175" s="11" t="s">
        <v>772</v>
      </c>
      <c r="I175" s="11" t="s">
        <v>57</v>
      </c>
      <c r="J175" s="13" t="s">
        <v>12</v>
      </c>
      <c r="K175" s="13" t="s">
        <v>956</v>
      </c>
      <c r="L175" s="11" t="s">
        <v>49</v>
      </c>
      <c r="M175" s="13" t="s">
        <v>809</v>
      </c>
      <c r="N175" s="14" t="s">
        <v>957</v>
      </c>
    </row>
    <row r="176" customFormat="false" ht="23.85" hidden="false" customHeight="false" outlineLevel="0" collapsed="false">
      <c r="A176" s="7" t="s">
        <v>1396</v>
      </c>
      <c r="B176" s="7" t="s">
        <v>9</v>
      </c>
      <c r="C176" s="8" t="s">
        <v>283</v>
      </c>
      <c r="D176" s="7" t="s">
        <v>959</v>
      </c>
      <c r="E176" s="9" t="s">
        <v>960</v>
      </c>
      <c r="F176" s="9" t="s">
        <v>819</v>
      </c>
      <c r="G176" s="9" t="s">
        <v>771</v>
      </c>
      <c r="H176" s="7" t="s">
        <v>772</v>
      </c>
      <c r="I176" s="7" t="s">
        <v>57</v>
      </c>
      <c r="J176" s="9"/>
      <c r="K176" s="9" t="s">
        <v>820</v>
      </c>
      <c r="L176" s="7" t="s">
        <v>49</v>
      </c>
      <c r="M176" s="9" t="s">
        <v>821</v>
      </c>
      <c r="N176" s="10" t="s">
        <v>961</v>
      </c>
    </row>
    <row r="177" customFormat="false" ht="23.85" hidden="false" customHeight="false" outlineLevel="0" collapsed="false">
      <c r="A177" s="11" t="s">
        <v>1397</v>
      </c>
      <c r="B177" s="11" t="s">
        <v>9</v>
      </c>
      <c r="C177" s="12" t="s">
        <v>283</v>
      </c>
      <c r="D177" s="11" t="s">
        <v>963</v>
      </c>
      <c r="E177" s="13" t="s">
        <v>964</v>
      </c>
      <c r="F177" s="13" t="s">
        <v>55</v>
      </c>
      <c r="G177" s="13" t="s">
        <v>771</v>
      </c>
      <c r="H177" s="11" t="s">
        <v>772</v>
      </c>
      <c r="I177" s="11" t="s">
        <v>57</v>
      </c>
      <c r="J177" s="13" t="s">
        <v>12</v>
      </c>
      <c r="K177" s="13" t="s">
        <v>965</v>
      </c>
      <c r="L177" s="11" t="s">
        <v>49</v>
      </c>
      <c r="M177" s="13" t="s">
        <v>809</v>
      </c>
      <c r="N177" s="14" t="s">
        <v>966</v>
      </c>
    </row>
    <row r="178" customFormat="false" ht="23.85" hidden="false" customHeight="false" outlineLevel="0" collapsed="false">
      <c r="A178" s="7" t="s">
        <v>1398</v>
      </c>
      <c r="B178" s="7" t="s">
        <v>9</v>
      </c>
      <c r="C178" s="8" t="s">
        <v>283</v>
      </c>
      <c r="D178" s="7" t="s">
        <v>968</v>
      </c>
      <c r="E178" s="9" t="s">
        <v>969</v>
      </c>
      <c r="F178" s="9" t="s">
        <v>55</v>
      </c>
      <c r="G178" s="9" t="s">
        <v>771</v>
      </c>
      <c r="H178" s="7" t="s">
        <v>772</v>
      </c>
      <c r="I178" s="7" t="s">
        <v>57</v>
      </c>
      <c r="J178" s="9" t="s">
        <v>12</v>
      </c>
      <c r="K178" s="9" t="s">
        <v>970</v>
      </c>
      <c r="L178" s="7" t="s">
        <v>49</v>
      </c>
      <c r="M178" s="9" t="s">
        <v>809</v>
      </c>
      <c r="N178" s="10" t="s">
        <v>971</v>
      </c>
    </row>
    <row r="179" customFormat="false" ht="23.85" hidden="false" customHeight="false" outlineLevel="0" collapsed="false">
      <c r="A179" s="11" t="s">
        <v>1399</v>
      </c>
      <c r="B179" s="11" t="s">
        <v>9</v>
      </c>
      <c r="C179" s="12" t="s">
        <v>283</v>
      </c>
      <c r="D179" s="11" t="s">
        <v>973</v>
      </c>
      <c r="E179" s="13" t="s">
        <v>974</v>
      </c>
      <c r="F179" s="13" t="s">
        <v>819</v>
      </c>
      <c r="G179" s="13" t="s">
        <v>771</v>
      </c>
      <c r="H179" s="11" t="s">
        <v>772</v>
      </c>
      <c r="I179" s="11" t="s">
        <v>57</v>
      </c>
      <c r="J179" s="13" t="s">
        <v>12</v>
      </c>
      <c r="K179" s="13" t="s">
        <v>975</v>
      </c>
      <c r="L179" s="11" t="s">
        <v>49</v>
      </c>
      <c r="M179" s="13" t="s">
        <v>821</v>
      </c>
      <c r="N179" s="14" t="s">
        <v>976</v>
      </c>
    </row>
    <row r="180" customFormat="false" ht="23.85" hidden="false" customHeight="false" outlineLevel="0" collapsed="false">
      <c r="A180" s="7" t="s">
        <v>1400</v>
      </c>
      <c r="B180" s="7" t="s">
        <v>9</v>
      </c>
      <c r="C180" s="8" t="s">
        <v>283</v>
      </c>
      <c r="D180" s="7" t="s">
        <v>978</v>
      </c>
      <c r="E180" s="9" t="s">
        <v>979</v>
      </c>
      <c r="F180" s="9" t="s">
        <v>55</v>
      </c>
      <c r="G180" s="9" t="s">
        <v>771</v>
      </c>
      <c r="H180" s="7" t="s">
        <v>772</v>
      </c>
      <c r="I180" s="7" t="s">
        <v>57</v>
      </c>
      <c r="J180" s="9" t="s">
        <v>12</v>
      </c>
      <c r="K180" s="9" t="s">
        <v>980</v>
      </c>
      <c r="L180" s="7" t="s">
        <v>49</v>
      </c>
      <c r="M180" s="9" t="s">
        <v>809</v>
      </c>
      <c r="N180" s="10" t="s">
        <v>981</v>
      </c>
    </row>
    <row r="181" customFormat="false" ht="23.85" hidden="false" customHeight="false" outlineLevel="0" collapsed="false">
      <c r="A181" s="11" t="s">
        <v>1401</v>
      </c>
      <c r="B181" s="11" t="s">
        <v>9</v>
      </c>
      <c r="C181" s="12" t="s">
        <v>283</v>
      </c>
      <c r="D181" s="11" t="s">
        <v>983</v>
      </c>
      <c r="E181" s="13" t="s">
        <v>984</v>
      </c>
      <c r="F181" s="13" t="s">
        <v>55</v>
      </c>
      <c r="G181" s="13" t="s">
        <v>771</v>
      </c>
      <c r="H181" s="11" t="s">
        <v>772</v>
      </c>
      <c r="I181" s="11" t="s">
        <v>57</v>
      </c>
      <c r="J181" s="13" t="s">
        <v>12</v>
      </c>
      <c r="K181" s="13" t="s">
        <v>985</v>
      </c>
      <c r="L181" s="11" t="s">
        <v>49</v>
      </c>
      <c r="M181" s="13" t="s">
        <v>809</v>
      </c>
      <c r="N181" s="14" t="s">
        <v>986</v>
      </c>
    </row>
    <row r="182" customFormat="false" ht="23.85" hidden="false" customHeight="false" outlineLevel="0" collapsed="false">
      <c r="A182" s="7" t="s">
        <v>1402</v>
      </c>
      <c r="B182" s="7" t="s">
        <v>9</v>
      </c>
      <c r="C182" s="8" t="s">
        <v>283</v>
      </c>
      <c r="D182" s="7" t="s">
        <v>988</v>
      </c>
      <c r="E182" s="9" t="s">
        <v>989</v>
      </c>
      <c r="F182" s="9" t="s">
        <v>55</v>
      </c>
      <c r="G182" s="9" t="s">
        <v>771</v>
      </c>
      <c r="H182" s="7" t="s">
        <v>772</v>
      </c>
      <c r="I182" s="7" t="s">
        <v>57</v>
      </c>
      <c r="J182" s="9" t="s">
        <v>12</v>
      </c>
      <c r="K182" s="9" t="s">
        <v>990</v>
      </c>
      <c r="L182" s="7" t="s">
        <v>49</v>
      </c>
      <c r="M182" s="9" t="s">
        <v>809</v>
      </c>
      <c r="N182" s="10" t="s">
        <v>991</v>
      </c>
    </row>
    <row r="183" customFormat="false" ht="23.85" hidden="false" customHeight="false" outlineLevel="0" collapsed="false">
      <c r="A183" s="11" t="s">
        <v>1403</v>
      </c>
      <c r="B183" s="11" t="s">
        <v>9</v>
      </c>
      <c r="C183" s="12" t="s">
        <v>283</v>
      </c>
      <c r="D183" s="11" t="s">
        <v>993</v>
      </c>
      <c r="E183" s="13" t="s">
        <v>994</v>
      </c>
      <c r="F183" s="13" t="s">
        <v>55</v>
      </c>
      <c r="G183" s="13" t="s">
        <v>771</v>
      </c>
      <c r="H183" s="11" t="s">
        <v>772</v>
      </c>
      <c r="I183" s="11" t="s">
        <v>57</v>
      </c>
      <c r="J183" s="13" t="s">
        <v>12</v>
      </c>
      <c r="K183" s="13" t="s">
        <v>995</v>
      </c>
      <c r="L183" s="11" t="s">
        <v>49</v>
      </c>
      <c r="M183" s="13" t="s">
        <v>809</v>
      </c>
      <c r="N183" s="14" t="s">
        <v>996</v>
      </c>
    </row>
    <row r="184" customFormat="false" ht="23.85" hidden="false" customHeight="false" outlineLevel="0" collapsed="false">
      <c r="A184" s="7" t="s">
        <v>1404</v>
      </c>
      <c r="B184" s="7" t="s">
        <v>9</v>
      </c>
      <c r="C184" s="8" t="s">
        <v>283</v>
      </c>
      <c r="D184" s="7" t="s">
        <v>998</v>
      </c>
      <c r="E184" s="9" t="s">
        <v>999</v>
      </c>
      <c r="F184" s="9" t="s">
        <v>55</v>
      </c>
      <c r="G184" s="9" t="s">
        <v>771</v>
      </c>
      <c r="H184" s="7" t="s">
        <v>772</v>
      </c>
      <c r="I184" s="7" t="s">
        <v>57</v>
      </c>
      <c r="J184" s="9" t="s">
        <v>12</v>
      </c>
      <c r="K184" s="9" t="s">
        <v>1000</v>
      </c>
      <c r="L184" s="7" t="s">
        <v>49</v>
      </c>
      <c r="M184" s="9" t="s">
        <v>809</v>
      </c>
      <c r="N184" s="10" t="s">
        <v>1001</v>
      </c>
    </row>
    <row r="185" customFormat="false" ht="23.85" hidden="false" customHeight="false" outlineLevel="0" collapsed="false">
      <c r="A185" s="11" t="s">
        <v>1405</v>
      </c>
      <c r="B185" s="11" t="s">
        <v>9</v>
      </c>
      <c r="C185" s="12" t="s">
        <v>283</v>
      </c>
      <c r="D185" s="11" t="s">
        <v>1003</v>
      </c>
      <c r="E185" s="13" t="s">
        <v>1004</v>
      </c>
      <c r="F185" s="13" t="s">
        <v>55</v>
      </c>
      <c r="G185" s="13" t="s">
        <v>771</v>
      </c>
      <c r="H185" s="11" t="s">
        <v>772</v>
      </c>
      <c r="I185" s="11" t="s">
        <v>57</v>
      </c>
      <c r="J185" s="13" t="s">
        <v>12</v>
      </c>
      <c r="K185" s="13" t="s">
        <v>1005</v>
      </c>
      <c r="L185" s="11" t="s">
        <v>49</v>
      </c>
      <c r="M185" s="13" t="s">
        <v>809</v>
      </c>
      <c r="N185" s="14" t="s">
        <v>1006</v>
      </c>
    </row>
    <row r="186" customFormat="false" ht="23.85" hidden="false" customHeight="false" outlineLevel="0" collapsed="false">
      <c r="A186" s="7" t="s">
        <v>1406</v>
      </c>
      <c r="B186" s="7" t="s">
        <v>9</v>
      </c>
      <c r="C186" s="8" t="s">
        <v>283</v>
      </c>
      <c r="D186" s="7" t="s">
        <v>1008</v>
      </c>
      <c r="E186" s="9" t="s">
        <v>1009</v>
      </c>
      <c r="F186" s="9" t="s">
        <v>55</v>
      </c>
      <c r="G186" s="9" t="s">
        <v>771</v>
      </c>
      <c r="H186" s="7" t="s">
        <v>772</v>
      </c>
      <c r="I186" s="7" t="s">
        <v>57</v>
      </c>
      <c r="J186" s="9" t="s">
        <v>12</v>
      </c>
      <c r="K186" s="9" t="s">
        <v>1010</v>
      </c>
      <c r="L186" s="7" t="s">
        <v>49</v>
      </c>
      <c r="M186" s="9" t="s">
        <v>809</v>
      </c>
      <c r="N186" s="10" t="s">
        <v>1011</v>
      </c>
    </row>
    <row r="187" customFormat="false" ht="23.85" hidden="false" customHeight="false" outlineLevel="0" collapsed="false">
      <c r="A187" s="11" t="s">
        <v>1407</v>
      </c>
      <c r="B187" s="11" t="s">
        <v>9</v>
      </c>
      <c r="C187" s="12" t="s">
        <v>283</v>
      </c>
      <c r="D187" s="11" t="s">
        <v>1013</v>
      </c>
      <c r="E187" s="13" t="s">
        <v>1014</v>
      </c>
      <c r="F187" s="13" t="s">
        <v>819</v>
      </c>
      <c r="G187" s="13" t="s">
        <v>771</v>
      </c>
      <c r="H187" s="11" t="s">
        <v>772</v>
      </c>
      <c r="I187" s="11" t="s">
        <v>57</v>
      </c>
      <c r="J187" s="13" t="s">
        <v>12</v>
      </c>
      <c r="K187" s="13" t="s">
        <v>1015</v>
      </c>
      <c r="L187" s="11" t="s">
        <v>49</v>
      </c>
      <c r="M187" s="13" t="s">
        <v>821</v>
      </c>
      <c r="N187" s="14" t="s">
        <v>1016</v>
      </c>
    </row>
    <row r="188" customFormat="false" ht="23.85" hidden="false" customHeight="false" outlineLevel="0" collapsed="false">
      <c r="A188" s="7" t="s">
        <v>1408</v>
      </c>
      <c r="B188" s="7" t="s">
        <v>9</v>
      </c>
      <c r="C188" s="8" t="s">
        <v>283</v>
      </c>
      <c r="D188" s="7" t="s">
        <v>1018</v>
      </c>
      <c r="E188" s="9" t="s">
        <v>1019</v>
      </c>
      <c r="F188" s="9" t="s">
        <v>55</v>
      </c>
      <c r="G188" s="9" t="s">
        <v>771</v>
      </c>
      <c r="H188" s="7" t="s">
        <v>772</v>
      </c>
      <c r="I188" s="7" t="s">
        <v>57</v>
      </c>
      <c r="J188" s="9" t="s">
        <v>12</v>
      </c>
      <c r="K188" s="9" t="s">
        <v>1020</v>
      </c>
      <c r="L188" s="7" t="s">
        <v>49</v>
      </c>
      <c r="M188" s="9" t="s">
        <v>809</v>
      </c>
      <c r="N188" s="10" t="s">
        <v>1021</v>
      </c>
    </row>
    <row r="189" customFormat="false" ht="23.85" hidden="false" customHeight="false" outlineLevel="0" collapsed="false">
      <c r="A189" s="11" t="s">
        <v>1409</v>
      </c>
      <c r="B189" s="11" t="s">
        <v>9</v>
      </c>
      <c r="C189" s="12" t="s">
        <v>283</v>
      </c>
      <c r="D189" s="11" t="s">
        <v>1023</v>
      </c>
      <c r="E189" s="13" t="s">
        <v>1024</v>
      </c>
      <c r="F189" s="13" t="s">
        <v>55</v>
      </c>
      <c r="G189" s="13" t="s">
        <v>771</v>
      </c>
      <c r="H189" s="11" t="s">
        <v>772</v>
      </c>
      <c r="I189" s="11" t="s">
        <v>57</v>
      </c>
      <c r="J189" s="13" t="s">
        <v>12</v>
      </c>
      <c r="K189" s="13" t="s">
        <v>1025</v>
      </c>
      <c r="L189" s="11" t="s">
        <v>49</v>
      </c>
      <c r="M189" s="13" t="s">
        <v>809</v>
      </c>
      <c r="N189" s="14" t="s">
        <v>1026</v>
      </c>
    </row>
    <row r="190" customFormat="false" ht="23.85" hidden="false" customHeight="false" outlineLevel="0" collapsed="false">
      <c r="A190" s="7" t="s">
        <v>1410</v>
      </c>
      <c r="B190" s="7" t="s">
        <v>9</v>
      </c>
      <c r="C190" s="8" t="s">
        <v>283</v>
      </c>
      <c r="D190" s="7" t="s">
        <v>1028</v>
      </c>
      <c r="E190" s="9" t="s">
        <v>1029</v>
      </c>
      <c r="F190" s="9" t="s">
        <v>55</v>
      </c>
      <c r="G190" s="9" t="s">
        <v>771</v>
      </c>
      <c r="H190" s="7" t="s">
        <v>772</v>
      </c>
      <c r="I190" s="7" t="s">
        <v>57</v>
      </c>
      <c r="J190" s="9" t="s">
        <v>58</v>
      </c>
      <c r="K190" s="9" t="s">
        <v>1030</v>
      </c>
      <c r="L190" s="7" t="s">
        <v>49</v>
      </c>
      <c r="M190" s="9" t="s">
        <v>809</v>
      </c>
      <c r="N190" s="10" t="s">
        <v>1031</v>
      </c>
    </row>
    <row r="191" customFormat="false" ht="23.85" hidden="false" customHeight="false" outlineLevel="0" collapsed="false">
      <c r="A191" s="11" t="s">
        <v>1411</v>
      </c>
      <c r="B191" s="11" t="s">
        <v>9</v>
      </c>
      <c r="C191" s="12" t="s">
        <v>292</v>
      </c>
      <c r="D191" s="11" t="s">
        <v>1033</v>
      </c>
      <c r="E191" s="13" t="s">
        <v>1034</v>
      </c>
      <c r="F191" s="13" t="s">
        <v>55</v>
      </c>
      <c r="G191" s="13" t="s">
        <v>771</v>
      </c>
      <c r="H191" s="11" t="s">
        <v>772</v>
      </c>
      <c r="I191" s="11" t="s">
        <v>57</v>
      </c>
      <c r="J191" s="13" t="s">
        <v>12</v>
      </c>
      <c r="K191" s="13" t="s">
        <v>1035</v>
      </c>
      <c r="L191" s="11" t="s">
        <v>49</v>
      </c>
      <c r="M191" s="13" t="s">
        <v>1036</v>
      </c>
      <c r="N191" s="14" t="s">
        <v>1037</v>
      </c>
    </row>
    <row r="192" customFormat="false" ht="23.85" hidden="false" customHeight="false" outlineLevel="0" collapsed="false">
      <c r="A192" s="7" t="s">
        <v>1412</v>
      </c>
      <c r="B192" s="7" t="s">
        <v>9</v>
      </c>
      <c r="C192" s="8" t="s">
        <v>292</v>
      </c>
      <c r="D192" s="7" t="s">
        <v>1039</v>
      </c>
      <c r="E192" s="9" t="s">
        <v>1040</v>
      </c>
      <c r="F192" s="9" t="s">
        <v>55</v>
      </c>
      <c r="G192" s="9" t="s">
        <v>771</v>
      </c>
      <c r="H192" s="7" t="s">
        <v>772</v>
      </c>
      <c r="I192" s="7" t="s">
        <v>57</v>
      </c>
      <c r="J192" s="9" t="s">
        <v>12</v>
      </c>
      <c r="K192" s="9" t="s">
        <v>1041</v>
      </c>
      <c r="L192" s="7" t="s">
        <v>49</v>
      </c>
      <c r="M192" s="9" t="s">
        <v>1036</v>
      </c>
      <c r="N192" s="10" t="s">
        <v>1042</v>
      </c>
    </row>
    <row r="193" customFormat="false" ht="23.85" hidden="false" customHeight="false" outlineLevel="0" collapsed="false">
      <c r="A193" s="11" t="s">
        <v>1413</v>
      </c>
      <c r="B193" s="11" t="s">
        <v>9</v>
      </c>
      <c r="C193" s="12" t="s">
        <v>292</v>
      </c>
      <c r="D193" s="11" t="s">
        <v>1044</v>
      </c>
      <c r="E193" s="13" t="s">
        <v>1045</v>
      </c>
      <c r="F193" s="13" t="s">
        <v>55</v>
      </c>
      <c r="G193" s="13" t="s">
        <v>771</v>
      </c>
      <c r="H193" s="11" t="s">
        <v>772</v>
      </c>
      <c r="I193" s="11" t="s">
        <v>57</v>
      </c>
      <c r="J193" s="13" t="s">
        <v>12</v>
      </c>
      <c r="K193" s="13" t="s">
        <v>1046</v>
      </c>
      <c r="L193" s="11" t="s">
        <v>49</v>
      </c>
      <c r="M193" s="13" t="s">
        <v>1036</v>
      </c>
      <c r="N193" s="14" t="s">
        <v>1047</v>
      </c>
    </row>
    <row r="194" customFormat="false" ht="23.85" hidden="false" customHeight="false" outlineLevel="0" collapsed="false">
      <c r="A194" s="7" t="s">
        <v>1414</v>
      </c>
      <c r="B194" s="7" t="s">
        <v>9</v>
      </c>
      <c r="C194" s="8" t="s">
        <v>292</v>
      </c>
      <c r="D194" s="7" t="s">
        <v>1049</v>
      </c>
      <c r="E194" s="9" t="s">
        <v>1050</v>
      </c>
      <c r="F194" s="9" t="s">
        <v>55</v>
      </c>
      <c r="G194" s="9" t="s">
        <v>771</v>
      </c>
      <c r="H194" s="7" t="s">
        <v>772</v>
      </c>
      <c r="I194" s="7" t="s">
        <v>57</v>
      </c>
      <c r="J194" s="9" t="s">
        <v>12</v>
      </c>
      <c r="K194" s="9" t="s">
        <v>1051</v>
      </c>
      <c r="L194" s="7" t="s">
        <v>49</v>
      </c>
      <c r="M194" s="9" t="s">
        <v>1036</v>
      </c>
      <c r="N194" s="10" t="s">
        <v>1052</v>
      </c>
    </row>
    <row r="195" customFormat="false" ht="23.85" hidden="false" customHeight="false" outlineLevel="0" collapsed="false">
      <c r="A195" s="11" t="s">
        <v>1415</v>
      </c>
      <c r="B195" s="11" t="s">
        <v>9</v>
      </c>
      <c r="C195" s="12" t="s">
        <v>292</v>
      </c>
      <c r="D195" s="11" t="s">
        <v>1054</v>
      </c>
      <c r="E195" s="13" t="s">
        <v>1055</v>
      </c>
      <c r="F195" s="13" t="s">
        <v>55</v>
      </c>
      <c r="G195" s="13" t="s">
        <v>771</v>
      </c>
      <c r="H195" s="11" t="s">
        <v>772</v>
      </c>
      <c r="I195" s="11" t="s">
        <v>57</v>
      </c>
      <c r="J195" s="13" t="s">
        <v>12</v>
      </c>
      <c r="K195" s="13" t="s">
        <v>1056</v>
      </c>
      <c r="L195" s="11" t="s">
        <v>49</v>
      </c>
      <c r="M195" s="13" t="s">
        <v>1036</v>
      </c>
      <c r="N195" s="14" t="s">
        <v>1057</v>
      </c>
    </row>
    <row r="196" customFormat="false" ht="23.85" hidden="false" customHeight="false" outlineLevel="0" collapsed="false">
      <c r="A196" s="7" t="s">
        <v>1416</v>
      </c>
      <c r="B196" s="7" t="s">
        <v>9</v>
      </c>
      <c r="C196" s="8" t="s">
        <v>292</v>
      </c>
      <c r="D196" s="7" t="s">
        <v>1059</v>
      </c>
      <c r="E196" s="9" t="s">
        <v>1060</v>
      </c>
      <c r="F196" s="9" t="s">
        <v>55</v>
      </c>
      <c r="G196" s="9" t="s">
        <v>771</v>
      </c>
      <c r="H196" s="7" t="s">
        <v>772</v>
      </c>
      <c r="I196" s="7" t="s">
        <v>57</v>
      </c>
      <c r="J196" s="9" t="s">
        <v>12</v>
      </c>
      <c r="K196" s="9" t="s">
        <v>1061</v>
      </c>
      <c r="L196" s="7" t="s">
        <v>49</v>
      </c>
      <c r="M196" s="9" t="s">
        <v>1036</v>
      </c>
      <c r="N196" s="10" t="s">
        <v>1062</v>
      </c>
    </row>
    <row r="197" customFormat="false" ht="23.85" hidden="false" customHeight="false" outlineLevel="0" collapsed="false">
      <c r="A197" s="11" t="s">
        <v>1417</v>
      </c>
      <c r="B197" s="11" t="s">
        <v>9</v>
      </c>
      <c r="C197" s="12" t="s">
        <v>292</v>
      </c>
      <c r="D197" s="11" t="s">
        <v>1064</v>
      </c>
      <c r="E197" s="13" t="s">
        <v>1065</v>
      </c>
      <c r="F197" s="13" t="s">
        <v>819</v>
      </c>
      <c r="G197" s="13" t="s">
        <v>771</v>
      </c>
      <c r="H197" s="11" t="s">
        <v>772</v>
      </c>
      <c r="I197" s="11" t="s">
        <v>57</v>
      </c>
      <c r="J197" s="13" t="s">
        <v>12</v>
      </c>
      <c r="K197" s="13" t="s">
        <v>1066</v>
      </c>
      <c r="L197" s="11" t="s">
        <v>49</v>
      </c>
      <c r="M197" s="13" t="s">
        <v>821</v>
      </c>
      <c r="N197" s="14" t="s">
        <v>1067</v>
      </c>
    </row>
    <row r="198" customFormat="false" ht="23.85" hidden="false" customHeight="false" outlineLevel="0" collapsed="false">
      <c r="A198" s="7" t="s">
        <v>1418</v>
      </c>
      <c r="B198" s="7" t="s">
        <v>9</v>
      </c>
      <c r="C198" s="8" t="s">
        <v>292</v>
      </c>
      <c r="D198" s="7" t="s">
        <v>1069</v>
      </c>
      <c r="E198" s="9" t="s">
        <v>1070</v>
      </c>
      <c r="F198" s="9" t="s">
        <v>819</v>
      </c>
      <c r="G198" s="9" t="s">
        <v>771</v>
      </c>
      <c r="H198" s="7" t="s">
        <v>772</v>
      </c>
      <c r="I198" s="7" t="s">
        <v>57</v>
      </c>
      <c r="J198" s="9"/>
      <c r="K198" s="9" t="s">
        <v>1071</v>
      </c>
      <c r="L198" s="7" t="s">
        <v>49</v>
      </c>
      <c r="M198" s="9" t="s">
        <v>821</v>
      </c>
      <c r="N198" s="10" t="s">
        <v>1072</v>
      </c>
    </row>
    <row r="199" customFormat="false" ht="23.85" hidden="false" customHeight="false" outlineLevel="0" collapsed="false">
      <c r="A199" s="11" t="s">
        <v>1419</v>
      </c>
      <c r="B199" s="11" t="s">
        <v>9</v>
      </c>
      <c r="C199" s="12" t="s">
        <v>292</v>
      </c>
      <c r="D199" s="11" t="s">
        <v>1074</v>
      </c>
      <c r="E199" s="13" t="s">
        <v>1075</v>
      </c>
      <c r="F199" s="13" t="s">
        <v>819</v>
      </c>
      <c r="G199" s="13" t="s">
        <v>771</v>
      </c>
      <c r="H199" s="11" t="s">
        <v>772</v>
      </c>
      <c r="I199" s="11" t="s">
        <v>57</v>
      </c>
      <c r="J199" s="13"/>
      <c r="K199" s="13" t="s">
        <v>1076</v>
      </c>
      <c r="L199" s="11" t="s">
        <v>49</v>
      </c>
      <c r="M199" s="13" t="s">
        <v>821</v>
      </c>
      <c r="N199" s="14" t="s">
        <v>1077</v>
      </c>
    </row>
    <row r="200" customFormat="false" ht="23.85" hidden="false" customHeight="false" outlineLevel="0" collapsed="false">
      <c r="A200" s="7" t="s">
        <v>1420</v>
      </c>
      <c r="B200" s="7" t="s">
        <v>9</v>
      </c>
      <c r="C200" s="8" t="s">
        <v>292</v>
      </c>
      <c r="D200" s="7" t="s">
        <v>1079</v>
      </c>
      <c r="E200" s="9" t="s">
        <v>1080</v>
      </c>
      <c r="F200" s="9" t="s">
        <v>819</v>
      </c>
      <c r="G200" s="9" t="s">
        <v>771</v>
      </c>
      <c r="H200" s="7" t="s">
        <v>772</v>
      </c>
      <c r="I200" s="7" t="s">
        <v>57</v>
      </c>
      <c r="J200" s="9"/>
      <c r="K200" s="9" t="s">
        <v>1081</v>
      </c>
      <c r="L200" s="7" t="s">
        <v>49</v>
      </c>
      <c r="M200" s="9" t="s">
        <v>821</v>
      </c>
      <c r="N200" s="10" t="s">
        <v>1082</v>
      </c>
    </row>
    <row r="201" customFormat="false" ht="23.85" hidden="false" customHeight="false" outlineLevel="0" collapsed="false">
      <c r="A201" s="11" t="s">
        <v>1421</v>
      </c>
      <c r="B201" s="11" t="s">
        <v>9</v>
      </c>
      <c r="C201" s="12" t="s">
        <v>292</v>
      </c>
      <c r="D201" s="11" t="s">
        <v>1084</v>
      </c>
      <c r="E201" s="13" t="s">
        <v>1085</v>
      </c>
      <c r="F201" s="13" t="s">
        <v>819</v>
      </c>
      <c r="G201" s="13" t="s">
        <v>771</v>
      </c>
      <c r="H201" s="11" t="s">
        <v>772</v>
      </c>
      <c r="I201" s="11" t="s">
        <v>57</v>
      </c>
      <c r="J201" s="13"/>
      <c r="K201" s="13" t="s">
        <v>1086</v>
      </c>
      <c r="L201" s="11" t="s">
        <v>49</v>
      </c>
      <c r="M201" s="13" t="s">
        <v>821</v>
      </c>
      <c r="N201" s="14" t="s">
        <v>1087</v>
      </c>
    </row>
    <row r="202" customFormat="false" ht="23.85" hidden="false" customHeight="false" outlineLevel="0" collapsed="false">
      <c r="A202" s="7" t="s">
        <v>1422</v>
      </c>
      <c r="B202" s="7" t="s">
        <v>9</v>
      </c>
      <c r="C202" s="8" t="s">
        <v>63</v>
      </c>
      <c r="D202" s="7" t="s">
        <v>1089</v>
      </c>
      <c r="E202" s="9" t="s">
        <v>1090</v>
      </c>
      <c r="F202" s="9" t="s">
        <v>55</v>
      </c>
      <c r="G202" s="9" t="s">
        <v>771</v>
      </c>
      <c r="H202" s="7" t="s">
        <v>772</v>
      </c>
      <c r="I202" s="7" t="s">
        <v>57</v>
      </c>
      <c r="J202" s="9" t="s">
        <v>58</v>
      </c>
      <c r="K202" s="9" t="s">
        <v>1091</v>
      </c>
      <c r="L202" s="7" t="s">
        <v>49</v>
      </c>
      <c r="M202" s="9" t="s">
        <v>1036</v>
      </c>
      <c r="N202" s="10" t="s">
        <v>1092</v>
      </c>
    </row>
    <row r="203" customFormat="false" ht="23.85" hidden="false" customHeight="false" outlineLevel="0" collapsed="false">
      <c r="A203" s="11" t="s">
        <v>1423</v>
      </c>
      <c r="B203" s="11" t="s">
        <v>9</v>
      </c>
      <c r="C203" s="12" t="s">
        <v>63</v>
      </c>
      <c r="D203" s="11" t="s">
        <v>1094</v>
      </c>
      <c r="E203" s="13" t="s">
        <v>1095</v>
      </c>
      <c r="F203" s="13" t="s">
        <v>55</v>
      </c>
      <c r="G203" s="13" t="s">
        <v>771</v>
      </c>
      <c r="H203" s="11" t="s">
        <v>772</v>
      </c>
      <c r="I203" s="11" t="s">
        <v>57</v>
      </c>
      <c r="J203" s="13" t="s">
        <v>58</v>
      </c>
      <c r="K203" s="13" t="s">
        <v>755</v>
      </c>
      <c r="L203" s="11" t="s">
        <v>49</v>
      </c>
      <c r="M203" s="13" t="s">
        <v>1036</v>
      </c>
      <c r="N203" s="14" t="s">
        <v>1096</v>
      </c>
    </row>
    <row r="204" customFormat="false" ht="23.85" hidden="false" customHeight="false" outlineLevel="0" collapsed="false">
      <c r="A204" s="7" t="s">
        <v>1424</v>
      </c>
      <c r="B204" s="7" t="s">
        <v>9</v>
      </c>
      <c r="C204" s="8" t="s">
        <v>63</v>
      </c>
      <c r="D204" s="7" t="s">
        <v>1098</v>
      </c>
      <c r="E204" s="9" t="s">
        <v>1099</v>
      </c>
      <c r="F204" s="9" t="s">
        <v>55</v>
      </c>
      <c r="G204" s="9" t="s">
        <v>771</v>
      </c>
      <c r="H204" s="7" t="s">
        <v>772</v>
      </c>
      <c r="I204" s="7" t="s">
        <v>57</v>
      </c>
      <c r="J204" s="9" t="s">
        <v>12</v>
      </c>
      <c r="K204" s="9" t="s">
        <v>1100</v>
      </c>
      <c r="L204" s="7" t="s">
        <v>49</v>
      </c>
      <c r="M204" s="9" t="s">
        <v>1036</v>
      </c>
      <c r="N204" s="10" t="s">
        <v>1101</v>
      </c>
    </row>
    <row r="205" customFormat="false" ht="23.85" hidden="false" customHeight="false" outlineLevel="0" collapsed="false">
      <c r="A205" s="11" t="s">
        <v>1425</v>
      </c>
      <c r="B205" s="11" t="s">
        <v>9</v>
      </c>
      <c r="C205" s="12" t="s">
        <v>63</v>
      </c>
      <c r="D205" s="11" t="s">
        <v>1103</v>
      </c>
      <c r="E205" s="13" t="s">
        <v>1104</v>
      </c>
      <c r="F205" s="13" t="s">
        <v>55</v>
      </c>
      <c r="G205" s="13" t="s">
        <v>771</v>
      </c>
      <c r="H205" s="11" t="s">
        <v>772</v>
      </c>
      <c r="I205" s="11" t="s">
        <v>57</v>
      </c>
      <c r="J205" s="13" t="s">
        <v>12</v>
      </c>
      <c r="K205" s="13" t="s">
        <v>1105</v>
      </c>
      <c r="L205" s="11" t="s">
        <v>49</v>
      </c>
      <c r="M205" s="13" t="s">
        <v>1036</v>
      </c>
      <c r="N205" s="14" t="s">
        <v>1106</v>
      </c>
    </row>
    <row r="206" customFormat="false" ht="23.85" hidden="false" customHeight="false" outlineLevel="0" collapsed="false">
      <c r="A206" s="7" t="s">
        <v>1426</v>
      </c>
      <c r="B206" s="7" t="s">
        <v>9</v>
      </c>
      <c r="C206" s="8" t="s">
        <v>63</v>
      </c>
      <c r="D206" s="7" t="s">
        <v>1108</v>
      </c>
      <c r="E206" s="9" t="s">
        <v>1109</v>
      </c>
      <c r="F206" s="9" t="s">
        <v>55</v>
      </c>
      <c r="G206" s="9" t="s">
        <v>771</v>
      </c>
      <c r="H206" s="7" t="s">
        <v>772</v>
      </c>
      <c r="I206" s="7" t="s">
        <v>57</v>
      </c>
      <c r="J206" s="9" t="s">
        <v>12</v>
      </c>
      <c r="K206" s="9" t="s">
        <v>1110</v>
      </c>
      <c r="L206" s="7" t="s">
        <v>49</v>
      </c>
      <c r="M206" s="9" t="s">
        <v>1036</v>
      </c>
      <c r="N206" s="10" t="s">
        <v>1111</v>
      </c>
    </row>
    <row r="207" customFormat="false" ht="23.85" hidden="false" customHeight="false" outlineLevel="0" collapsed="false">
      <c r="A207" s="11" t="s">
        <v>1427</v>
      </c>
      <c r="B207" s="11" t="s">
        <v>9</v>
      </c>
      <c r="C207" s="12" t="s">
        <v>63</v>
      </c>
      <c r="D207" s="11" t="s">
        <v>1113</v>
      </c>
      <c r="E207" s="13" t="s">
        <v>1114</v>
      </c>
      <c r="F207" s="13" t="s">
        <v>819</v>
      </c>
      <c r="G207" s="13" t="s">
        <v>771</v>
      </c>
      <c r="H207" s="11" t="s">
        <v>772</v>
      </c>
      <c r="I207" s="11" t="s">
        <v>57</v>
      </c>
      <c r="J207" s="13"/>
      <c r="K207" s="13" t="s">
        <v>1115</v>
      </c>
      <c r="L207" s="11" t="s">
        <v>49</v>
      </c>
      <c r="M207" s="13" t="s">
        <v>821</v>
      </c>
      <c r="N207" s="14" t="s">
        <v>1116</v>
      </c>
    </row>
    <row r="208" customFormat="false" ht="15" hidden="false" customHeight="false" outlineLevel="0" collapsed="false">
      <c r="A208" s="7" t="s">
        <v>1428</v>
      </c>
      <c r="B208" s="7" t="s">
        <v>9</v>
      </c>
      <c r="C208" s="8" t="s">
        <v>335</v>
      </c>
      <c r="D208" s="7"/>
      <c r="E208" s="9" t="s">
        <v>1118</v>
      </c>
      <c r="F208" s="9" t="s">
        <v>1119</v>
      </c>
      <c r="G208" s="9" t="s">
        <v>1120</v>
      </c>
      <c r="H208" s="7" t="s">
        <v>1121</v>
      </c>
      <c r="I208" s="7" t="s">
        <v>46</v>
      </c>
      <c r="J208" s="9" t="s">
        <v>14</v>
      </c>
      <c r="K208" s="9" t="s">
        <v>1122</v>
      </c>
      <c r="L208" s="7" t="s">
        <v>49</v>
      </c>
      <c r="M208" s="9"/>
      <c r="N208" s="10" t="s">
        <v>1123</v>
      </c>
    </row>
    <row r="209" customFormat="false" ht="15" hidden="false" customHeight="false" outlineLevel="0" collapsed="false">
      <c r="A209" s="11" t="s">
        <v>1429</v>
      </c>
      <c r="B209" s="11" t="s">
        <v>9</v>
      </c>
      <c r="C209" s="12" t="s">
        <v>352</v>
      </c>
      <c r="D209" s="11" t="s">
        <v>1125</v>
      </c>
      <c r="E209" s="13" t="s">
        <v>1126</v>
      </c>
      <c r="F209" s="13" t="s">
        <v>1127</v>
      </c>
      <c r="G209" s="13" t="s">
        <v>1128</v>
      </c>
      <c r="H209" s="11" t="s">
        <v>1121</v>
      </c>
      <c r="I209" s="11" t="s">
        <v>46</v>
      </c>
      <c r="J209" s="13" t="s">
        <v>12</v>
      </c>
      <c r="K209" s="13" t="s">
        <v>1129</v>
      </c>
      <c r="L209" s="11" t="s">
        <v>49</v>
      </c>
      <c r="M209" s="13" t="s">
        <v>1130</v>
      </c>
      <c r="N209" s="14" t="s">
        <v>224</v>
      </c>
    </row>
    <row r="210" customFormat="false" ht="23.85" hidden="false" customHeight="false" outlineLevel="0" collapsed="false">
      <c r="A210" s="7" t="s">
        <v>1430</v>
      </c>
      <c r="B210" s="7" t="s">
        <v>9</v>
      </c>
      <c r="C210" s="8" t="s">
        <v>78</v>
      </c>
      <c r="D210" s="7"/>
      <c r="E210" s="9" t="s">
        <v>1132</v>
      </c>
      <c r="F210" s="9" t="s">
        <v>327</v>
      </c>
      <c r="G210" s="9" t="s">
        <v>1133</v>
      </c>
      <c r="H210" s="7" t="s">
        <v>339</v>
      </c>
      <c r="I210" s="7" t="s">
        <v>57</v>
      </c>
      <c r="J210" s="9"/>
      <c r="K210" s="9" t="s">
        <v>1134</v>
      </c>
      <c r="L210" s="7" t="s">
        <v>49</v>
      </c>
      <c r="M210" s="9"/>
      <c r="N210" s="10" t="s">
        <v>330</v>
      </c>
    </row>
    <row r="211" customFormat="false" ht="23.85" hidden="false" customHeight="false" outlineLevel="0" collapsed="false">
      <c r="A211" s="11" t="s">
        <v>1431</v>
      </c>
      <c r="B211" s="11" t="s">
        <v>9</v>
      </c>
      <c r="C211" s="12" t="s">
        <v>78</v>
      </c>
      <c r="D211" s="11"/>
      <c r="E211" s="13" t="s">
        <v>1136</v>
      </c>
      <c r="F211" s="13" t="s">
        <v>327</v>
      </c>
      <c r="G211" s="13" t="s">
        <v>1137</v>
      </c>
      <c r="H211" s="11" t="s">
        <v>1138</v>
      </c>
      <c r="I211" s="11" t="s">
        <v>57</v>
      </c>
      <c r="J211" s="13" t="s">
        <v>14</v>
      </c>
      <c r="K211" s="13" t="s">
        <v>1139</v>
      </c>
      <c r="L211" s="11" t="s">
        <v>49</v>
      </c>
      <c r="M211" s="13"/>
      <c r="N211" s="14" t="s">
        <v>330</v>
      </c>
    </row>
    <row r="212" customFormat="false" ht="23.85" hidden="false" customHeight="false" outlineLevel="0" collapsed="false">
      <c r="A212" s="7" t="s">
        <v>1432</v>
      </c>
      <c r="B212" s="7" t="s">
        <v>9</v>
      </c>
      <c r="C212" s="8" t="s">
        <v>1141</v>
      </c>
      <c r="D212" s="7"/>
      <c r="E212" s="9" t="s">
        <v>1142</v>
      </c>
      <c r="F212" s="9" t="s">
        <v>327</v>
      </c>
      <c r="G212" s="9" t="s">
        <v>1143</v>
      </c>
      <c r="H212" s="7" t="s">
        <v>1138</v>
      </c>
      <c r="I212" s="7" t="s">
        <v>57</v>
      </c>
      <c r="J212" s="9" t="s">
        <v>14</v>
      </c>
      <c r="K212" s="9" t="s">
        <v>1144</v>
      </c>
      <c r="L212" s="7" t="s">
        <v>49</v>
      </c>
      <c r="M212" s="9"/>
      <c r="N212" s="10" t="s">
        <v>330</v>
      </c>
    </row>
    <row r="213" customFormat="false" ht="23.85" hidden="false" customHeight="false" outlineLevel="0" collapsed="false">
      <c r="A213" s="11" t="s">
        <v>1433</v>
      </c>
      <c r="B213" s="11" t="s">
        <v>9</v>
      </c>
      <c r="C213" s="12" t="s">
        <v>130</v>
      </c>
      <c r="D213" s="11" t="s">
        <v>1146</v>
      </c>
      <c r="E213" s="13" t="s">
        <v>1147</v>
      </c>
      <c r="F213" s="13" t="s">
        <v>1148</v>
      </c>
      <c r="G213" s="13" t="s">
        <v>1149</v>
      </c>
      <c r="H213" s="11" t="s">
        <v>690</v>
      </c>
      <c r="I213" s="11" t="s">
        <v>46</v>
      </c>
      <c r="J213" s="13" t="s">
        <v>58</v>
      </c>
      <c r="K213" s="13" t="s">
        <v>1150</v>
      </c>
      <c r="L213" s="11" t="s">
        <v>49</v>
      </c>
      <c r="M213" s="13"/>
      <c r="N213" s="14" t="s">
        <v>1151</v>
      </c>
    </row>
    <row r="214" customFormat="false" ht="15" hidden="false" customHeight="false" outlineLevel="0" collapsed="false">
      <c r="A214" s="7" t="s">
        <v>1434</v>
      </c>
      <c r="B214" s="7" t="s">
        <v>9</v>
      </c>
      <c r="C214" s="8"/>
      <c r="D214" s="7"/>
      <c r="E214" s="9" t="s">
        <v>1153</v>
      </c>
      <c r="F214" s="9"/>
      <c r="G214" s="9" t="s">
        <v>1120</v>
      </c>
      <c r="H214" s="7" t="s">
        <v>1121</v>
      </c>
      <c r="I214" s="7" t="s">
        <v>46</v>
      </c>
      <c r="J214" s="9" t="s">
        <v>14</v>
      </c>
      <c r="K214" s="9" t="s">
        <v>1122</v>
      </c>
      <c r="L214" s="7" t="s">
        <v>229</v>
      </c>
      <c r="M214" s="9"/>
      <c r="N214" s="10" t="s">
        <v>1154</v>
      </c>
    </row>
    <row r="215" customFormat="false" ht="15" hidden="false" customHeight="false" outlineLevel="0" collapsed="false">
      <c r="A215" s="11" t="s">
        <v>1435</v>
      </c>
      <c r="B215" s="11" t="s">
        <v>9</v>
      </c>
      <c r="C215" s="12"/>
      <c r="D215" s="11"/>
      <c r="E215" s="13" t="s">
        <v>1156</v>
      </c>
      <c r="F215" s="13"/>
      <c r="G215" s="13" t="s">
        <v>1120</v>
      </c>
      <c r="H215" s="11" t="s">
        <v>1121</v>
      </c>
      <c r="I215" s="11" t="s">
        <v>46</v>
      </c>
      <c r="J215" s="13" t="s">
        <v>14</v>
      </c>
      <c r="K215" s="13" t="s">
        <v>1157</v>
      </c>
      <c r="L215" s="11" t="s">
        <v>229</v>
      </c>
      <c r="M215" s="13"/>
      <c r="N215" s="14" t="s">
        <v>1158</v>
      </c>
    </row>
    <row r="216" customFormat="false" ht="15" hidden="false" customHeight="false" outlineLevel="0" collapsed="false">
      <c r="A216" s="7" t="s">
        <v>1436</v>
      </c>
      <c r="B216" s="7" t="s">
        <v>9</v>
      </c>
      <c r="C216" s="8"/>
      <c r="D216" s="7"/>
      <c r="E216" s="9" t="s">
        <v>1160</v>
      </c>
      <c r="F216" s="9"/>
      <c r="G216" s="9" t="s">
        <v>1120</v>
      </c>
      <c r="H216" s="7" t="s">
        <v>1121</v>
      </c>
      <c r="I216" s="7" t="s">
        <v>46</v>
      </c>
      <c r="J216" s="9" t="s">
        <v>14</v>
      </c>
      <c r="K216" s="9" t="s">
        <v>1161</v>
      </c>
      <c r="L216" s="7" t="s">
        <v>229</v>
      </c>
      <c r="M216" s="9"/>
      <c r="N216" s="10" t="s">
        <v>1162</v>
      </c>
    </row>
    <row r="217" customFormat="false" ht="15" hidden="false" customHeight="false" outlineLevel="0" collapsed="false">
      <c r="A217" s="11" t="s">
        <v>1437</v>
      </c>
      <c r="B217" s="11" t="s">
        <v>9</v>
      </c>
      <c r="C217" s="12"/>
      <c r="D217" s="11"/>
      <c r="E217" s="13" t="s">
        <v>1164</v>
      </c>
      <c r="F217" s="13"/>
      <c r="G217" s="13" t="s">
        <v>1120</v>
      </c>
      <c r="H217" s="11" t="s">
        <v>1121</v>
      </c>
      <c r="I217" s="11" t="s">
        <v>46</v>
      </c>
      <c r="J217" s="13" t="s">
        <v>15</v>
      </c>
      <c r="K217" s="13" t="s">
        <v>1165</v>
      </c>
      <c r="L217" s="11" t="s">
        <v>229</v>
      </c>
      <c r="M217" s="13"/>
      <c r="N217" s="14" t="s">
        <v>1166</v>
      </c>
    </row>
    <row r="218" customFormat="false" ht="23.85" hidden="false" customHeight="false" outlineLevel="0" collapsed="false">
      <c r="A218" s="7" t="s">
        <v>1438</v>
      </c>
      <c r="B218" s="7" t="s">
        <v>9</v>
      </c>
      <c r="C218" s="8"/>
      <c r="D218" s="7"/>
      <c r="E218" s="9" t="s">
        <v>1168</v>
      </c>
      <c r="F218" s="9" t="s">
        <v>145</v>
      </c>
      <c r="G218" s="9" t="s">
        <v>771</v>
      </c>
      <c r="H218" s="7" t="s">
        <v>772</v>
      </c>
      <c r="I218" s="7" t="s">
        <v>57</v>
      </c>
      <c r="J218" s="9" t="s">
        <v>14</v>
      </c>
      <c r="K218" s="9" t="s">
        <v>1169</v>
      </c>
      <c r="L218" s="7" t="s">
        <v>229</v>
      </c>
      <c r="M218" s="9" t="s">
        <v>1170</v>
      </c>
      <c r="N218" s="10" t="s">
        <v>1171</v>
      </c>
    </row>
    <row r="219" customFormat="false" ht="15" hidden="false" customHeight="false" outlineLevel="0" collapsed="false">
      <c r="A219" s="11" t="s">
        <v>1439</v>
      </c>
      <c r="B219" s="11" t="s">
        <v>9</v>
      </c>
      <c r="C219" s="12"/>
      <c r="D219" s="11"/>
      <c r="E219" s="13" t="s">
        <v>1173</v>
      </c>
      <c r="F219" s="13"/>
      <c r="G219" s="13" t="s">
        <v>771</v>
      </c>
      <c r="H219" s="11" t="s">
        <v>772</v>
      </c>
      <c r="I219" s="11" t="s">
        <v>57</v>
      </c>
      <c r="J219" s="13" t="s">
        <v>12</v>
      </c>
      <c r="K219" s="13" t="s">
        <v>1174</v>
      </c>
      <c r="L219" s="11" t="s">
        <v>229</v>
      </c>
      <c r="M219" s="13"/>
      <c r="N219" s="14" t="s">
        <v>1175</v>
      </c>
    </row>
    <row r="220" customFormat="false" ht="23.85" hidden="false" customHeight="false" outlineLevel="0" collapsed="false">
      <c r="A220" s="7" t="s">
        <v>1440</v>
      </c>
      <c r="B220" s="7" t="s">
        <v>9</v>
      </c>
      <c r="C220" s="8"/>
      <c r="D220" s="7"/>
      <c r="E220" s="9" t="s">
        <v>1177</v>
      </c>
      <c r="F220" s="9" t="s">
        <v>55</v>
      </c>
      <c r="G220" s="9" t="s">
        <v>771</v>
      </c>
      <c r="H220" s="7" t="s">
        <v>772</v>
      </c>
      <c r="I220" s="7" t="s">
        <v>57</v>
      </c>
      <c r="J220" s="9" t="s">
        <v>58</v>
      </c>
      <c r="K220" s="9" t="s">
        <v>1178</v>
      </c>
      <c r="L220" s="7" t="s">
        <v>229</v>
      </c>
      <c r="M220" s="9"/>
      <c r="N220" s="10" t="s">
        <v>1179</v>
      </c>
    </row>
    <row r="221" customFormat="false" ht="15" hidden="false" customHeight="false" outlineLevel="0" collapsed="false">
      <c r="A221" s="11" t="s">
        <v>1441</v>
      </c>
      <c r="B221" s="11" t="s">
        <v>9</v>
      </c>
      <c r="C221" s="12"/>
      <c r="D221" s="11"/>
      <c r="E221" s="13" t="s">
        <v>1181</v>
      </c>
      <c r="F221" s="13"/>
      <c r="G221" s="13" t="s">
        <v>771</v>
      </c>
      <c r="H221" s="11" t="s">
        <v>772</v>
      </c>
      <c r="I221" s="11" t="s">
        <v>57</v>
      </c>
      <c r="J221" s="13"/>
      <c r="K221" s="13" t="s">
        <v>1182</v>
      </c>
      <c r="L221" s="11" t="s">
        <v>229</v>
      </c>
      <c r="M221" s="13"/>
      <c r="N221" s="14" t="s">
        <v>1183</v>
      </c>
    </row>
    <row r="222" customFormat="false" ht="23.85" hidden="false" customHeight="false" outlineLevel="0" collapsed="false">
      <c r="A222" s="7" t="s">
        <v>1442</v>
      </c>
      <c r="B222" s="7" t="s">
        <v>9</v>
      </c>
      <c r="C222" s="8"/>
      <c r="D222" s="7"/>
      <c r="E222" s="9" t="s">
        <v>1185</v>
      </c>
      <c r="F222" s="9" t="s">
        <v>55</v>
      </c>
      <c r="G222" s="9" t="s">
        <v>771</v>
      </c>
      <c r="H222" s="7" t="s">
        <v>772</v>
      </c>
      <c r="I222" s="7" t="s">
        <v>57</v>
      </c>
      <c r="J222" s="9" t="s">
        <v>12</v>
      </c>
      <c r="K222" s="9" t="s">
        <v>814</v>
      </c>
      <c r="L222" s="7" t="s">
        <v>229</v>
      </c>
      <c r="M222" s="9" t="s">
        <v>1186</v>
      </c>
      <c r="N222" s="10" t="s">
        <v>874</v>
      </c>
    </row>
    <row r="223" customFormat="false" ht="23.85" hidden="false" customHeight="false" outlineLevel="0" collapsed="false">
      <c r="A223" s="11" t="s">
        <v>1443</v>
      </c>
      <c r="B223" s="11" t="s">
        <v>9</v>
      </c>
      <c r="C223" s="12"/>
      <c r="D223" s="11"/>
      <c r="E223" s="13" t="s">
        <v>1188</v>
      </c>
      <c r="F223" s="13"/>
      <c r="G223" s="13" t="s">
        <v>771</v>
      </c>
      <c r="H223" s="11" t="s">
        <v>772</v>
      </c>
      <c r="I223" s="11" t="s">
        <v>57</v>
      </c>
      <c r="J223" s="13" t="s">
        <v>14</v>
      </c>
      <c r="K223" s="13" t="s">
        <v>1189</v>
      </c>
      <c r="L223" s="11" t="s">
        <v>229</v>
      </c>
      <c r="M223" s="13"/>
      <c r="N223" s="14" t="s">
        <v>1190</v>
      </c>
    </row>
    <row r="224" customFormat="false" ht="15" hidden="false" customHeight="false" outlineLevel="0" collapsed="false">
      <c r="A224" s="7" t="s">
        <v>1444</v>
      </c>
      <c r="B224" s="7" t="s">
        <v>9</v>
      </c>
      <c r="C224" s="8"/>
      <c r="D224" s="7"/>
      <c r="E224" s="9" t="s">
        <v>1192</v>
      </c>
      <c r="F224" s="9"/>
      <c r="G224" s="9" t="s">
        <v>771</v>
      </c>
      <c r="H224" s="7" t="s">
        <v>772</v>
      </c>
      <c r="I224" s="7" t="s">
        <v>57</v>
      </c>
      <c r="J224" s="9" t="s">
        <v>15</v>
      </c>
      <c r="K224" s="9" t="s">
        <v>1193</v>
      </c>
      <c r="L224" s="7" t="s">
        <v>229</v>
      </c>
      <c r="M224" s="9"/>
      <c r="N224" s="10" t="s">
        <v>1194</v>
      </c>
    </row>
    <row r="225" customFormat="false" ht="15" hidden="false" customHeight="false" outlineLevel="0" collapsed="false">
      <c r="A225" s="11" t="s">
        <v>1445</v>
      </c>
      <c r="B225" s="11" t="s">
        <v>9</v>
      </c>
      <c r="C225" s="12"/>
      <c r="D225" s="11"/>
      <c r="E225" s="13" t="s">
        <v>1196</v>
      </c>
      <c r="F225" s="13"/>
      <c r="G225" s="13" t="s">
        <v>771</v>
      </c>
      <c r="H225" s="11" t="s">
        <v>772</v>
      </c>
      <c r="I225" s="11" t="s">
        <v>57</v>
      </c>
      <c r="J225" s="13"/>
      <c r="K225" s="13" t="s">
        <v>1182</v>
      </c>
      <c r="L225" s="11" t="s">
        <v>229</v>
      </c>
      <c r="M225" s="13"/>
      <c r="N225" s="14" t="s">
        <v>1197</v>
      </c>
    </row>
    <row r="226" customFormat="false" ht="15" hidden="false" customHeight="false" outlineLevel="0" collapsed="false">
      <c r="A226" s="7" t="s">
        <v>1446</v>
      </c>
      <c r="B226" s="7" t="s">
        <v>9</v>
      </c>
      <c r="C226" s="8"/>
      <c r="D226" s="7"/>
      <c r="E226" s="9" t="s">
        <v>1199</v>
      </c>
      <c r="F226" s="9"/>
      <c r="G226" s="9" t="s">
        <v>771</v>
      </c>
      <c r="H226" s="7" t="s">
        <v>772</v>
      </c>
      <c r="I226" s="7" t="s">
        <v>57</v>
      </c>
      <c r="J226" s="9" t="s">
        <v>13</v>
      </c>
      <c r="K226" s="9" t="s">
        <v>1200</v>
      </c>
      <c r="L226" s="7" t="s">
        <v>229</v>
      </c>
      <c r="M226" s="9"/>
      <c r="N226" s="10" t="s">
        <v>1201</v>
      </c>
    </row>
    <row r="227" customFormat="false" ht="15" hidden="false" customHeight="false" outlineLevel="0" collapsed="false">
      <c r="A227" s="11" t="s">
        <v>1447</v>
      </c>
      <c r="B227" s="11" t="s">
        <v>9</v>
      </c>
      <c r="C227" s="12"/>
      <c r="D227" s="11"/>
      <c r="E227" s="13" t="s">
        <v>1203</v>
      </c>
      <c r="F227" s="13"/>
      <c r="G227" s="13" t="s">
        <v>771</v>
      </c>
      <c r="H227" s="11" t="s">
        <v>772</v>
      </c>
      <c r="I227" s="11" t="s">
        <v>57</v>
      </c>
      <c r="J227" s="13" t="s">
        <v>14</v>
      </c>
      <c r="K227" s="13" t="s">
        <v>1204</v>
      </c>
      <c r="L227" s="11" t="s">
        <v>229</v>
      </c>
      <c r="M227" s="13"/>
      <c r="N227" s="14" t="s">
        <v>1205</v>
      </c>
    </row>
    <row r="228" customFormat="false" ht="15" hidden="false" customHeight="false" outlineLevel="0" collapsed="false">
      <c r="A228" s="7" t="s">
        <v>1448</v>
      </c>
      <c r="B228" s="7" t="s">
        <v>9</v>
      </c>
      <c r="C228" s="8"/>
      <c r="D228" s="7"/>
      <c r="E228" s="9" t="s">
        <v>1207</v>
      </c>
      <c r="F228" s="9"/>
      <c r="G228" s="9" t="s">
        <v>771</v>
      </c>
      <c r="H228" s="7" t="s">
        <v>772</v>
      </c>
      <c r="I228" s="7" t="s">
        <v>57</v>
      </c>
      <c r="J228" s="9"/>
      <c r="K228" s="9" t="s">
        <v>1208</v>
      </c>
      <c r="L228" s="7" t="s">
        <v>229</v>
      </c>
      <c r="M228" s="9"/>
      <c r="N228" s="10" t="s">
        <v>1209</v>
      </c>
    </row>
    <row r="229" customFormat="false" ht="23.85" hidden="false" customHeight="false" outlineLevel="0" collapsed="false">
      <c r="A229" s="11" t="s">
        <v>1449</v>
      </c>
      <c r="B229" s="11" t="s">
        <v>9</v>
      </c>
      <c r="C229" s="12"/>
      <c r="D229" s="11"/>
      <c r="E229" s="13" t="s">
        <v>1211</v>
      </c>
      <c r="F229" s="13"/>
      <c r="G229" s="13" t="s">
        <v>771</v>
      </c>
      <c r="H229" s="11" t="s">
        <v>772</v>
      </c>
      <c r="I229" s="11" t="s">
        <v>57</v>
      </c>
      <c r="J229" s="13" t="s">
        <v>14</v>
      </c>
      <c r="K229" s="13" t="s">
        <v>1212</v>
      </c>
      <c r="L229" s="11" t="s">
        <v>229</v>
      </c>
      <c r="M229" s="13"/>
      <c r="N229" s="14" t="s">
        <v>1213</v>
      </c>
    </row>
    <row r="230" customFormat="false" ht="23.85" hidden="false" customHeight="false" outlineLevel="0" collapsed="false">
      <c r="A230" s="7" t="s">
        <v>1450</v>
      </c>
      <c r="B230" s="7" t="s">
        <v>9</v>
      </c>
      <c r="C230" s="8"/>
      <c r="D230" s="7"/>
      <c r="E230" s="9" t="s">
        <v>1215</v>
      </c>
      <c r="F230" s="9"/>
      <c r="G230" s="9" t="s">
        <v>771</v>
      </c>
      <c r="H230" s="7" t="s">
        <v>772</v>
      </c>
      <c r="I230" s="7" t="s">
        <v>57</v>
      </c>
      <c r="J230" s="9" t="s">
        <v>14</v>
      </c>
      <c r="K230" s="9" t="s">
        <v>1216</v>
      </c>
      <c r="L230" s="7" t="s">
        <v>229</v>
      </c>
      <c r="M230" s="9"/>
      <c r="N230" s="10" t="s">
        <v>1217</v>
      </c>
    </row>
    <row r="231" customFormat="false" ht="15" hidden="false" customHeight="false" outlineLevel="0" collapsed="false">
      <c r="A231" s="11" t="s">
        <v>1451</v>
      </c>
      <c r="B231" s="11" t="s">
        <v>9</v>
      </c>
      <c r="C231" s="12"/>
      <c r="D231" s="11"/>
      <c r="E231" s="13" t="s">
        <v>1219</v>
      </c>
      <c r="F231" s="13"/>
      <c r="G231" s="13" t="s">
        <v>771</v>
      </c>
      <c r="H231" s="11" t="s">
        <v>772</v>
      </c>
      <c r="I231" s="11" t="s">
        <v>57</v>
      </c>
      <c r="J231" s="13" t="s">
        <v>14</v>
      </c>
      <c r="K231" s="13" t="s">
        <v>1220</v>
      </c>
      <c r="L231" s="11" t="s">
        <v>229</v>
      </c>
      <c r="M231" s="13"/>
      <c r="N231" s="14" t="s">
        <v>1221</v>
      </c>
    </row>
  </sheetData>
  <autoFilter ref="A1:N231"/>
  <hyperlinks>
    <hyperlink ref="N2" r:id="rId1" display="https://www.tamilguardian.com/content/prof-pathmanathans-new-book-sheds-light-early-jaffna-civilisation"/>
    <hyperlink ref="N3" r:id="rId2" display="https://www.ezhunaonline.com/books/tamils-in-the-inscriptions-of-brahmi-and-sinhala/"/>
    <hyperlink ref="N4" r:id="rId3" display="https://en.wikipedia.org/wiki/K._Indrapala"/>
    <hyperlink ref="N5" r:id="rId4" display="https://www.his.jfn.ac.lk/index.php/profkarunthavarajah/"/>
    <hyperlink ref="N6" r:id="rId5" display="https://www.his.jfn.ac.lk/index.php/profkarunthavarajah/"/>
    <hyperlink ref="N7" r:id="rId6" display="https://opac.busl.ac.lk/bib/14671"/>
    <hyperlink ref="N8" r:id="rId7" display="https://jfn.ac.lk/prof-s-pathmanathan/"/>
    <hyperlink ref="N9" r:id="rId8" display="https://en.wikipedia.org/wiki/S._Pathmanathan"/>
    <hyperlink ref="N10" r:id="rId9" display="https://jfn.ac.lk/prof-s-pathmanathan/"/>
    <hyperlink ref="N11" r:id="rId10" display="https://en.wikipedia.org/wiki/K._Indrapala"/>
    <hyperlink ref="N12" r:id="rId11" display="https://unioncatalogue.dlp.gov.lk/Record/batt.35119/Similar"/>
    <hyperlink ref="N13" r:id="rId12" display="https://jfn.ac.lk/prof-s-pathmanathan/"/>
    <hyperlink ref="N14" r:id="rId13" display="https://en.wikipedia.org/wiki/S._Pathmanathan"/>
    <hyperlink ref="N15" r:id="rId14" display="https://vedamsbooks.com/books/early_tamil_epigraphy_from_the_earliest_times_to_the_sixth_century_c_e_volume_1_tamil_brahmi_inscriptions"/>
    <hyperlink ref="N16" r:id="rId15" display="https://jfn.ac.lk/prof-s-pathmanathan/"/>
    <hyperlink ref="N17" r:id="rId16" display="https://mannar.dlp.gov.lk/bib/9820"/>
    <hyperlink ref="N18" r:id="rId17" display="https://en.wikipedia.org/wiki/S._Pathmanathan"/>
    <hyperlink ref="N19" r:id="rId18" display="https://jfn.ac.lk/prof-s-pathmanathan/"/>
    <hyperlink ref="N20" r:id="rId19" display="https://jfn.ac.lk/prof-s-pathmanathan/"/>
    <hyperlink ref="N21" r:id="rId20" display="https://www.sundaytimes.lk/000423/plus3.html"/>
    <hyperlink ref="N22" r:id="rId21" display="https://unioncatalogue.dlp.gov.lk/Record/poin.4050/Description"/>
    <hyperlink ref="N23" r:id="rId22" display="https://noolaham.org/wiki/index.php/Epigraphia_Zeylanica_3"/>
    <hyperlink ref="N24" r:id="rId23" display="https://noolaham.org/wiki/index.php/%E0%AE%95%E0%AF%8B%E0%AE%A3%E0%AF%87%E0%AE%9A%E0%AE%B0%E0%AF%8D_%E0%AE%95%E0%AE%B2%E0%AF%8D%E0%AE%B5%E0%AF%86%E0%AE%9F%E0%AF%8D%E0%AE%9F%E0%AF%81"/>
    <hyperlink ref="N25" r:id="rId24" display="https://noolaham.org/wiki/index.php/%E0%AE%AA%E0%AF%82%E0%AE%A8%E0%AE%95%E0%AE%B0%E0%AE%BF_%E0%AE%A4%E0%AF%8A%E0%AE%B2%E0%AF%8D%E0%AE%AA%E0%AF%8A%E0%AE%B0%E0%AF%81%E0%AE%B3%E0%AE%BE%E0%AE%AF%E0%AF%8D%E0%AE%B5%E0%AF%81"/>
    <hyperlink ref="N26" r:id="rId25" display="https://noolaham.net/project/18/1733/1733.html"/>
    <hyperlink ref="N27" r:id="rId26" display="https://find.library.upenn.edu/catalog/997779313503681"/>
    <hyperlink ref="N28" r:id="rId27" display="https://www.lankapradeepa.com/2020/04/tamil-inscriptions-in-sri-lanka_16.html"/>
    <hyperlink ref="N29" r:id="rId28" display="https://noolaham.net/project/977/97628/97628.pdf"/>
    <hyperlink ref="N30" r:id="rId29" display="https://noolaham.net/project/1316/131542/131542.pdf"/>
    <hyperlink ref="N31" r:id="rId30" display="https://noolaham.net/project/810/80954/80954.pdf"/>
    <hyperlink ref="N32" r:id="rId31" display="http://lib.vau.jfn.ac.lk/cgi-bin/koha/opac-detail.pl?biblionumber=44042&amp;shelfbrowse_itemnumber=55269"/>
    <hyperlink ref="N33" r:id="rId32" display="https://www.his.jfn.ac.lk/index.php/__trashed/"/>
    <hyperlink ref="N34" r:id="rId33" display="https://fhss.niibs.lk/wp-content/uploads/2025/02/Investigation-of-Ancient-Pre-colonial-Monuments-in-Jaffna-Sri-Lanka.pdf"/>
    <hyperlink ref="N35" r:id="rId34" display="https://www.his.jfn.ac.lk/index.php/__trashed/"/>
    <hyperlink ref="N36" r:id="rId35" display="https://www.his.jfn.ac.lk/index.php/mrs-ajiththa-suganthan/"/>
    <hyperlink ref="N37" r:id="rId36" display="https://zenodo.org/records/16599990"/>
    <hyperlink ref="N38" r:id="rId37" display="https://www.his.jfn.ac.lk/index.php/mrs-ajiththa-suganthan/"/>
    <hyperlink ref="N39" r:id="rId38" display="https://www.his.jfn.ac.lk/index.php/__trashed/"/>
    <hyperlink ref="N40" r:id="rId39" display="https://www.his.jfn.ac.lk/index.php/__trashed/"/>
    <hyperlink ref="N41" r:id="rId40" display="https://www.his.jfn.ac.lk/index.php/mrs-ajiththa-suganthan/"/>
    <hyperlink ref="N42" r:id="rId41" display="https://www.his.jfn.ac.lk/index.php/mrs-ajiththa-suganthan/"/>
    <hyperlink ref="N43" r:id="rId42" display="https://www.his.jfn.ac.lk/index.php/__trashed/"/>
    <hyperlink ref="N44" r:id="rId43" display="https://www.his.jfn.ac.lk/index.php/__trashed/"/>
    <hyperlink ref="N45" r:id="rId44" display="https://www.his.jfn.ac.lk/index.php/__trashed/"/>
    <hyperlink ref="N46" r:id="rId45" display="https://archaeology.gov.lk/media/attachments/2022/09/07/ac27updated.pdf"/>
    <hyperlink ref="N47" r:id="rId46" display="https://www.his.jfn.ac.lk/?p=791"/>
    <hyperlink ref="N48" r:id="rId47" display="https://www.his.jfn.ac.lk/index.php/mrs-ajiththa-suganthan/"/>
    <hyperlink ref="N49" r:id="rId48" display="https://www.his.jfn.ac.lk/index.php/mrs-s-arulanantham/"/>
    <hyperlink ref="N50" r:id="rId49" display="https://www.his.jfn.ac.lk/index.php/__trashed/"/>
    <hyperlink ref="N51" r:id="rId50" display="https://www.his.jfn.ac.lk/index.php/__trashed/"/>
    <hyperlink ref="N52" r:id="rId51" display="https://www.his.jfn.ac.lk/?p=791"/>
    <hyperlink ref="N53" r:id="rId52" display="https://www.his.jfn.ac.lk/?p=791"/>
    <hyperlink ref="N54" r:id="rId53" display="https://www.his.jfn.ac.lk/index.php/mrs-ajiththa-suganthan/"/>
    <hyperlink ref="N55" r:id="rId54" display="https://www.his.jfn.ac.lk/?p=791"/>
    <hyperlink ref="N56" r:id="rId55" display="https://www.his.jfn.ac.lk/?p=791"/>
    <hyperlink ref="N57" r:id="rId56" display="https://www.cambridge.org/core/services/aop-cambridge-core/content/view/C55CDA3934CC5C18EE40B903734C7215/S0003598X19000309a.pdf/the-antiquity-of-jaffna-fort-new-evidence-from-post-disaster-archaeological-investigations-in-northern-sri-lanka.pdf"/>
    <hyperlink ref="N58" r:id="rId57" display="https://www.his.jfn.ac.lk/index.php/__trashed/"/>
    <hyperlink ref="N59" r:id="rId58" display="https://www.his.jfn.ac.lk/?p=791"/>
    <hyperlink ref="N60" r:id="rId59" display="https://www.his.jfn.ac.lk/index.php/__trashed/"/>
    <hyperlink ref="N61" r:id="rId60" display="https://www.his.jfn.ac.lk/?p=791"/>
    <hyperlink ref="N62" r:id="rId61" display="https://www.his.jfn.ac.lk/?p=791"/>
    <hyperlink ref="N63" r:id="rId62" display="https://www.his.jfn.ac.lk/?p=791"/>
    <hyperlink ref="N64" r:id="rId63" display="https://www.his.jfn.ac.lk/?p=791"/>
    <hyperlink ref="N65" r:id="rId64" display="https://www.his.jfn.ac.lk/?p=791"/>
    <hyperlink ref="N66" r:id="rId65" display="https://www.his.jfn.ac.lk/index.php/mrs-ajiththa-suganthan/"/>
    <hyperlink ref="N67" r:id="rId66" display="https://www.his.jfn.ac.lk/?p=791"/>
    <hyperlink ref="N68" r:id="rId67" display="https://www.his.jfn.ac.lk/index.php/profkarunthavarajah/"/>
    <hyperlink ref="N69" r:id="rId68" display="https://www.his.jfn.ac.lk/index.php/mrs-s-arulanantham/"/>
    <hyperlink ref="N70" r:id="rId69" display="https://rer.jfn.ac.lk/items/cf7a95e0-fe51-4ae1-88aa-4842327beb59/full"/>
    <hyperlink ref="N71" r:id="rId70" display="https://www.his.jfn.ac.lk/?p=791"/>
    <hyperlink ref="N72" r:id="rId71" display="https://www.his.jfn.ac.lk/index.php/mrs-s-arulanantham/"/>
    <hyperlink ref="N73" r:id="rId72" display="https://www.his.jfn.ac.lk/index.php/profkarunthavarajah/"/>
    <hyperlink ref="N74" r:id="rId73" display="https://www.his.jfn.ac.lk/index.php/profkarunthavarajah/"/>
    <hyperlink ref="N75" r:id="rId74" display="https://www.his.jfn.ac.lk/index.php/profkarunthavarajah/"/>
    <hyperlink ref="N76" r:id="rId75" display="https://www.his.jfn.ac.lk/index.php/mrs-s-arulanantham/"/>
    <hyperlink ref="N77" r:id="rId76" display="https://www.lankapradeepa.com/2020/04/tamil-inscriptions-in-sri-lanka_16.html"/>
    <hyperlink ref="N78" r:id="rId77" display="https://jfn.ac.lk/prof-s-pathmanathan/"/>
    <hyperlink ref="N79" r:id="rId78" display="https://jfn.ac.lk/prof-s-pathmanathan/"/>
    <hyperlink ref="N80" r:id="rId79" display="https://www.lankapradeepa.com/2020/04/tamil-inscriptions-in-sri-lanka_16.html"/>
    <hyperlink ref="N81" r:id="rId80" display="https://jfn.ac.lk/prof-s-pathmanathan/"/>
    <hyperlink ref="N82" r:id="rId81" display="https://jfn.ac.lk/prof-s-pathmanathan/"/>
    <hyperlink ref="N83" r:id="rId82" display="https://jfn.ac.lk/prof-s-pathmanathan/"/>
    <hyperlink ref="N84" r:id="rId83" display="https://jfn.ac.lk/prof-s-pathmanathan/"/>
    <hyperlink ref="N85" r:id="rId84" display="https://jfn.ac.lk/prof-s-pathmanathan/"/>
    <hyperlink ref="N86" r:id="rId85" display="https://jfn.ac.lk/prof-s-pathmanathan/"/>
    <hyperlink ref="N87" r:id="rId86" display="https://www.lankapradeepa.com/2020/04/tamil-inscriptions-in-sri-lanka_16.html"/>
    <hyperlink ref="N88" r:id="rId87" display="https://jfn.ac.lk/prof-s-pathmanathan/"/>
    <hyperlink ref="N89" r:id="rId88" display="https://ir.lib.pdn.ac.lk/handle/20.500.14444/3809"/>
    <hyperlink ref="N90" r:id="rId89" display="https://ir.lib.pdn.ac.lk/items/583155fd-b49e-4398-8b04-51776c4dbf8f/full"/>
    <hyperlink ref="N91" r:id="rId90" display="https://www.lankapradeepa.com/2020/04/tamil-inscriptions-in-sri-lanka_16.html"/>
    <hyperlink ref="N92" r:id="rId91" display="https://jfn.ac.lk/prof-s-pathmanathan/"/>
    <hyperlink ref="N93" r:id="rId92" display="https://www.lankapradeepa.com/2020/04/tamil-inscriptions-in-sri-lanka_16.html"/>
    <hyperlink ref="N94" r:id="rId93" display="https://jfn.ac.lk/prof-s-pathmanathan/"/>
    <hyperlink ref="N95" r:id="rId94" display="https://siddham.network/tag/kayts/"/>
    <hyperlink ref="N96" r:id="rId95" display="https://ir.lib.pdn.ac.lk/handle/20.500.14444/5038"/>
    <hyperlink ref="N97" r:id="rId96" display="https://www.academia.edu/44307643/Annaikottai_Seal_Is_it_Tamil_Brahmi"/>
    <hyperlink ref="N98" r:id="rId97" display="https://mrujs.mtroyal.ca/index.php/anlk/article/view/634"/>
    <hyperlink ref="N99" r:id="rId98" display="https://irjt.iorpress.org/index.php/irjt/article/download/2607/2111/4821"/>
    <hyperlink ref="N100" r:id="rId99" display="https://rer.jfn.ac.lk/items/69679e68-fe61-4cd9-a9de-ccff08422aac/full"/>
    <hyperlink ref="N101" r:id="rId100" display="https://www.academia.edu/47759409/Making_Lanka_the_Tamil_way_a_temple_history_at_the_crossroads_of_landscapes_and_watersheds"/>
    <hyperlink ref="N102" r:id="rId101" display="https://durham-repository.worktribe.com/output/1656993/recent-excavations-and-survey-at-jaffna-fort-in-2017-and-reflections-on-the-antiquity-of-indian-ocean-trade"/>
    <hyperlink ref="N103" r:id="rId102" display="https://rer.jfn.ac.lk/items/fc0f248b-470f-449c-a7c6-8b8ec38517f0"/>
    <hyperlink ref="N104" r:id="rId103" display="https://www.researchgate.net/publication/301336596_The_Peopling_of_Sri_Lanka_from_Prehistoric_to_Historic_Times_Biological_and_Archaeological_Evidence"/>
    <hyperlink ref="N105" r:id="rId104" display="https://dspace.lib.seu.ac.lk/items/2bce5ebf-dc84-4b9c-a7ed-ca9bf13f1e7a/full"/>
    <hyperlink ref="N106" r:id="rId105" display="https://dspace.lib.seu.ac.lk/items/d9c75f55-5065-4c9d-9c54-98ec1717f8d1"/>
    <hyperlink ref="N107" r:id="rId106" display="https://www.colombotelegraph.com/index.php/a-historian-in-focus-the-dark-side-of-s-pathmanathan/"/>
    <hyperlink ref="N108" r:id="rId107" display="https://www.tamilguardian.com/content/prof-pathmanathans-new-book-sheds-light-early-jaffna-civilisation"/>
    <hyperlink ref="N109" r:id="rId108" display="https://ibctamil.com/article/an-underground-city-discovered-in-polonnaruwa-sl-1708747886"/>
    <hyperlink ref="N110" r:id="rId109" display="https://www.sundaytimes.lk/180211/plus/head-to-the-east-for-a-feast-of-archaeological-sites-281129.html"/>
    <hyperlink ref="N111" r:id="rId110" display="https://archives1.dailynews.lk/2017/01/04/features/103659"/>
    <hyperlink ref="N112" r:id="rId111" display="https://archives.sundayobserver.lk/2013/03/10/mon13.asp"/>
    <hyperlink ref="N113" r:id="rId112" display="https://tamilnet.com/art.html?artid=35707&amp;catid=79"/>
    <hyperlink ref="N114" r:id="rId113" display="https://www.his.jfn.ac.lk/?p=791"/>
    <hyperlink ref="N115" r:id="rId114" display="https://archives.thinakaran.lk/2011/02/15/?fn=i1102155&amp;p=1"/>
    <hyperlink ref="N116" r:id="rId115" display="https://tamilnet.com/art.html?artid=32063&amp;catid=79"/>
    <hyperlink ref="N117" r:id="rId116" display="https://www.tamilnet.com/art.html?artid=32303&amp;catid=79"/>
    <hyperlink ref="N118" r:id="rId117" display="https://tamilnet.com/art.html?artid=32843&amp;catid=79"/>
    <hyperlink ref="N119" r:id="rId118" display="https://www.tamilnet.com/art.html?artid=32850&amp;catid=13"/>
    <hyperlink ref="N120" r:id="rId119" display="https://www.sundaytimes.lk/000423/plus3.html"/>
    <hyperlink ref="N121" r:id="rId120" display="https://www.tamilguardian.com/content/2000-year-old-tamil-brahmi-inscriptions-discovered-egypts-valley-kings"/>
    <hyperlink ref="N122" r:id="rId121" display="https://www.tamilguardian.com/content/3400-year-old-human-remains-discovered-velanai-jaffna"/>
    <hyperlink ref="N123" r:id="rId122" display="https://www.tamilguardian.com/content/ancient-pandyan-coins-bring-intrigue-and-dispute-sri-lanka"/>
    <hyperlink ref="N124" r:id="rId123" display="https://www.colombotelegraph.com/index.php/book-review-the-historian-as-bridge/"/>
    <hyperlink ref="N125" r:id="rId124" display="https://archives1.sundayobserver.lk/node/26758"/>
    <hyperlink ref="N126" r:id="rId125" display="https://island.lk/little-known-facets-of-sri-lankan-historya-chola-princess-and-the-old-name-for-jaffna/"/>
    <hyperlink ref="N127" r:id="rId126" display="https://island.lk/reptiles-in-rock-and-time-unveiling-sri-lankas-ancient-herpetological-art/"/>
    <hyperlink ref="N128" r:id="rId127" display="https://archives1.sundayobserver.lk/node/44600"/>
    <hyperlink ref="N129" r:id="rId128" display="https://www.tamilguardian.com/index.php/node/955066"/>
    <hyperlink ref="N130" r:id="rId129" display="https://www.colombotelegraph.com/index.php/sri-lankas-role-in-south-asias-earliest-writing-controversy/"/>
    <hyperlink ref="N131" r:id="rId130" display="https://www.tamilguardian.com/content/tamil-civilisation-it-oldest"/>
    <hyperlink ref="N132" r:id="rId131" display="https://www.colombotelegraph.com/index.php/the-tamils-are-the-original-inhabitants-of-sri-lanka/"/>
    <hyperlink ref="N133" r:id="rId132" display="https://www.tamilguardian.com/index.php/content/trilingual-inscription-tamil-chinese-and-persian-recognised-unesco"/>
    <hyperlink ref="N134" r:id="rId133" display="https://tamilwin.com/article/discovery-of-the-inscription-in-trincomalee-1637431493"/>
    <hyperlink ref="N135" r:id="rId134" display="https://thinakkural.lk/article/45056"/>
    <hyperlink ref="N136" r:id="rId135" display="https://www.tamilmirror.lk/91-286936"/>
    <hyperlink ref="N137" r:id="rId136" display="https://www.virakesari.lk/article/160191"/>
    <hyperlink ref="N138" r:id="rId137" display="https://www.ezhunaonline.com/manthai-the-seafaring-trading-center-of-ancient-sri-lanka/"/>
    <hyperlink ref="N139" r:id="rId138" display="https://www.ezhunaonline.com/ancient-religious-practices-in-ancient-jaffna-part-2/"/>
    <hyperlink ref="N140" r:id="rId139" display="https://www.ezhunaonline.com/jaffna-buddhism-100-bc-1200-ad-part-2/"/>
    <hyperlink ref="N141" r:id="rId140" display="https://www.ezhunaonline.com/ancient-coins-found-in-kandy-and-northern-sri-lanka-part-1/"/>
    <hyperlink ref="N142" r:id="rId141" display="https://www.ezhunaonline.com/ancient-coins-found-in-kandy-and-northern-sri-lanka-part-2/"/>
    <hyperlink ref="N143" r:id="rId142" display="https://www.ezhunaonline.com/origin-and-gradual-development-of-the-gandharoda-civilization-part-4/"/>
    <hyperlink ref="N144" r:id="rId143" display="https://www.ezhunaonline.com/the-gandarodai-archaeological-site-and-scientific-studies-on-the-early-iron-age-that-overturned-the-mahavamsa-history-of-sri-lanka-part-5/"/>
    <hyperlink ref="N145" r:id="rId144" display="https://www.ezhunaonline.com/ochapu-kallu-is-an-ancient-nagar-settlement/"/>
    <hyperlink ref="N146" r:id="rId145" display="https://www.ezhunaonline.com/inscription-about-nagar-on-thanga-tirumala-by-brahmin-divakan/"/>
    <hyperlink ref="N147" r:id="rId146" display="https://www.ezhunaonline.com/on-the-border-of-ghazigamalai/"/>
    <hyperlink ref="N148" r:id="rId147" display="https://www.ezhunaonline.com/inscriptions-about-nagar-found-on-rittikala-hill-arita-parvata-hill/"/>
    <hyperlink ref="N149" r:id="rId148" display="https://www.ezhunaonline.com/inscription-of-naga-maharaja-on-rithi-viharai-hill/"/>
    <hyperlink ref="N150" r:id="rId149" display="https://www.ezhunaonline.com/gandharoda-civilization-of-ancient-jaffna/"/>
    <hyperlink ref="N151" r:id="rId150" display="https://www.ezhunaonline.com/geology-topography-and-ancient-settlements-of-jaffna/"/>
    <hyperlink ref="N152" r:id="rId151" display="https://www.ezhunaonline.com/andiyagala-hill-inscription-where-siddhas-lived-2000-years-ago/"/>
    <hyperlink ref="N153" r:id="rId152" display="https://www.ezhunaonline.com/hibauwa-inscription-about-the-naga-clan/"/>
    <hyperlink ref="N154" r:id="rId153" display="https://www.ezhunaonline.com/nagaland-and-the-nagas-in-history-and-literary-records-part-2/"/>
    <hyperlink ref="N155" r:id="rId154" display="https://www.ezhunaonline.com/the-dating-of-archaeological-artefacts/"/>
    <hyperlink ref="N156" r:id="rId155" display="https://www.ezhunaonline.com/archaeology-of-kantarodai-part-3/"/>
    <hyperlink ref="N157" r:id="rId156" display="https://www.ezhunaonline.com/anaikottai-archaeological-survey/"/>
    <hyperlink ref="N158" r:id="rId157" display="https://www.ezhunaonline.com/the-kallanchiya-rock-inscription-tells-of-king-nagan/"/>
    <hyperlink ref="N159" r:id="rId158" display="https://www.ezhunaonline.com/jaffna-city-pongoli-water-lion-city-part-2/"/>
    <hyperlink ref="N160" r:id="rId159" display="https://www.ezhunaonline.com/vallipuram-and-nagercoil/"/>
    <hyperlink ref="N161" r:id="rId160" display="https://www.ezhunaonline.com/early-settlements-near-the-jaffna-peninsula/"/>
    <hyperlink ref="N162" r:id="rId161" display="https://www.ezhunaonline.com/primitive-settlements-in-the-northern-mainland-of-sri-lanka/"/>
    <hyperlink ref="N163" r:id="rId162" display="https://www.ezhunaonline.com/early-iron-age-and-neolithic-culture-in-sri-lanka-part-3/"/>
    <hyperlink ref="N164" r:id="rId163" display="https://www.ezhunaonline.com/history-of-naga-and-anuradhapura-kings-in-eastern-srilanka/"/>
    <hyperlink ref="N165" r:id="rId164" display="https://www.ezhunaonline.com/the-first-ten-clans-of-eastern-sri-lanka/"/>
    <hyperlink ref="N166" r:id="rId165" display="https://www.ezhunaonline.com/an-introduction-to-brahmi-inscriptions-in-sri-lanka/"/>
    <hyperlink ref="N167" r:id="rId166" display="https://www.ezhunaonline.com/tamil-brahmi-inscription-in-ambanthotta-2/"/>
    <hyperlink ref="N168" r:id="rId167" display="https://www.ezhunaonline.com/from-vattagamini-to-vattagamini/"/>
    <hyperlink ref="N169" r:id="rId168" display="https://www.ezhunaonline.com/history-of-nagar-in-northern-sri-lanka/"/>
    <hyperlink ref="N170" r:id="rId169" display="https://www.ezhunaonline.com/eastern-ruhunu-until-the-period-of-mahasenan/"/>
    <hyperlink ref="N171" r:id="rId170" display="https://www.ezhunaonline.com/naga-culture-in-mihintala-anuradhapura/"/>
    <hyperlink ref="N172" r:id="rId171" display="https://www.ezhunaonline.com/thissamaharama-inscription/"/>
    <hyperlink ref="N173" r:id="rId172" display="https://www.ezhunaonline.com/pidurangala-bhirami-inscription/"/>
    <hyperlink ref="N174" r:id="rId173" display="https://www.ezhunaonline.com/sri-lanka-eastern-province-ancient-history/"/>
    <hyperlink ref="N175" r:id="rId174" display="https://www.ezhunaonline.com/vessagiriya-inscription-that-tells-about-naga-blacksmith/"/>
    <hyperlink ref="N176" r:id="rId175" display="https://www.ezhunaonline.com/the-wife-of-akkapothi-sri-lankan-eastern-history/"/>
    <hyperlink ref="N177" r:id="rId176" display="https://www.ezhunaonline.com/kathirgamam-inscription-by-tamil-king-maha-nagan/"/>
    <hyperlink ref="N178" r:id="rId177" display="https://www.ezhunaonline.com/siththar-rock-inscription-which-tell-about-maharajan/"/>
    <hyperlink ref="N179" r:id="rId178" display="https://www.ezhunaonline.com/irakkamam-a-tax-free-village-for-anuradhapura-commander/"/>
    <hyperlink ref="N180" r:id="rId179" display="https://www.ezhunaonline.com/pandakiriya-inscription/"/>
    <hyperlink ref="N181" r:id="rId180" display="https://www.ezhunaonline.com/padarkal-malai-inscrption/"/>
    <hyperlink ref="N182" r:id="rId181" display="https://www.ezhunaonline.com/velodum-malai-nagamalai-inscription-mentions-maha-naga-king/"/>
    <hyperlink ref="N183" r:id="rId182" display="https://www.ezhunaonline.com/inscriptions-about-nagar-on-pambarakasthalava-hill-nagaparvata-hill/"/>
    <hyperlink ref="N184" r:id="rId183" display="https://www.ezhunaonline.com/kalladi-niliyamman-hill-inscriptions-sri-lanka-mentions-the-naga-king-and-the-naga-canal/"/>
    <hyperlink ref="N185" r:id="rId184" display="https://www.ezhunaonline.com/the-rajagala-inscriptions-refer-to-nagar/"/>
    <hyperlink ref="N186" r:id="rId185" display="https://www.ezhunaonline.com/the-kudumbigala-hill-inscription-mentions-the-village-officer-nagan/"/>
    <hyperlink ref="N187" r:id="rId186" display="https://www.ezhunaonline.com/chola-in-keekhagarai/"/>
    <hyperlink ref="N188" r:id="rId187" display="https://www.ezhunaonline.com/muthukal-hill-inscriptions-mention-nagar/"/>
    <hyperlink ref="N189" r:id="rId188" display="https://www.ezhunaonline.com/kayanguda-kumacholai-inscription-of-eastern-ceylon-viceroy/"/>
    <hyperlink ref="N190" r:id="rId189" display="https://www.ezhunaonline.com/handagala-brahmic-inscriptions-refer-to-nagar/"/>
    <hyperlink ref="N191" r:id="rId190" display="https://www.ezhunaonline.com/later-inscriptions-refer-to-tamils/"/>
    <hyperlink ref="N192" r:id="rId191" display="https://www.ezhunaonline.com/tamaraveva-pillar-inscription-referring-to-the-tamil-official-mahasathan/"/>
    <hyperlink ref="N193" r:id="rId192" display="https://www.ezhunaonline.com/badulla-inscription/"/>
    <hyperlink ref="N194" r:id="rId193" display="https://www.ezhunaonline.com/anuradhapura-inscription/"/>
    <hyperlink ref="N195" r:id="rId194" display="https://www.ezhunaonline.com/rankoth-viharai-inscription/"/>
    <hyperlink ref="N196" r:id="rId195" display="https://www.ezhunaonline.com/wessagiri-inscription/"/>
    <hyperlink ref="N197" r:id="rId196" display="https://www.ezhunaonline.com/keekhakarai-paravani-inscriptioniii/"/>
    <hyperlink ref="N198" r:id="rId197" display="https://www.ezhunaonline.com/batticaloa-history-iii/"/>
    <hyperlink ref="N199" r:id="rId198" display="https://www.ezhunaonline.com/the-other-myths-of-batticaloa-2/"/>
    <hyperlink ref="N200" r:id="rId199" display="https://www.ezhunaonline.com/timeline-of-sri-lankan-pre-history/"/>
    <hyperlink ref="N201" r:id="rId200" display="https://www.ezhunaonline.com/the-initial-stage-of-sri-lankan-history-period/"/>
    <hyperlink ref="N202" r:id="rId201" display="https://www.ezhunaonline.com/brahmic-inscriptions-on-tamils-in-ceylon-an-introduction/"/>
    <hyperlink ref="N203" r:id="rId202" display="https://www.ezhunaonline.com/5brahmic-in-icriptions-tamils/"/>
    <hyperlink ref="N204" r:id="rId203" display="https://www.ezhunaonline.com/tamil-vanikan-puliankulam-inscriptions/"/>
    <hyperlink ref="N205" r:id="rId204" display="https://www.ezhunaonline.com/seruvila-inscription-on-tamil-family-leader-guttan/"/>
    <hyperlink ref="N206" r:id="rId205" display="https://www.ezhunaonline.com/gudvil-inscription-about-a-tamil-merchant-who-was-a-resident-of-dikavapi/"/>
    <hyperlink ref="N207" r:id="rId206" display="https://www.ezhunaonline.com/evidence-for-keekhakarai-tamil-literature/"/>
    <hyperlink ref="N208" r:id="rId207" display="https://amazinglanka.com/wp/sankiliyatital/"/>
    <hyperlink ref="N209" r:id="rId208" display="https://www.lankapradeepa.com/2020/04/tamil-inscriptions-in-sri-lanka_16.html"/>
    <hyperlink ref="N210" r:id="rId209" display="https://www.his.jfn.ac.lk/?p=791"/>
    <hyperlink ref="N211" r:id="rId210" display="https://www.his.jfn.ac.lk/?p=791"/>
    <hyperlink ref="N212" r:id="rId211" display="https://www.his.jfn.ac.lk/?p=791"/>
    <hyperlink ref="N213" r:id="rId212" display="https://www.worldgenweb.org/lkawgw/tamil-brahmi.htm"/>
    <hyperlink ref="N214" r:id="rId213" display="https://amazinglanka.com/wp/jaffna/"/>
    <hyperlink ref="N215" r:id="rId214" display="https://amazinglanka.com/wp/tikali/"/>
    <hyperlink ref="N216" r:id="rId215" display="https://amazinglanka.com/wp/manniththalai-settlements/"/>
    <hyperlink ref="N217" r:id="rId216" display="https://amazinglanka.com/wp/vanni-bandara-en/"/>
    <hyperlink ref="N218" r:id="rId217" display="https://www.ezhunaonline.com/history-and-culture-of-srilankan-tamils-part-3/"/>
    <hyperlink ref="N219" r:id="rId218" display="https://www.ezhunaonline.com/article/brahmin-and-brahmatheya-in-sri-lankan-tamil-inscriptions/"/>
    <hyperlink ref="N220" r:id="rId219" display="https://www.ezhunaonline.com/sangam-age-in-sri-lankan-brahmic-inscriptions/"/>
    <hyperlink ref="N221" r:id="rId220" display="https://www.ezhunaonline.com/how-kannagi-worship-entered-sri-lanka/"/>
    <hyperlink ref="N222" r:id="rId221" display="https://www.ezhunaonline.com/the-kallanchiya-rock-inscription-tells-of-king-nagan/"/>
    <hyperlink ref="N223" r:id="rId222" display="https://www.ezhunaonline.com/the-archaeological-value-of-cheddikulam/"/>
    <hyperlink ref="N224" r:id="rId223" display="https://www.ezhunaonline.com/folk-religion-and-hinduism/"/>
    <hyperlink ref="N225" r:id="rId224" display="https://www.ezhunaonline.com/kanaki-worship-in-ancient-tamil-culture/"/>
    <hyperlink ref="N226" r:id="rId225" display="https://www.ezhunaonline.com/article/brahmi-script-and-early-literacy/"/>
    <hyperlink ref="N227" r:id="rId226" display="https://www.ezhunaonline.com/compilation/buddhism-and-tamils-during-megalith-of-srilanka/"/>
    <hyperlink ref="N228" r:id="rId227" display="https://www.ezhunaonline.com/history-of-ariya-kulam-jaffna/"/>
    <hyperlink ref="N229" r:id="rId228" display="https://www.ezhunaonline.com/tamil-rasathani-in-vanni-kurundankula-temple/"/>
    <hyperlink ref="N230" r:id="rId229" display="https://www.ezhunaonline.com/jaffna-fort/"/>
    <hyperlink ref="N231" r:id="rId230" display="https://www.ezhunaonline.com/velana-palaeolithic-culture-at-chatti/"/>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3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80"/>
    <col collapsed="false" customWidth="true" hidden="false" outlineLevel="0" max="3" min="3" style="0" width="50"/>
  </cols>
  <sheetData>
    <row r="1" customFormat="false" ht="15" hidden="false" customHeight="false" outlineLevel="0" collapsed="false">
      <c r="A1" s="15" t="s">
        <v>1452</v>
      </c>
      <c r="B1" s="15" t="s">
        <v>1453</v>
      </c>
      <c r="C1" s="15" t="s">
        <v>39</v>
      </c>
    </row>
    <row r="2" customFormat="false" ht="15" hidden="false" customHeight="false" outlineLevel="0" collapsed="false">
      <c r="A2" s="16" t="s">
        <v>227</v>
      </c>
      <c r="B2" s="17" t="s">
        <v>1454</v>
      </c>
      <c r="C2" s="18" t="s">
        <v>1455</v>
      </c>
    </row>
    <row r="3" customFormat="false" ht="23.85" hidden="false" customHeight="false" outlineLevel="0" collapsed="false">
      <c r="A3" s="16" t="s">
        <v>771</v>
      </c>
      <c r="B3" s="17" t="s">
        <v>1456</v>
      </c>
      <c r="C3" s="18" t="s">
        <v>1457</v>
      </c>
    </row>
    <row r="4" customFormat="false" ht="23.85" hidden="false" customHeight="false" outlineLevel="0" collapsed="false">
      <c r="A4" s="16" t="s">
        <v>1458</v>
      </c>
      <c r="B4" s="17" t="s">
        <v>1459</v>
      </c>
      <c r="C4" s="18" t="s">
        <v>1460</v>
      </c>
    </row>
    <row r="5" customFormat="false" ht="23.85" hidden="false" customHeight="false" outlineLevel="0" collapsed="false">
      <c r="A5" s="16" t="s">
        <v>1461</v>
      </c>
      <c r="B5" s="17" t="s">
        <v>1462</v>
      </c>
      <c r="C5" s="18" t="s">
        <v>97</v>
      </c>
    </row>
    <row r="6" customFormat="false" ht="23.85" hidden="false" customHeight="false" outlineLevel="0" collapsed="false">
      <c r="A6" s="16" t="s">
        <v>1463</v>
      </c>
      <c r="B6" s="17" t="s">
        <v>1464</v>
      </c>
      <c r="C6" s="18" t="s">
        <v>1465</v>
      </c>
    </row>
    <row r="7" customFormat="false" ht="15" hidden="false" customHeight="false" outlineLevel="0" collapsed="false">
      <c r="A7" s="16" t="s">
        <v>1466</v>
      </c>
      <c r="B7" s="17" t="s">
        <v>1467</v>
      </c>
      <c r="C7" s="18" t="s">
        <v>1468</v>
      </c>
    </row>
    <row r="8" customFormat="false" ht="23.85" hidden="false" customHeight="false" outlineLevel="0" collapsed="false">
      <c r="A8" s="16" t="s">
        <v>1469</v>
      </c>
      <c r="B8" s="17" t="s">
        <v>1470</v>
      </c>
      <c r="C8" s="18" t="s">
        <v>1471</v>
      </c>
    </row>
    <row r="9" customFormat="false" ht="23.85" hidden="false" customHeight="false" outlineLevel="0" collapsed="false">
      <c r="A9" s="16" t="s">
        <v>1472</v>
      </c>
      <c r="B9" s="17" t="s">
        <v>1473</v>
      </c>
      <c r="C9" s="18" t="s">
        <v>1474</v>
      </c>
    </row>
    <row r="10" customFormat="false" ht="15" hidden="false" customHeight="false" outlineLevel="0" collapsed="false">
      <c r="A10" s="16" t="s">
        <v>1475</v>
      </c>
      <c r="B10" s="17" t="s">
        <v>1476</v>
      </c>
      <c r="C10" s="18" t="s">
        <v>224</v>
      </c>
    </row>
    <row r="11" customFormat="false" ht="15" hidden="false" customHeight="false" outlineLevel="0" collapsed="false">
      <c r="A11" s="16"/>
      <c r="B11" s="17"/>
      <c r="C11" s="17"/>
    </row>
    <row r="12" customFormat="false" ht="35.05" hidden="false" customHeight="false" outlineLevel="0" collapsed="false">
      <c r="A12" s="16" t="s">
        <v>1477</v>
      </c>
      <c r="B12" s="17" t="s">
        <v>1478</v>
      </c>
      <c r="C12" s="17"/>
    </row>
    <row r="13" customFormat="false" ht="23.85" hidden="false" customHeight="false" outlineLevel="0" collapsed="false">
      <c r="A13" s="16" t="s">
        <v>1479</v>
      </c>
      <c r="B13" s="17" t="s">
        <v>1480</v>
      </c>
      <c r="C13" s="17"/>
    </row>
    <row r="14" customFormat="false" ht="23.85" hidden="false" customHeight="false" outlineLevel="0" collapsed="false">
      <c r="A14" s="16" t="s">
        <v>1481</v>
      </c>
      <c r="B14" s="17" t="s">
        <v>1482</v>
      </c>
      <c r="C14" s="17"/>
    </row>
  </sheetData>
  <hyperlinks>
    <hyperlink ref="C2" r:id="rId1" display="https://noolaham.org"/>
    <hyperlink ref="C3" r:id="rId2" display="https://www.ezhunaonline.com"/>
    <hyperlink ref="C4" r:id="rId3" display="https://www.his.jfn.ac.lk"/>
    <hyperlink ref="C5" r:id="rId4" display="https://jfn.ac.lk/prof-s-pathmanathan/"/>
    <hyperlink ref="C6" r:id="rId5" display="https://rer.jfn.ac.lk"/>
    <hyperlink ref="C7" r:id="rId6" display="https://www.tamilnet.com"/>
    <hyperlink ref="C8" r:id="rId7" display="https://www.virakesari.lk"/>
    <hyperlink ref="C9" r:id="rId8" display="https://www.sundaytimes.lk"/>
    <hyperlink ref="C10" r:id="rId9" display="https://www.lankapradeepa.com/2020/04/tamil-inscriptions-in-sri-lanka_16.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2026-10-14T07:18:53Z</dcterms:created>
  <dc:creator>openpyxl</dc:creator>
  <dc:description/>
  <dc:language>en-US</dc:language>
  <cp:lastModifiedBy/>
  <dcterms:modified xsi:type="dcterms:W3CDTF">2026-10-14T07:18:53Z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