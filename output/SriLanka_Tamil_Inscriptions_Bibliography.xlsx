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ooks" sheetId="2" state="visible" r:id="rId2"/>
    <sheet name="Research Papers" sheetId="3" state="visible" r:id="rId3"/>
    <sheet name="Newspaper Articles" sheetId="4" state="visible" r:id="rId4"/>
    <sheet name="Magazines &amp; Journals" sheetId="5" state="visible" r:id="rId5"/>
    <sheet name="Web Articles" sheetId="6" state="visible" r:id="rId6"/>
    <sheet name="All Records" sheetId="7" state="visible" r:id="rId7"/>
    <sheet name="Sources &amp; Method" sheetId="8" state="visible" r:id="rId8"/>
  </sheets>
  <definedNames>
    <definedName name="_xlnm._FilterDatabase" localSheetId="1" hidden="1">'Books'!$A$1:$M$48</definedName>
    <definedName name="_xlnm._FilterDatabase" localSheetId="2" hidden="1">'Research Papers'!$A$1:$M$157</definedName>
    <definedName name="_xlnm._FilterDatabase" localSheetId="3" hidden="1">'Newspaper Articles'!$A$1:$M$72</definedName>
    <definedName name="_xlnm._FilterDatabase" localSheetId="4" hidden="1">'Magazines &amp; Journals'!$A$1:$M$110</definedName>
    <definedName name="_xlnm._FilterDatabase" localSheetId="5" hidden="1">'Web Articles'!$A$1:$M$82</definedName>
    <definedName name="_xlnm._FilterDatabase" localSheetId="6" hidden="1">'All Records'!$A$1:$N$465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b val="1"/>
      <color rgb="001F4E5F"/>
      <sz val="14"/>
    </font>
    <font>
      <name val="Arial"/>
      <b val="1"/>
      <sz val="10"/>
    </font>
    <font>
      <name val="Arial"/>
      <i val="1"/>
      <sz val="9"/>
    </font>
  </fonts>
  <fills count="4">
    <fill>
      <patternFill/>
    </fill>
    <fill>
      <patternFill patternType="gray125"/>
    </fill>
    <fill>
      <patternFill patternType="solid">
        <fgColor rgb="001F4E5F"/>
      </patternFill>
    </fill>
    <fill>
      <patternFill patternType="solid">
        <fgColor rgb="00F3F7F9"/>
      </patternFill>
    </fill>
  </fills>
  <borders count="2">
    <border>
      <left/>
      <right/>
      <top/>
      <bottom/>
      <diagonal/>
    </border>
    <border>
      <bottom style="thin">
        <color rgb="00D0D7DE"/>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49"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0" borderId="1" applyAlignment="1" pivotButton="0" quotePrefix="0" xfId="0">
      <alignment vertical="top"/>
    </xf>
    <xf numFmtId="49"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1" fillId="2"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7302/kshl2567" TargetMode="External" Id="rId1" /><Relationship Type="http://schemas.openxmlformats.org/officeDocument/2006/relationships/hyperlink" Target="https://www.tamilguardian.com/content/prof-pathmanathans-new-book-sheds-light-early-jaffna-civilisation" TargetMode="External" Id="rId2" /><Relationship Type="http://schemas.openxmlformats.org/officeDocument/2006/relationships/hyperlink" Target="https://www.ezhunaonline.com/books/tamils-in-the-inscriptions-of-brahmi-and-sinhala/" TargetMode="External" Id="rId3" /><Relationship Type="http://schemas.openxmlformats.org/officeDocument/2006/relationships/hyperlink" Target="https://en.wikipedia.org/wiki/K._Indrapala" TargetMode="External" Id="rId4" /><Relationship Type="http://schemas.openxmlformats.org/officeDocument/2006/relationships/hyperlink" Target="https://noolaham.org/wiki/index.php/&#2951;&#2994;&#2969;&#3021;&#2965;&#3016;&#2980;&#3021;_&#2980;&#2990;&#3007;&#2996;&#2992;&#3021;:_&#2962;&#2992;&#3009;_&#2970;&#3009;&#2992;&#3009;&#2965;&#3021;&#2965;_&#2997;&#2992;&#2994;&#3006;&#2993;&#3009;" TargetMode="External" Id="rId5" /><Relationship Type="http://schemas.openxmlformats.org/officeDocument/2006/relationships/hyperlink" Target="https://noolaham.org/wiki/index.php/&#2952;&#2996;&#2980;&#3021;_&#2980;&#2990;&#3007;&#2996;&#2992;&#3021;_&#2990;&#2992;&#2986;&#3009;&#2992;&#3007;&#2990;&#3016;_&#2949;&#2975;&#3016;&#2991;&#3006;&#2995;&#2969;&#3021;&#2965;&#2995;&#3021;" TargetMode="External" Id="rId6" /><Relationship Type="http://schemas.openxmlformats.org/officeDocument/2006/relationships/hyperlink" Target="https://noolaham.net/project/810/80954/80954.pdf" TargetMode="External" Id="rId7" /><Relationship Type="http://schemas.openxmlformats.org/officeDocument/2006/relationships/hyperlink" Target="https://www.his.jfn.ac.lk/index.php/profkarunthavarajah/" TargetMode="External" Id="rId8" /><Relationship Type="http://schemas.openxmlformats.org/officeDocument/2006/relationships/hyperlink" Target="https://noolaham.org/wiki/index.php/&#2951;&#2994;&#2969;&#3021;&#2965;&#3016;&#2991;&#3007;&#2994;&#3021;_&#2980;&#2990;&#3007;&#2996;&#2992;&#3021;:_&#2963;&#2992;&#3021;_&#2951;&#2985;&#2965;&#3021;&#2965;&#3009;&#2996;&#3009;_&#2950;&#2965;&#3021;&#2965;&#2990;&#3021;_&#2986;&#3014;&#2993;&#3021;&#2993;_&#2997;&#2992;&#2994;&#3006;&#2993;&#3009;" TargetMode="External" Id="rId9" /><Relationship Type="http://schemas.openxmlformats.org/officeDocument/2006/relationships/hyperlink" Target="https://noolaham.org/wiki/index.php/&#2984;&#2994;&#3021;&#2994;&#3010;&#2992;&#3021;_&#2951;&#2992;&#3006;&#2972;&#2980;&#3006;&#2985;&#3007;&#2991;&#3009;&#2990;&#3021;_&#2991;&#3006;&#2996;&#3021;&#2986;&#3021;&#2986;&#3006;&#2979;&#2965;&#3021;_&#2965;&#3019;&#2975;&#3021;&#2975;&#3016;&#2991;&#3009;&#2990;&#3021;_-_&#2990;&#3008;&#2995;&#3021;&#2997;&#3006;&#2970;&#3007;&#2986;&#3021;&#2986;&#3009;" TargetMode="External" Id="rId10" /><Relationship Type="http://schemas.openxmlformats.org/officeDocument/2006/relationships/hyperlink" Target="https://www.his.jfn.ac.lk/index.php/profkarunthavarajah/" TargetMode="External" Id="rId11" /><Relationship Type="http://schemas.openxmlformats.org/officeDocument/2006/relationships/hyperlink" Target="https://opac.busl.ac.lk/bib/14671" TargetMode="External" Id="rId12" /><Relationship Type="http://schemas.openxmlformats.org/officeDocument/2006/relationships/hyperlink" Target="https://www.sundaytimes.lk/080504/Plus/plus000025.html" TargetMode="External" Id="rId13" /><Relationship Type="http://schemas.openxmlformats.org/officeDocument/2006/relationships/hyperlink" Target="https://jfn.ac.lk/prof-s-pathmanathan/" TargetMode="External" Id="rId14" /><Relationship Type="http://schemas.openxmlformats.org/officeDocument/2006/relationships/hyperlink" Target="https://en.wikipedia.org/wiki/S._Pathmanathan" TargetMode="External" Id="rId15" /><Relationship Type="http://schemas.openxmlformats.org/officeDocument/2006/relationships/hyperlink" Target="https://jfn.ac.lk/prof-s-pathmanathan/" TargetMode="External" Id="rId16" /><Relationship Type="http://schemas.openxmlformats.org/officeDocument/2006/relationships/hyperlink" Target="https://en.wikipedia.org/wiki/K._Indrapala" TargetMode="External" Id="rId17" /><Relationship Type="http://schemas.openxmlformats.org/officeDocument/2006/relationships/hyperlink" Target="https://unioncatalogue.dlp.gov.lk/Record/batt.35119/Similar" TargetMode="External" Id="rId18" /><Relationship Type="http://schemas.openxmlformats.org/officeDocument/2006/relationships/hyperlink" Target="https://jfn.ac.lk/prof-s-pathmanathan/" TargetMode="External" Id="rId19" /><Relationship Type="http://schemas.openxmlformats.org/officeDocument/2006/relationships/hyperlink" Target="https://en.wikipedia.org/wiki/S._Pathmanathan" TargetMode="External" Id="rId20" /><Relationship Type="http://schemas.openxmlformats.org/officeDocument/2006/relationships/hyperlink" Target="https://noolaham.org/wiki/index.php/&#2980;&#2990;&#3007;&#2996;&#3021;_&#2958;&#2996;&#3009;&#2980;&#3021;&#2980;&#3007;&#2985;&#3021;_&#2980;&#3019;&#2993;&#3021;&#2993;&#2990;&#3021;" TargetMode="External" Id="rId21" /><Relationship Type="http://schemas.openxmlformats.org/officeDocument/2006/relationships/hyperlink" Target="https://vedamsbooks.com/books/early_tamil_epigraphy_from_the_earliest_times_to_the_sixth_century_c_e_volume_1_tamil_brahmi_inscriptions" TargetMode="External" Id="rId22" /><Relationship Type="http://schemas.openxmlformats.org/officeDocument/2006/relationships/hyperlink" Target="https://jfn.ac.lk/prof-s-pathmanathan/" TargetMode="External" Id="rId23" /><Relationship Type="http://schemas.openxmlformats.org/officeDocument/2006/relationships/hyperlink" Target="https://noolaham.org/wiki/index.php/&#2980;&#3018;&#2994;&#3021;&#2994;&#3007;&#2991;&#2994;&#3021;_&#2984;&#3019;&#2965;&#3021;&#2965;&#3007;&#2994;&#3021;_&#2951;&#2994;&#2969;&#3021;&#2965;&#3016;&#2980;&#3021;_&#2980;&#2990;&#3007;&#2996;&#2992;&#3021;_&#2986;&#2979;&#3021;&#2986;&#3006;&#2975;&#3009;" TargetMode="External" Id="rId24" /><Relationship Type="http://schemas.openxmlformats.org/officeDocument/2006/relationships/hyperlink" Target="https://mannar.dlp.gov.lk/bib/9820" TargetMode="External" Id="rId25" /><Relationship Type="http://schemas.openxmlformats.org/officeDocument/2006/relationships/hyperlink" Target="https://noolaham.org/wiki/index.php/Naka_Dynasty_as_Gleaned_from_the_Archaeological_Evidences_in_Sri_Lanka" TargetMode="External" Id="rId26" /><Relationship Type="http://schemas.openxmlformats.org/officeDocument/2006/relationships/hyperlink" Target="https://noolaham.org/wiki/index.php/&#2980;&#3018;&#2994;&#3021;&#2994;&#3007;&#2991;&#2994;&#3021;_&#2984;&#3019;&#2965;&#3021;&#2965;&#3007;&#2994;&#3021;_&#2952;&#2996;&#2980;&#3021;&#2980;&#2990;&#3007;&#2996;&#2992;&#3007;&#2985;&#3021;_&#2986;&#2979;&#3021;&#2975;&#3016;&#2991;&#2965;&#3006;&#2994;_&#2990;&#2980;&#2990;&#3009;&#2990;&#3021;_&#2965;&#2994;&#3016;&#2991;&#3009;&#2990;&#3021;" TargetMode="External" Id="rId27" /><Relationship Type="http://schemas.openxmlformats.org/officeDocument/2006/relationships/hyperlink" Target="https://en.wikipedia.org/wiki/S._Pathmanathan" TargetMode="External" Id="rId28" /><Relationship Type="http://schemas.openxmlformats.org/officeDocument/2006/relationships/hyperlink" Target="https://noolaham.org/wiki/index.php/&#2951;&#2994;&#2969;&#3021;&#2965;&#3016;&#2980;&#3021;_&#2980;&#2990;&#3007;&#2996;&#2992;&#3007;&#2985;&#3021;_&#2986;&#2979;&#3021;&#2975;&#3016;&#2991;_&#2965;&#3006;&#2994;_&#2984;&#3006;&#2979;&#2991;&#2969;&#3021;&#2965;&#2995;&#3021;" TargetMode="External" Id="rId29" /><Relationship Type="http://schemas.openxmlformats.org/officeDocument/2006/relationships/hyperlink" Target="https://noolaham.org/wiki/index.php/&#2986;&#2979;&#3021;&#2975;&#3016;&#2991;_&#2951;&#2994;&#2969;&#3021;&#2965;&#3016;&#2991;&#3007;&#2994;&#3021;_&#2980;&#2990;&#3007;&#2996;&#3009;&#2990;&#3021;_&#2980;&#2990;&#3007;&#2996;&#2992;&#3009;&#2990;&#3021;" TargetMode="External" Id="rId30" /><Relationship Type="http://schemas.openxmlformats.org/officeDocument/2006/relationships/hyperlink" Target="https://jfn.ac.lk/prof-s-pathmanathan/" TargetMode="External" Id="rId31" /><Relationship Type="http://schemas.openxmlformats.org/officeDocument/2006/relationships/hyperlink" Target="https://jfn.ac.lk/prof-s-pathmanathan/" TargetMode="External" Id="rId32" /><Relationship Type="http://schemas.openxmlformats.org/officeDocument/2006/relationships/hyperlink" Target="https://www.sundaytimes.lk/000423/plus3.html" TargetMode="External" Id="rId33" /><Relationship Type="http://schemas.openxmlformats.org/officeDocument/2006/relationships/hyperlink" Target="https://unioncatalogue.dlp.gov.lk/Record/poin.4050/Description" TargetMode="External" Id="rId34" /><Relationship Type="http://schemas.openxmlformats.org/officeDocument/2006/relationships/hyperlink" Target="https://noolaham.org/wiki/index.php/Epigraphia_Zeylanica_3" TargetMode="External" Id="rId35" /><Relationship Type="http://schemas.openxmlformats.org/officeDocument/2006/relationships/hyperlink" Target="https://noolaham.org/wiki/index.php/%E0%AE%95%E0%AF%8B%E0%AE%A3%E0%AF%87%E0%AE%9A%E0%AE%B0%E0%AF%8D_%E0%AE%95%E0%AE%B2%E0%AF%8D%E0%AE%B5%E0%AF%86%E0%AE%9F%E0%AF%8D%E0%AE%9F%E0%AF%81" TargetMode="External" Id="rId36" /><Relationship Type="http://schemas.openxmlformats.org/officeDocument/2006/relationships/hyperlink" Target="https://noolaham.org/wiki/index.php/%E0%AE%AA%E0%AF%82%E0%AE%A8%E0%AE%95%E0%AE%B0%E0%AE%BF_%E0%AE%A4%E0%AF%8A%E0%AE%B2%E0%AF%8D%E0%AE%AA%E0%AF%8A%E0%AE%B0%E0%AF%81%E0%AE%B3%E0%AE%BE%E0%AE%AF%E0%AF%8D%E0%AE%B5%E0%AF%81" TargetMode="External" Id="rId37" /><Relationship Type="http://schemas.openxmlformats.org/officeDocument/2006/relationships/hyperlink" Target="https://noolaham.org/wiki/index.php/&#2997;&#2975;_&#2951;&#2994;&#2969;&#3021;&#2965;&#3016;&#2991;&#3007;&#2994;&#3021;_&#2970;&#3007;&#2969;&#3021;&#2965;&#3016;&#2984;&#2965;&#2992;&#3021;" TargetMode="External" Id="rId38" /><Relationship Type="http://schemas.openxmlformats.org/officeDocument/2006/relationships/hyperlink" Target="https://noolaham.org/wiki/index.php/&#2980;&#2990;&#3007;&#2996;&#2992;&#3021;_&#2997;&#2992;&#2994;&#3006;&#2993;&#3009;&#2990;&#3021;_&#2951;&#2994;&#2969;&#3021;&#2965;&#3016;_&#2951;&#2975;&#2986;&#3021;&#2986;&#3014;&#2991;&#2992;&#3021;_&#2950;&#2991;&#3021;&#2997;&#3009;&#2990;&#3021;" TargetMode="External" Id="rId39" /><Relationship Type="http://schemas.openxmlformats.org/officeDocument/2006/relationships/hyperlink" Target="https://noolaham.net/project/18/1733/1733.html" TargetMode="External" Id="rId40" /><Relationship Type="http://schemas.openxmlformats.org/officeDocument/2006/relationships/hyperlink" Target="https://find.library.upenn.edu/catalog/997779313503681" TargetMode="External" Id="rId41" /><Relationship Type="http://schemas.openxmlformats.org/officeDocument/2006/relationships/hyperlink" Target="https://www.lankapradeepa.com/2020/04/tamil-inscriptions-in-sri-lanka_16.html" TargetMode="External" Id="rId42" /><Relationship Type="http://schemas.openxmlformats.org/officeDocument/2006/relationships/hyperlink" Target="https://noolaham.net/project/977/97628/97628.pdf" TargetMode="External" Id="rId43" /><Relationship Type="http://schemas.openxmlformats.org/officeDocument/2006/relationships/hyperlink" Target="https://noolaham.net/project/1316/131542/131542.pdf" TargetMode="External" Id="rId44" /><Relationship Type="http://schemas.openxmlformats.org/officeDocument/2006/relationships/hyperlink" Target="https://noolaham.org/wiki/index.php/Tamil_Place_Names_as_Gleaned_from_the_Brahmi_Inscriptions_of_Sri_Lanka" TargetMode="External" Id="rId45" /><Relationship Type="http://schemas.openxmlformats.org/officeDocument/2006/relationships/hyperlink" Target="http://lib.vau.jfn.ac.lk/cgi-bin/koha/opac-detail.pl?biblionumber=44042&amp;shelfbrowse_itemnumber=55269" TargetMode="External" Id="rId46" /><Relationship Type="http://schemas.openxmlformats.org/officeDocument/2006/relationships/hyperlink" Target="https://noolaham.org/wiki/index.php/&#2986;&#2965;&#3009;&#2986;&#3021;&#2986;&#3009;:&#2986;&#3009;&#2999;&#3021;&#2986;&#2992;&#2975;&#3021;&#2979;&#2990;&#3021;,_&#2986;&#2992;&#2990;&#3009;" TargetMode="External" Id="rId47" /></Relationships>
</file>

<file path=xl/worksheets/_rels/sheet3.xml.rels><Relationships xmlns="http://schemas.openxmlformats.org/package/2006/relationships"><Relationship Type="http://schemas.openxmlformats.org/officeDocument/2006/relationships/hyperlink" Target="https://www.his.jfn.ac.lk/index.php/__trashed/" TargetMode="External" Id="rId1" /><Relationship Type="http://schemas.openxmlformats.org/officeDocument/2006/relationships/hyperlink" Target="https://doi.org/10.18535/sshj.v10i08.2489" TargetMode="External" Id="rId2" /><Relationship Type="http://schemas.openxmlformats.org/officeDocument/2006/relationships/hyperlink" Target="https://doi.org/10.2139/ssrn.6422478" TargetMode="External" Id="rId3" /><Relationship Type="http://schemas.openxmlformats.org/officeDocument/2006/relationships/hyperlink" Target="https://doi.org/10.48336/247" TargetMode="External" Id="rId4" /><Relationship Type="http://schemas.openxmlformats.org/officeDocument/2006/relationships/hyperlink" Target="https://doi.org/10.1080/15564894.2026.2624853" TargetMode="External" Id="rId5" /><Relationship Type="http://schemas.openxmlformats.org/officeDocument/2006/relationships/hyperlink" Target="https://doi.org/10.1016/j.quaint.2026.110251" TargetMode="External" Id="rId6" /><Relationship Type="http://schemas.openxmlformats.org/officeDocument/2006/relationships/hyperlink" Target="https://doi.org/10.32381/sear.2025.50.9" TargetMode="External" Id="rId7" /><Relationship Type="http://schemas.openxmlformats.org/officeDocument/2006/relationships/hyperlink" Target="https://doi.org/10.4038/kjms.v8i1.183" TargetMode="External" Id="rId8" /><Relationship Type="http://schemas.openxmlformats.org/officeDocument/2006/relationships/hyperlink" Target="https://doi.org/10.4038/p.v16i1.58" TargetMode="External" Id="rId9" /><Relationship Type="http://schemas.openxmlformats.org/officeDocument/2006/relationships/hyperlink" Target="https://doi.org/10.1007/s41636-026-00636-0" TargetMode="External" Id="rId10" /><Relationship Type="http://schemas.openxmlformats.org/officeDocument/2006/relationships/hyperlink" Target="https://doi.org/10.5281/zenodo.22870959" TargetMode="External" Id="rId11" /><Relationship Type="http://schemas.openxmlformats.org/officeDocument/2006/relationships/hyperlink" Target="https://fhss.niibs.lk/wp-content/uploads/2025/02/Investigation-of-Ancient-Pre-colonial-Monuments-in-Jaffna-Sri-Lanka.pdf" TargetMode="External" Id="rId12" /><Relationship Type="http://schemas.openxmlformats.org/officeDocument/2006/relationships/hyperlink" Target="https://www.his.jfn.ac.lk/index.php/__trashed/" TargetMode="External" Id="rId13" /><Relationship Type="http://schemas.openxmlformats.org/officeDocument/2006/relationships/hyperlink" Target="https://www.his.jfn.ac.lk/index.php/mrs-ajiththa-suganthan/" TargetMode="External" Id="rId14" /><Relationship Type="http://schemas.openxmlformats.org/officeDocument/2006/relationships/hyperlink" Target="https://doi.org/10.4038/p.v15i2.21" TargetMode="External" Id="rId15" /><Relationship Type="http://schemas.openxmlformats.org/officeDocument/2006/relationships/hyperlink" Target="https://doi.org/10.51767/jha0308" TargetMode="External" Id="rId16" /><Relationship Type="http://schemas.openxmlformats.org/officeDocument/2006/relationships/hyperlink" Target="https://doi.org/10.15613/hijrh/2025/v12i1/52698" TargetMode="External" Id="rId17" /><Relationship Type="http://schemas.openxmlformats.org/officeDocument/2006/relationships/hyperlink" Target="https://doi.org/10.64920/drc2025027" TargetMode="External" Id="rId18" /><Relationship Type="http://schemas.openxmlformats.org/officeDocument/2006/relationships/hyperlink" Target="https://nijhss.niibs.lk/download/?id=52" TargetMode="External" Id="rId19" /><Relationship Type="http://schemas.openxmlformats.org/officeDocument/2006/relationships/hyperlink" Target="https://doi.org/10.66142/crisia.2025.06" TargetMode="External" Id="rId20" /><Relationship Type="http://schemas.openxmlformats.org/officeDocument/2006/relationships/hyperlink" Target="https://doi.org/10.29173/anlk856" TargetMode="External" Id="rId21" /><Relationship Type="http://schemas.openxmlformats.org/officeDocument/2006/relationships/hyperlink" Target="https://doi.org/10.29173/anlk872" TargetMode="External" Id="rId22" /><Relationship Type="http://schemas.openxmlformats.org/officeDocument/2006/relationships/hyperlink" Target="https://doi.org/10.29173/anlk858" TargetMode="External" Id="rId23" /><Relationship Type="http://schemas.openxmlformats.org/officeDocument/2006/relationships/hyperlink" Target="https://doi.org/10.22452/jtp.vol14no2.12" TargetMode="External" Id="rId24" /><Relationship Type="http://schemas.openxmlformats.org/officeDocument/2006/relationships/hyperlink" Target="https://www.his.jfn.ac.lk/index.php/mrs-ajiththa-suganthan/" TargetMode="External" Id="rId25" /><Relationship Type="http://schemas.openxmlformats.org/officeDocument/2006/relationships/hyperlink" Target="https://www.his.jfn.ac.lk/index.php/__trashed/" TargetMode="External" Id="rId26" /><Relationship Type="http://schemas.openxmlformats.org/officeDocument/2006/relationships/hyperlink" Target="https://doi.org/10.1111/aman.13949" TargetMode="External" Id="rId27" /><Relationship Type="http://schemas.openxmlformats.org/officeDocument/2006/relationships/hyperlink" Target="https://doi.org/10.4314/ijma.v3i21.3" TargetMode="External" Id="rId28" /><Relationship Type="http://schemas.openxmlformats.org/officeDocument/2006/relationships/hyperlink" Target="https://doi.org/10.29173/anlk817" TargetMode="External" Id="rId29" /><Relationship Type="http://schemas.openxmlformats.org/officeDocument/2006/relationships/hyperlink" Target="https://doi.org/10.29173/anlk838" TargetMode="External" Id="rId30" /><Relationship Type="http://schemas.openxmlformats.org/officeDocument/2006/relationships/hyperlink" Target="https://www.his.jfn.ac.lk/index.php/__trashed/" TargetMode="External" Id="rId31" /><Relationship Type="http://schemas.openxmlformats.org/officeDocument/2006/relationships/hyperlink" Target="https://www.his.jfn.ac.lk/index.php/ms-mahalingam-ushanthy/" TargetMode="External" Id="rId32" /><Relationship Type="http://schemas.openxmlformats.org/officeDocument/2006/relationships/hyperlink" Target="https://www.his.jfn.ac.lk/index.php/mrs-ajiththa-suganthan/" TargetMode="External" Id="rId33" /><Relationship Type="http://schemas.openxmlformats.org/officeDocument/2006/relationships/hyperlink" Target="https://www.his.jfn.ac.lk/?p=1706" TargetMode="External" Id="rId34" /><Relationship Type="http://schemas.openxmlformats.org/officeDocument/2006/relationships/hyperlink" Target="https://www.his.jfn.ac.lk/index.php/mrs-ajiththa-suganthan/" TargetMode="External" Id="rId35" /><Relationship Type="http://schemas.openxmlformats.org/officeDocument/2006/relationships/hyperlink" Target="https://www.his.jfn.ac.lk/index.php/__trashed/" TargetMode="External" Id="rId36" /><Relationship Type="http://schemas.openxmlformats.org/officeDocument/2006/relationships/hyperlink" Target="https://www.his.jfn.ac.lk/index.php/__trashed/" TargetMode="External" Id="rId37" /><Relationship Type="http://schemas.openxmlformats.org/officeDocument/2006/relationships/hyperlink" Target="https://www.his.jfn.ac.lk/index.php/__trashed/" TargetMode="External" Id="rId38" /><Relationship Type="http://schemas.openxmlformats.org/officeDocument/2006/relationships/hyperlink" Target="https://shanlaxjournals.in/journals/index.php/tamil/article/view/6193" TargetMode="External" Id="rId39" /><Relationship Type="http://schemas.openxmlformats.org/officeDocument/2006/relationships/hyperlink" Target="https://doi.org/10.34293/tamil.v7i4.6183" TargetMode="External" Id="rId40" /><Relationship Type="http://schemas.openxmlformats.org/officeDocument/2006/relationships/hyperlink" Target="https://doi.org/10.52567/pjsr.v5i02.1343" TargetMode="External" Id="rId41" /><Relationship Type="http://schemas.openxmlformats.org/officeDocument/2006/relationships/hyperlink" Target="https://doi.org/10.22452/jtp.vol12no2.10" TargetMode="External" Id="rId42" /><Relationship Type="http://schemas.openxmlformats.org/officeDocument/2006/relationships/hyperlink" Target="https://doi.org/10.4038/tjata.v4i1.91" TargetMode="External" Id="rId43" /><Relationship Type="http://schemas.openxmlformats.org/officeDocument/2006/relationships/hyperlink" Target="https://archaeology.gov.lk/media/attachments/2022/09/07/ac27updated.pdf" TargetMode="External" Id="rId44" /><Relationship Type="http://schemas.openxmlformats.org/officeDocument/2006/relationships/hyperlink" Target="https://www.his.jfn.ac.lk/?p=791" TargetMode="External" Id="rId45" /><Relationship Type="http://schemas.openxmlformats.org/officeDocument/2006/relationships/hyperlink" Target="https://www.his.jfn.ac.lk/index.php/mrs-ajiththa-suganthan/" TargetMode="External" Id="rId46" /><Relationship Type="http://schemas.openxmlformats.org/officeDocument/2006/relationships/hyperlink" Target="https://www.his.jfn.ac.lk/?p=1706" TargetMode="External" Id="rId47" /><Relationship Type="http://schemas.openxmlformats.org/officeDocument/2006/relationships/hyperlink" Target="https://doi.org/10.47509/jhaa.2022.v02i01.06" TargetMode="External" Id="rId48" /><Relationship Type="http://schemas.openxmlformats.org/officeDocument/2006/relationships/hyperlink" Target="https://doi.org/10.4324/9781003276753-9" TargetMode="External" Id="rId49" /><Relationship Type="http://schemas.openxmlformats.org/officeDocument/2006/relationships/hyperlink" Target="https://doi.org/10.17501/26510243.2021.2101" TargetMode="External" Id="rId50" /><Relationship Type="http://schemas.openxmlformats.org/officeDocument/2006/relationships/hyperlink" Target="https://doi.org/10.54392/ijot2236" TargetMode="External" Id="rId51" /><Relationship Type="http://schemas.openxmlformats.org/officeDocument/2006/relationships/hyperlink" Target="https://ir.lib.shimane-u.ac.jp/54548" TargetMode="External" Id="rId52" /><Relationship Type="http://schemas.openxmlformats.org/officeDocument/2006/relationships/hyperlink" Target="https://mrujs.mtroyal.ca/index.php/anlk/article/view/634" TargetMode="External" Id="rId53" /><Relationship Type="http://schemas.openxmlformats.org/officeDocument/2006/relationships/hyperlink" Target="https://doi.org/10.29173/anlk655" TargetMode="External" Id="rId54" /><Relationship Type="http://schemas.openxmlformats.org/officeDocument/2006/relationships/hyperlink" Target="https://doi.org/10.29173/anlk635" TargetMode="External" Id="rId55" /><Relationship Type="http://schemas.openxmlformats.org/officeDocument/2006/relationships/hyperlink" Target="https://doi.org/10.29173/anlk658" TargetMode="External" Id="rId56" /><Relationship Type="http://schemas.openxmlformats.org/officeDocument/2006/relationships/hyperlink" Target="https://www.his.jfn.ac.lk/index.php/mrs-s-arulanantham/" TargetMode="External" Id="rId57" /><Relationship Type="http://schemas.openxmlformats.org/officeDocument/2006/relationships/hyperlink" Target="https://www.his.jfn.ac.lk/?p=1706" TargetMode="External" Id="rId58" /><Relationship Type="http://schemas.openxmlformats.org/officeDocument/2006/relationships/hyperlink" Target="https://www.his.jfn.ac.lk/index.php/__trashed/" TargetMode="External" Id="rId59" /><Relationship Type="http://schemas.openxmlformats.org/officeDocument/2006/relationships/hyperlink" Target="https://www.his.jfn.ac.lk/index.php/__trashed/" TargetMode="External" Id="rId60" /><Relationship Type="http://schemas.openxmlformats.org/officeDocument/2006/relationships/hyperlink" Target="https://doi.org/10.11648/j.ija.20210902.14" TargetMode="External" Id="rId61" /><Relationship Type="http://schemas.openxmlformats.org/officeDocument/2006/relationships/hyperlink" Target="https://hdl.handle.net/1969.1/193070" TargetMode="External" Id="rId62" /><Relationship Type="http://schemas.openxmlformats.org/officeDocument/2006/relationships/hyperlink" Target="https://dspace.lib.seu.ac.lk/items/d37186eb-584d-43c3-8284-8e7e285c22d1/full" TargetMode="External" Id="rId63" /><Relationship Type="http://schemas.openxmlformats.org/officeDocument/2006/relationships/hyperlink" Target="https://doi.org/10.31357/fhss/vjhss.v06i01.10" TargetMode="External" Id="rId64" /><Relationship Type="http://schemas.openxmlformats.org/officeDocument/2006/relationships/hyperlink" Target="https://doi.org/10.37718/csa.1999.08" TargetMode="External" Id="rId65" /><Relationship Type="http://schemas.openxmlformats.org/officeDocument/2006/relationships/hyperlink" Target="https://doi.org/10.37718/csa.2003.04" TargetMode="External" Id="rId66" /><Relationship Type="http://schemas.openxmlformats.org/officeDocument/2006/relationships/hyperlink" Target="https://doi.org/10.4038/tjata.v2i2.66" TargetMode="External" Id="rId67" /><Relationship Type="http://schemas.openxmlformats.org/officeDocument/2006/relationships/hyperlink" Target="https://www.his.jfn.ac.lk/?p=791" TargetMode="External" Id="rId68" /><Relationship Type="http://schemas.openxmlformats.org/officeDocument/2006/relationships/hyperlink" Target="https://www.his.jfn.ac.lk/?p=791" TargetMode="External" Id="rId69" /><Relationship Type="http://schemas.openxmlformats.org/officeDocument/2006/relationships/hyperlink" Target="https://www.his.jfn.ac.lk/?p=1706" TargetMode="External" Id="rId70" /><Relationship Type="http://schemas.openxmlformats.org/officeDocument/2006/relationships/hyperlink" Target="https://www.his.jfn.ac.lk/index.php/mrs-ajiththa-suganthan/" TargetMode="External" Id="rId71" /><Relationship Type="http://schemas.openxmlformats.org/officeDocument/2006/relationships/hyperlink" Target="https://www.his.jfn.ac.lk/?p=1706" TargetMode="External" Id="rId72" /><Relationship Type="http://schemas.openxmlformats.org/officeDocument/2006/relationships/hyperlink" Target="https://doi.org/10.4038/tjata.v1i2.45" TargetMode="External" Id="rId73" /><Relationship Type="http://schemas.openxmlformats.org/officeDocument/2006/relationships/hyperlink" Target="https://www.his.jfn.ac.lk/?p=791" TargetMode="External" Id="rId74" /><Relationship Type="http://schemas.openxmlformats.org/officeDocument/2006/relationships/hyperlink" Target="https://www.his.jfn.ac.lk/?p=791" TargetMode="External" Id="rId75" /><Relationship Type="http://schemas.openxmlformats.org/officeDocument/2006/relationships/hyperlink" Target="https://www.his.jfn.ac.lk/index.php/__trashed/" TargetMode="External" Id="rId76" /><Relationship Type="http://schemas.openxmlformats.org/officeDocument/2006/relationships/hyperlink" Target="https://www.his.jfn.ac.lk/?p=791" TargetMode="External" Id="rId77" /><Relationship Type="http://schemas.openxmlformats.org/officeDocument/2006/relationships/hyperlink" Target="https://www.cambridge.org/core/services/aop-cambridge-core/content/view/C55CDA3934CC5C18EE40B903734C7215/S0003598X19000309a.pdf/the-antiquity-of-jaffna-fort-new-evidence-from-post-disaster-archaeological-investigations-in-northern-sri-lanka.pdf" TargetMode="External" Id="rId78" /><Relationship Type="http://schemas.openxmlformats.org/officeDocument/2006/relationships/hyperlink" Target="https://doi.org/10.46586/er.8.2019.8312" TargetMode="External" Id="rId79" /><Relationship Type="http://schemas.openxmlformats.org/officeDocument/2006/relationships/hyperlink" Target="https://doi.org/10.1007/s12685-019-00230-7" TargetMode="External" Id="rId80" /><Relationship Type="http://schemas.openxmlformats.org/officeDocument/2006/relationships/hyperlink" Target="https://doi.org/10.3390/rel10090537" TargetMode="External" Id="rId81" /><Relationship Type="http://schemas.openxmlformats.org/officeDocument/2006/relationships/hyperlink" Target="https://doi.org/10.18520/cs/v117/i10/1664-1672" TargetMode="External" Id="rId82" /><Relationship Type="http://schemas.openxmlformats.org/officeDocument/2006/relationships/hyperlink" Target="https://ir.lib.pdn.ac.lk/handle/20.500.14444/5038" TargetMode="External" Id="rId83" /><Relationship Type="http://schemas.openxmlformats.org/officeDocument/2006/relationships/hyperlink" Target="https://www.his.jfn.ac.lk/index.php/__trashed/" TargetMode="External" Id="rId84" /><Relationship Type="http://schemas.openxmlformats.org/officeDocument/2006/relationships/hyperlink" Target="https://www.his.jfn.ac.lk/?p=791" TargetMode="External" Id="rId85" /><Relationship Type="http://schemas.openxmlformats.org/officeDocument/2006/relationships/hyperlink" Target="https://www.his.jfn.ac.lk/?p=791" TargetMode="External" Id="rId86" /><Relationship Type="http://schemas.openxmlformats.org/officeDocument/2006/relationships/hyperlink" Target="https://www.his.jfn.ac.lk/?p=791" TargetMode="External" Id="rId87" /><Relationship Type="http://schemas.openxmlformats.org/officeDocument/2006/relationships/hyperlink" Target="https://www.his.jfn.ac.lk/?p=791" TargetMode="External" Id="rId88" /><Relationship Type="http://schemas.openxmlformats.org/officeDocument/2006/relationships/hyperlink" Target="https://doi.org/10.1353/asi.2018.0002" TargetMode="External" Id="rId89" /><Relationship Type="http://schemas.openxmlformats.org/officeDocument/2006/relationships/hyperlink" Target="https://doi.org/10.5281/zenodo.10270558" TargetMode="External" Id="rId90" /><Relationship Type="http://schemas.openxmlformats.org/officeDocument/2006/relationships/hyperlink" Target="https://doi.org/10.31357/fhss/vjhss.v04i01.3493" TargetMode="External" Id="rId91" /><Relationship Type="http://schemas.openxmlformats.org/officeDocument/2006/relationships/hyperlink" Target="https://ir.lib.pdn.ac.lk/items/fe66ad09-6272-469c-a6db-69c14662bb7f" TargetMode="External" Id="rId92" /><Relationship Type="http://schemas.openxmlformats.org/officeDocument/2006/relationships/hyperlink" Target="https://doi.org/10.3390/w10121746" TargetMode="External" Id="rId93" /><Relationship Type="http://schemas.openxmlformats.org/officeDocument/2006/relationships/hyperlink" Target="https://dspace.lib.seu.ac.lk/items/d9c75f55-5065-4c9d-9c54-98ec1717f8d1" TargetMode="External" Id="rId94" /><Relationship Type="http://schemas.openxmlformats.org/officeDocument/2006/relationships/hyperlink" Target="https://doi.org/10.3390/rel10010004" TargetMode="External" Id="rId95" /><Relationship Type="http://schemas.openxmlformats.org/officeDocument/2006/relationships/hyperlink" Target="https://www.his.jfn.ac.lk/?p=791" TargetMode="External" Id="rId96" /><Relationship Type="http://schemas.openxmlformats.org/officeDocument/2006/relationships/hyperlink" Target="https://www.his.jfn.ac.lk/index.php/mrs-ajiththa-suganthan/" TargetMode="External" Id="rId97" /><Relationship Type="http://schemas.openxmlformats.org/officeDocument/2006/relationships/hyperlink" Target="https://www.his.jfn.ac.lk/?p=791" TargetMode="External" Id="rId98" /><Relationship Type="http://schemas.openxmlformats.org/officeDocument/2006/relationships/hyperlink" Target="http://repo.lib.jfn.ac.lk/ujrr/handle/123456789/8887" TargetMode="External" Id="rId99" /><Relationship Type="http://schemas.openxmlformats.org/officeDocument/2006/relationships/hyperlink" Target="https://doi.org/10.18533/journal.v6i01.1085" TargetMode="External" Id="rId100" /><Relationship Type="http://schemas.openxmlformats.org/officeDocument/2006/relationships/hyperlink" Target="https://doi.org/10.34780/bre2-dab8" TargetMode="External" Id="rId101" /><Relationship Type="http://schemas.openxmlformats.org/officeDocument/2006/relationships/hyperlink" Target="https://doi.org/10.21525/kriterium.2.e" TargetMode="External" Id="rId102" /><Relationship Type="http://schemas.openxmlformats.org/officeDocument/2006/relationships/hyperlink" Target="https://doi.org/10.4324/9781315693316-13" TargetMode="External" Id="rId103" /><Relationship Type="http://schemas.openxmlformats.org/officeDocument/2006/relationships/hyperlink" Target="https://www.his.jfn.ac.lk/index.php/profkarunthavarajah/" TargetMode="External" Id="rId104" /><Relationship Type="http://schemas.openxmlformats.org/officeDocument/2006/relationships/hyperlink" Target="https://www.his.jfn.ac.lk/index.php/mrs-s-arulanantham/" TargetMode="External" Id="rId105" /><Relationship Type="http://schemas.openxmlformats.org/officeDocument/2006/relationships/hyperlink" Target="https://www.his.jfn.ac.lk/?p=791" TargetMode="External" Id="rId106" /><Relationship Type="http://schemas.openxmlformats.org/officeDocument/2006/relationships/hyperlink" Target="https://rer.jfn.ac.lk/items/cf7a95e0-fe51-4ae1-88aa-4842327beb59/full" TargetMode="External" Id="rId107" /><Relationship Type="http://schemas.openxmlformats.org/officeDocument/2006/relationships/hyperlink" Target="https://www.iiste.org/Journals/index.php/RHSS/article/download/13254/13414" TargetMode="External" Id="rId108" /><Relationship Type="http://schemas.openxmlformats.org/officeDocument/2006/relationships/hyperlink" Target="http://hdl.handle.net/2381/31401" TargetMode="External" Id="rId109" /><Relationship Type="http://schemas.openxmlformats.org/officeDocument/2006/relationships/hyperlink" Target="https://www.his.jfn.ac.lk/index.php/mrs-s-arulanantham/" TargetMode="External" Id="rId110" /><Relationship Type="http://schemas.openxmlformats.org/officeDocument/2006/relationships/hyperlink" Target="https://www.his.jfn.ac.lk/index.php/profkarunthavarajah/" TargetMode="External" Id="rId111" /><Relationship Type="http://schemas.openxmlformats.org/officeDocument/2006/relationships/hyperlink" Target="https://www.his.jfn.ac.lk/index.php/profkarunthavarajah/" TargetMode="External" Id="rId112" /><Relationship Type="http://schemas.openxmlformats.org/officeDocument/2006/relationships/hyperlink" Target="https://www.his.jfn.ac.lk/index.php/profkarunthavarajah/" TargetMode="External" Id="rId113" /><Relationship Type="http://schemas.openxmlformats.org/officeDocument/2006/relationships/hyperlink" Target="https://www.his.jfn.ac.lk/index.php/mrs-s-arulanantham/" TargetMode="External" Id="rId114" /><Relationship Type="http://schemas.openxmlformats.org/officeDocument/2006/relationships/hyperlink" Target="https://www.lankapradeepa.com/2020/04/tamil-inscriptions-in-sri-lanka_16.html" TargetMode="External" Id="rId115" /><Relationship Type="http://schemas.openxmlformats.org/officeDocument/2006/relationships/hyperlink" Target="https://www.lankapradeepa.com/2020/04/tamil-inscriptions-in-sri-lanka_16.html" TargetMode="External" Id="rId116" /><Relationship Type="http://schemas.openxmlformats.org/officeDocument/2006/relationships/hyperlink" Target="https://doi.org/10.4135/9788132104322.n1" TargetMode="External" Id="rId117" /><Relationship Type="http://schemas.openxmlformats.org/officeDocument/2006/relationships/hyperlink" Target="http://ci.nii.ac.jp/naid/110008803030" TargetMode="External" Id="rId118" /><Relationship Type="http://schemas.openxmlformats.org/officeDocument/2006/relationships/hyperlink" Target="http://bvbr.bib-bvb.de:8991/F?func=service&amp;doc_library=BVB01&amp;local_base=BVB01&amp;doc_number=018902727&amp;sequence=000001&amp;line_number=0001&amp;func_code=DB_RECORDS&amp;service_type=MEDIA" TargetMode="External" Id="rId119" /><Relationship Type="http://schemas.openxmlformats.org/officeDocument/2006/relationships/hyperlink" Target="http://hdl.handle.net/10068/956236" TargetMode="External" Id="rId120" /><Relationship Type="http://schemas.openxmlformats.org/officeDocument/2006/relationships/hyperlink" Target="https://jfn.ac.lk/prof-s-pathmanathan/" TargetMode="External" Id="rId121" /><Relationship Type="http://schemas.openxmlformats.org/officeDocument/2006/relationships/hyperlink" Target="https://doi.org/10.1080/02666030.2006.9628657" TargetMode="External" Id="rId122" /><Relationship Type="http://schemas.openxmlformats.org/officeDocument/2006/relationships/hyperlink" Target="https://jfn.ac.lk/prof-s-pathmanathan/" TargetMode="External" Id="rId123" /><Relationship Type="http://schemas.openxmlformats.org/officeDocument/2006/relationships/hyperlink" Target="https://www.lankapradeepa.com/2020/04/tamil-inscriptions-in-sri-lanka_16.html" TargetMode="External" Id="rId124" /><Relationship Type="http://schemas.openxmlformats.org/officeDocument/2006/relationships/hyperlink" Target="http://ir.unimas.my/id/eprint/24938/1/255-%20de%20Silva%20et%20al.%20%28Vedda%20rock%20art%29.pdf" TargetMode="External" Id="rId125" /><Relationship Type="http://schemas.openxmlformats.org/officeDocument/2006/relationships/hyperlink" Target="https://jfn.ac.lk/prof-s-pathmanathan/" TargetMode="External" Id="rId126" /><Relationship Type="http://schemas.openxmlformats.org/officeDocument/2006/relationships/hyperlink" Target="https://jfn.ac.lk/prof-s-pathmanathan/" TargetMode="External" Id="rId127" /><Relationship Type="http://schemas.openxmlformats.org/officeDocument/2006/relationships/hyperlink" Target="https://doi.org/10.69341/2005222" TargetMode="External" Id="rId128" /><Relationship Type="http://schemas.openxmlformats.org/officeDocument/2006/relationships/hyperlink" Target="https://jfn.ac.lk/prof-s-pathmanathan/" TargetMode="External" Id="rId129" /><Relationship Type="http://schemas.openxmlformats.org/officeDocument/2006/relationships/hyperlink" Target="https://jfn.ac.lk/prof-s-pathmanathan/" TargetMode="External" Id="rId130" /><Relationship Type="http://schemas.openxmlformats.org/officeDocument/2006/relationships/hyperlink" Target="https://jfn.ac.lk/prof-s-pathmanathan/" TargetMode="External" Id="rId131" /><Relationship Type="http://schemas.openxmlformats.org/officeDocument/2006/relationships/hyperlink" Target="https://jfn.ac.lk/prof-s-pathmanathan/" TargetMode="External" Id="rId132" /><Relationship Type="http://schemas.openxmlformats.org/officeDocument/2006/relationships/hyperlink" Target="https://www.lankapradeepa.com/2020/04/tamil-inscriptions-in-sri-lanka_16.html" TargetMode="External" Id="rId133" /><Relationship Type="http://schemas.openxmlformats.org/officeDocument/2006/relationships/hyperlink" Target="https://jfn.ac.lk/prof-s-pathmanathan/" TargetMode="External" Id="rId134" /><Relationship Type="http://schemas.openxmlformats.org/officeDocument/2006/relationships/hyperlink" Target="https://ir.lib.pdn.ac.lk/handle/20.500.14444/3809" TargetMode="External" Id="rId135" /><Relationship Type="http://schemas.openxmlformats.org/officeDocument/2006/relationships/hyperlink" Target="https://ir.lib.pdn.ac.lk/items/583155fd-b49e-4398-8b04-51776c4dbf8f/full" TargetMode="External" Id="rId136" /><Relationship Type="http://schemas.openxmlformats.org/officeDocument/2006/relationships/hyperlink" Target="https://www.lankapradeepa.com/2020/04/tamil-inscriptions-in-sri-lanka_16.html" TargetMode="External" Id="rId137" /><Relationship Type="http://schemas.openxmlformats.org/officeDocument/2006/relationships/hyperlink" Target="https://jfn.ac.lk/prof-s-pathmanathan/" TargetMode="External" Id="rId138" /><Relationship Type="http://schemas.openxmlformats.org/officeDocument/2006/relationships/hyperlink" Target="https://www.lankapradeepa.com/2020/04/tamil-inscriptions-in-sri-lanka_16.html" TargetMode="External" Id="rId139" /><Relationship Type="http://schemas.openxmlformats.org/officeDocument/2006/relationships/hyperlink" Target="https://jfn.ac.lk/prof-s-pathmanathan/" TargetMode="External" Id="rId140" /><Relationship Type="http://schemas.openxmlformats.org/officeDocument/2006/relationships/hyperlink" Target="https://siddham.network/tag/kayts/" TargetMode="External" Id="rId141" /><Relationship Type="http://schemas.openxmlformats.org/officeDocument/2006/relationships/hyperlink" Target="https://dspace.lib.seu.ac.lk/items/8ac8f95c-23d2-4f5f-832d-598286d6a96f" TargetMode="External" Id="rId142" /><Relationship Type="http://schemas.openxmlformats.org/officeDocument/2006/relationships/hyperlink" Target="https://www.academia.edu/44307643/Annaikottai_Seal_Is_it_Tamil_Brahmi" TargetMode="External" Id="rId143" /><Relationship Type="http://schemas.openxmlformats.org/officeDocument/2006/relationships/hyperlink" Target="https://rer.jfn.ac.lk/items/69679e68-fe61-4cd9-a9de-ccff08422aac/full" TargetMode="External" Id="rId144" /><Relationship Type="http://schemas.openxmlformats.org/officeDocument/2006/relationships/hyperlink" Target="https://siddham.network/tag/609823/" TargetMode="External" Id="rId145" /><Relationship Type="http://schemas.openxmlformats.org/officeDocument/2006/relationships/hyperlink" Target="https://shanlaxjournals.in/journals/index.php/tamil/article/view/7777" TargetMode="External" Id="rId146" /><Relationship Type="http://schemas.openxmlformats.org/officeDocument/2006/relationships/hyperlink" Target="https://www.academia.edu/47759409/Making_Lanka_the_Tamil_way_a_temple_history_at_the_crossroads_of_landscapes_and_watersheds" TargetMode="External" Id="rId147" /><Relationship Type="http://schemas.openxmlformats.org/officeDocument/2006/relationships/hyperlink" Target="https://siddham.network/tag/vasabha/" TargetMode="External" Id="rId148" /><Relationship Type="http://schemas.openxmlformats.org/officeDocument/2006/relationships/hyperlink" Target="https://durham-repository.worktribe.com/output/1656993/recent-excavations-and-survey-at-jaffna-fort-in-2017-and-reflections-on-the-antiquity-of-indian-ocean-trade" TargetMode="External" Id="rId149" /><Relationship Type="http://schemas.openxmlformats.org/officeDocument/2006/relationships/hyperlink" Target="https://ir.lib.pdn.ac.lk/items/66613037-9ae3-4455-81e3-71f3235df265/full" TargetMode="External" Id="rId150" /><Relationship Type="http://schemas.openxmlformats.org/officeDocument/2006/relationships/hyperlink" Target="https://rer.jfn.ac.lk/items/fc0f248b-470f-449c-a7c6-8b8ec38517f0" TargetMode="External" Id="rId151" /><Relationship Type="http://schemas.openxmlformats.org/officeDocument/2006/relationships/hyperlink" Target="https://www.researchgate.net/publication/301336596_The_Peopling_of_Sri_Lanka_from_Prehistoric_to_Historic_Times_Biological_and_Archaeological_Evidence" TargetMode="External" Id="rId152" /><Relationship Type="http://schemas.openxmlformats.org/officeDocument/2006/relationships/hyperlink" Target="http://repo.lib.jfn.ac.lk/xmlui/handle/123456789/10982" TargetMode="External" Id="rId153" /><Relationship Type="http://schemas.openxmlformats.org/officeDocument/2006/relationships/hyperlink" Target="https://dspace.lib.seu.ac.lk/items/2bce5ebf-dc84-4b9c-a7ed-ca9bf13f1e7a/full" TargetMode="External" Id="rId154" /><Relationship Type="http://schemas.openxmlformats.org/officeDocument/2006/relationships/hyperlink" Target="http://repo.lib.jfn.ac.lk/xmlui/handle/123456789/9343" TargetMode="External" Id="rId155" /><Relationship Type="http://schemas.openxmlformats.org/officeDocument/2006/relationships/hyperlink" Target="http://repo.lib.jfn.ac.lk/ujrr/handle/123456789/4870" TargetMode="External" Id="rId156" /></Relationships>
</file>

<file path=xl/worksheets/_rels/sheet4.xml.rels><Relationships xmlns="http://schemas.openxmlformats.org/package/2006/relationships"><Relationship Type="http://schemas.openxmlformats.org/officeDocument/2006/relationships/hyperlink" Target="https://island.lk/glimpses-of-an-ancient-civilisation-society-and-culture-in-jaffna/" TargetMode="External" Id="rId1" /><Relationship Type="http://schemas.openxmlformats.org/officeDocument/2006/relationships/hyperlink" Target="https://www.colombotelegraph.com/index.php/a-historian-in-focus-the-dark-side-of-s-pathmanathan/" TargetMode="External" Id="rId2" /><Relationship Type="http://schemas.openxmlformats.org/officeDocument/2006/relationships/hyperlink" Target="https://tamilwin.com/article/remove-archaeological-permission-in-chengaladi-1769150736" TargetMode="External" Id="rId3" /><Relationship Type="http://schemas.openxmlformats.org/officeDocument/2006/relationships/hyperlink" Target="https://www.tamilguardian.com/content/prof-pathmanathans-new-book-sheds-light-early-jaffna-civilisation" TargetMode="External" Id="rId4" /><Relationship Type="http://schemas.openxmlformats.org/officeDocument/2006/relationships/hyperlink" Target="https://news.google.com/rss/articles/CBMiyAFBVV95cUxPck1TdFVQcDc3dXR2RzBfNko0V09ZWG44aUZsTWE3WmJIWWRkd3NXRDloS3FNbk9CbjFqNV9oTVo5MzA4MU1kYmU4b0VyZVRsMlNzOWJSSklRcnRySHNzaGRVWXl2VUhEVF9YV3JjVmNndC15STkwUmotOEhSTmNFQ1JZWUtTQktXNThKSzA3d25oWmpXVkxhVUZfaUpaOGpiaEx6enF2dmtmNGZpUXNRR3dEWTVETUdsb3BXY0FlWXFrVWNSMFdjNQ?oc=5" TargetMode="External" Id="rId5" /><Relationship Type="http://schemas.openxmlformats.org/officeDocument/2006/relationships/hyperlink" Target="https://www.dailynews.lk/2025/04/19/admin-catagories/breaking-news/763455/unesco-recognizes-sri-lankas-trilingual-inscription-and-panadurawaadaya-documents-as-world-heritage/" TargetMode="External" Id="rId6" /><Relationship Type="http://schemas.openxmlformats.org/officeDocument/2006/relationships/hyperlink" Target="https://dailynews.lk/2025/04/22/features/764498/significance-of-galle-trilingual-inscriptions-inclusion-in-the-world-heritage-list/" TargetMode="External" Id="rId7" /><Relationship Type="http://schemas.openxmlformats.org/officeDocument/2006/relationships/hyperlink" Target="https://news.google.com/rss/articles/CBMiqAFBVV95cUxQWTZoOUtnRWRBOE11dkVZMDdERkVIdUt0Z08tbk04b0h6LWFEUHdDQ1ZtdU1QSE83R0pVN0FPZTB6cWVpNC1ISGtGTUkzLWhDRFhtamJXeFo4ZjJpM2RUQWZGb3dTR0RHVzhmZ2ZQQ0RRVjhGMl9LclZOVFhlZlBTQUs3RElIQ3BSYzJlc0lLVGxfYmxhSnZIWldBdTRlMHlqekp0MzNsRGs?oc=5" TargetMode="External" Id="rId8" /><Relationship Type="http://schemas.openxmlformats.org/officeDocument/2006/relationships/hyperlink" Target="https://ibctamil.com/article/department-of-archaeology-personnel-chased-away-1763743917" TargetMode="External" Id="rId9" /><Relationship Type="http://schemas.openxmlformats.org/officeDocument/2006/relationships/hyperlink" Target="https://ibctamil.com/article/archaeology-dep-to-construct-a-vihara-in-vavuniya-1766829487" TargetMode="External" Id="rId10" /><Relationship Type="http://schemas.openxmlformats.org/officeDocument/2006/relationships/hyperlink" Target="https://tamilwin.com/article/viharaya-in-the-pillayar-temple-complex-vavuniya-1766838422" TargetMode="External" Id="rId11" /><Relationship Type="http://schemas.openxmlformats.org/officeDocument/2006/relationships/hyperlink" Target="https://ibctamil.com/article/an-underground-city-discovered-in-polonnaruwa-sl-1708747886" TargetMode="External" Id="rId12" /><Relationship Type="http://schemas.openxmlformats.org/officeDocument/2006/relationships/hyperlink" Target="https://news.google.com/rss/articles/CBMiggFBVV95cUxQczl0U3RlM2Y4UjFBSU1ULWtUTEpFaXZIb3pBLTRkTmpoOEh5Nzc4MzlMNVM4MGpEd0FhWFVJTE84ZnZ3ZnVDUWVjUnBOVThrTndsX3gxT0g0ZkxlWDQyLWVRNDdFZ25HXzdlZWZmQ2ZZZFlMUHVHYm1DLWdVZjVuNmdR?oc=5" TargetMode="External" Id="rId13" /><Relationship Type="http://schemas.openxmlformats.org/officeDocument/2006/relationships/hyperlink" Target="https://news.google.com/rss/articles/CBMinAFBVV95cUxPc0xxall2V0toUHFjdEpHdGd3YV9VWTZja0htbkJXNFEyNmVJMlF1WGJsZnlXeXVlemltbDRfMHdYYXlLZ0swRlVVbW1uU0pUc3ppZkc2Qmlnc0Y1WFl3SXpINzJFRUZYVWxNRDV5YUNEanAxZE4tMG9hT0hZQnNXYWNhM1VMRHV6b25iN3ZPZUNzZzJYeVB5VlZlUEY?oc=5" TargetMode="External" Id="rId14" /><Relationship Type="http://schemas.openxmlformats.org/officeDocument/2006/relationships/hyperlink" Target="https://tamilwin.com/article/vedukunari-hill-affair-1679899848" TargetMode="External" Id="rId15" /><Relationship Type="http://schemas.openxmlformats.org/officeDocument/2006/relationships/hyperlink" Target="https://news.google.com/rss/articles/CBMiW0FVX3lxTE02dFpiVWFGNWlFWExhWUxUelI2X0tYY3kxak4tYWx2ZDhrSld0SC11ZzVxZXhLV3lNWEhMeUdaQUZfZWQ2MkNLMk9JMTNUUkVwRzhlUDFvZ3VlWlHSAWBBVV95cUxPOUhPNUd4LXgwN2hvRVJod0pXWnNDbjJ1S1U3U0xRVHpDQzZCYldGY3hBZWtCbGFycEt3N1U4bzNPT0dEeXVkRnc3QVdRLXNuU0l3ZXp3YlZ1dWJZSVRRQ04?oc=5" TargetMode="External" Id="rId16" /><Relationship Type="http://schemas.openxmlformats.org/officeDocument/2006/relationships/hyperlink" Target="https://news.google.com/rss/articles/CBMiSkFVX3lxTE9RWHRpZjlDZE92MEg4bC1VRXFNMjNpSlotREpZclVwU2tncGcyRWFNUnpxQ1ZJTmlRZS1VanBPWl9XNVdjcWhtd29R?oc=5" TargetMode="External" Id="rId17" /><Relationship Type="http://schemas.openxmlformats.org/officeDocument/2006/relationships/hyperlink" Target="https://news.google.com/rss/articles/CBMiaEFVX3lxTE9mazdldjk2bWROTF9UYjJKOWhvMk9hQUwwcGdfbjgwYVN4a2phYktJU3RfWHpUSzFxZlpLQmhURWxacjJWYTNFZEFMNlFuWG13S1Rra1ZVZGdPcU40bmZxS2p5M09wT09h?oc=5" TargetMode="External" Id="rId18" /><Relationship Type="http://schemas.openxmlformats.org/officeDocument/2006/relationships/hyperlink" Target="https://news.google.com/rss/articles/CBMiqwFBVV95cUxPWG1naE01WFRxUkhWX2kwWWRWTlJaZy1heUNCOG9pcTZ5eUtqbjlPc1BRVHlBQm1ST0hvQmk5TDlMeVZXQlNwUXBWelhMdGNmLVc3ck0yR2MzWUtSS0xQdW5uRjhFa0lPTVZ2Q08yUkg3aXhLeGdtdllzYWZGV2pad2IzbkIwdk54T0tneHl3bzZUU0gyRWRIU2gwX21BUmV1Zm1Vc2pZNkx3cms?oc=5" TargetMode="External" Id="rId19" /><Relationship Type="http://schemas.openxmlformats.org/officeDocument/2006/relationships/hyperlink" Target="https://news.google.com/rss/articles/CBMiV0FVX3lxTE0xSVZDa2M2cjhyOFJNVzZ4UEt2TnRyanBkaXBhSmxhTElobUFMNWhic0dWMlloejhDY3NaOGVEMnNnN0liY1B6cjR1OTFMOVowUUp1YzQ1WQ?oc=5" TargetMode="External" Id="rId20" /><Relationship Type="http://schemas.openxmlformats.org/officeDocument/2006/relationships/hyperlink" Target="https://tamilwin.com/article/sri-lanka-parliament-sumanthiran-thirukoneshwaram-1663923669" TargetMode="External" Id="rId21" /><Relationship Type="http://schemas.openxmlformats.org/officeDocument/2006/relationships/hyperlink" Target="https://www.virakesari.lk/article/117633" TargetMode="External" Id="rId22" /><Relationship Type="http://schemas.openxmlformats.org/officeDocument/2006/relationships/hyperlink" Target="https://news.google.com/rss/articles/CBMiV0FVX3lxTE9uajJZaVFzTk1NVFFqRDNVVTNHU3dVc0xySDB6Tk9LbmxIeHR4SkozOUxJN2lQTlFMa2hjaXJXakVjaWJmZ0xJcW1EQ0k3bUUyLVpfbVpMUdIBXEFVX3lxTFAtSEZTSzdPd25Oa1FFMFB2NGNHRFVIYjB4NWdIbXl3a0pmNXlRcjItZjhmLWNxbHItLUFUamVkSWpxblA3YUU5SUoxclFVTDhNR1pXaVZTelFLc2N1?oc=5" TargetMode="External" Id="rId23" /><Relationship Type="http://schemas.openxmlformats.org/officeDocument/2006/relationships/hyperlink" Target="https://athavannews.com/2021/1251617" TargetMode="External" Id="rId24" /><Relationship Type="http://schemas.openxmlformats.org/officeDocument/2006/relationships/hyperlink" Target="https://news.google.com/rss/articles/CBMirwFBVV95cUxOcjFjTFg2ZzhVRzlEakRZekNFeXQzR2ZuQUdDcXFNdG9rQ2JoV2RaYzNnOF9La29FX3BnZXRvY3d3SnlCakNhQVg1dVJ3WnVkT3BwYWZYTnlTdTVoOXBlVDJKc3ZMbmo0bEhmM1pkUGRfdHk2NmEwVFpUNkE3c1FOQl9qVXdEa0JiSXQwWmJvek91dVN0Y0M5NGwxQkQtUDQxLXFib25oWkdNWnlNOGJV?oc=5" TargetMode="External" Id="rId25" /><Relationship Type="http://schemas.openxmlformats.org/officeDocument/2006/relationships/hyperlink" Target="https://news.google.com/rss/articles/CBMiV0FVX3lxTE81SUxqWmhQSjVTVWh3S1VLZGV2MHAyTjNDOHBDeHhXX0pCZVJjakRFSnRZQWtxRXdLS2lwakp5eGNiZC1RbGxRUVFrMWpfRDc1VnNSZUFSc9IBXEFVX3lxTFBNa3dMSUJMS0hJVEhnNXZpTzB3b2RFWWhhNDJhN0JDdTFsOU13bVVJZ2RfdUNPVkItQUlHcm9sTEF6NE4xckhmd3gyZVlQTlFTaTQ5NXBfWUx3MnlH?oc=5" TargetMode="External" Id="rId26" /><Relationship Type="http://schemas.openxmlformats.org/officeDocument/2006/relationships/hyperlink" Target="https://news.google.com/rss/articles/CBMiZEFVX3lxTFBaOXhuY19ZUk1ySExJdXFObDBJWDEzMmtqZVhLNTNoNVhhZWhvQm1Idy1uUWRiU1h2Nkg4UWRMTmtNLVhOWU0zSzdBWFZjdzEwQnJtX0FLd1FnWXlpYVl0TU9OSG0?oc=5" TargetMode="External" Id="rId27" /><Relationship Type="http://schemas.openxmlformats.org/officeDocument/2006/relationships/hyperlink" Target="https://news.google.com/rss/articles/CBMilgFBVV95cUxPWjg3MzRjZlBYMTRYN2tEcGc5VXRTM25lZTlxYXl1RnhwLTdRQlRxYURPNE1oSGt0VFMxQ2pvNEg1LURmdF9rZ1NhZUNUU2lmSHIyMFpQTFU4cXAxTjZhN3Jsd2FhajVVdjN1dS1zUmptcFNJU0t1dlREZVRTbHAzV1JsTDM4dk9TLXQ2S0dIa3BBVzNnTnc?oc=5" TargetMode="External" Id="rId28" /><Relationship Type="http://schemas.openxmlformats.org/officeDocument/2006/relationships/hyperlink" Target="https://news.google.com/rss/articles/CBMivgFBVV95cUxORWRSQ0xORzJLQ2RoNE9KNWhjRnlENktmc2RIZk1VcXIwaWlLZTUwb09YcG1Pc3d2Yk00M0o5cWVsUUV5RmlhajdNeHJaS1dNZmcwUFU1SFh1TEVVbzF4Q0w5R2NvVjZzR1gwbWxIWXNadWlVNHloMUFzdW1yemNIdHE3WWlWbGNUNkpwVUFiTGU3RUJHZ2J1NHFmd2haakE3cGc0T21JMHU2T05TQWkzNWg2NzFkV0hmcWRJVWxn?oc=5" TargetMode="External" Id="rId29" /><Relationship Type="http://schemas.openxmlformats.org/officeDocument/2006/relationships/hyperlink" Target="https://news.google.com/rss/articles/CBMiUEFVX3lxTFBoclkwMTRjdmdKLWZ2aVE4Tk5VNUd5VlAyeVM4WG5EVHBNUFFfT2lwTkVweC1qLTJNODhBRE1wdUcxdVpvU3NVXzJFeGFKMXFp?oc=5" TargetMode="External" Id="rId30" /><Relationship Type="http://schemas.openxmlformats.org/officeDocument/2006/relationships/hyperlink" Target="https://www.sundaytimes.lk/180211/plus/head-to-the-east-for-a-feast-of-archaeological-sites-281129.html" TargetMode="External" Id="rId31" /><Relationship Type="http://schemas.openxmlformats.org/officeDocument/2006/relationships/hyperlink" Target="https://news.google.com/rss/articles/CBMiZEFVX3lxTE1OS2ZQSnVTU3JtZVR3Umthby1VWWZYdU1yakJCUExKQ0IzVG56Vm1JRDZDWkF2YV9waVZzWnowWWtkbjFxSWJMVlVSN01SRUtXeTdjNl9YQ0NlZloxUzU0N1ljeVQ?oc=5" TargetMode="External" Id="rId32" /><Relationship Type="http://schemas.openxmlformats.org/officeDocument/2006/relationships/hyperlink" Target="https://news.google.com/rss/articles/CBMiekFVX3lxTE1nWlpPYTI1SEhvalJHYk9hYlBjX09Ib2hFNVlaTWxEcGhjS25hTnZuWm9uaDdic2U0cHZyQ2RITWpkSTBTRHdCZ25jeTFlSkF0WFdCb2dENmgwLXdvRDZKRlB0c1lhQWxvX1VxdTVSSTdvM0E2TW93WllB0gF_QVVfeXFMT1dFYWh0UEZ3NmR3dC04MUpNZGVvaFp4Q2oyZndXaHlEeHVlV3Y4dWJRWEN0WW1nTmpZZ2pnLVM3VXU2dW5SY2NLamNFcUFNZmVsdXk3U2czUzN2bjlfMk9oaUhDUWhvaTVYdmQ3bUxKMll6dWRBRGFHOE9odGgydw?oc=5" TargetMode="External" Id="rId33" /><Relationship Type="http://schemas.openxmlformats.org/officeDocument/2006/relationships/hyperlink" Target="https://archives1.dailynews.lk/2017/01/04/features/103659" TargetMode="External" Id="rId34" /><Relationship Type="http://schemas.openxmlformats.org/officeDocument/2006/relationships/hyperlink" Target="https://news.google.com/rss/articles/CBMiiwFBVV95cUxPcWJrT2RRWFB4dzZmS1RJY0FoOFZoQzY1ZWJsM0kzZGc4ZlNtZDZIVzBFYVdxdlZsbXNVeF9xOGJqLWh3d0xCNnIxRm5TV2d5RFN0QWJ1ZFJCazdrM1hlVmRXNHBub0pCdHd6Wk1LcTFnY3dydi1xd0J0dUxUNThpZVdnTjJGOUZHVXhF?oc=5" TargetMode="External" Id="rId35" /><Relationship Type="http://schemas.openxmlformats.org/officeDocument/2006/relationships/hyperlink" Target="https://news.google.com/rss/articles/CBMiZEFVX3lxTE1LRUlucXZoVEVIaGlNTU1tN3BjNmpYdGQ3eVhfeTJVb1JMTGhWMndLQVhWTl9VOUZrSm92Z3NFak5OQ05rdGdLLTN2SFNaR0tkT21zVHV0NTdncGN2QmVyT1YyVnA?oc=5" TargetMode="External" Id="rId36" /><Relationship Type="http://schemas.openxmlformats.org/officeDocument/2006/relationships/hyperlink" Target="https://www.sundaytimes.lk/140921/plus/a-visit-marked-in-stone-118621.html" TargetMode="External" Id="rId37" /><Relationship Type="http://schemas.openxmlformats.org/officeDocument/2006/relationships/hyperlink" Target="https://archives.sundayobserver.lk/2013/03/10/mon13.asp" TargetMode="External" Id="rId38" /><Relationship Type="http://schemas.openxmlformats.org/officeDocument/2006/relationships/hyperlink" Target="https://www.tamilnet.com/art.html?artid=36503&amp;catid=79" TargetMode="External" Id="rId39" /><Relationship Type="http://schemas.openxmlformats.org/officeDocument/2006/relationships/hyperlink" Target="https://news.google.com/rss/articles/CBMiZEFVX3lxTE9kekJTQWdVczhfMzVmbF9ETVpFUHFGbEw2Mk5LR2JoSXFEelNqZEE5TmJ2VkhubTZJcnJKeE1MLUNTeTdGZFkwbkJQU3dwLTBRSkluenBvbnJraDk3cHN3aER3SW8?oc=5" TargetMode="External" Id="rId40" /><Relationship Type="http://schemas.openxmlformats.org/officeDocument/2006/relationships/hyperlink" Target="https://tamilnet.com/art.html?artid=35707&amp;catid=79" TargetMode="External" Id="rId41" /><Relationship Type="http://schemas.openxmlformats.org/officeDocument/2006/relationships/hyperlink" Target="https://www.his.jfn.ac.lk/?p=791" TargetMode="External" Id="rId42" /><Relationship Type="http://schemas.openxmlformats.org/officeDocument/2006/relationships/hyperlink" Target="https://archives.thinakaran.lk/2011/02/15/?fn=i1102155&amp;p=1" TargetMode="External" Id="rId43" /><Relationship Type="http://schemas.openxmlformats.org/officeDocument/2006/relationships/hyperlink" Target="https://tamilnet.com/art.html?artid=32063&amp;catid=79" TargetMode="External" Id="rId44" /><Relationship Type="http://schemas.openxmlformats.org/officeDocument/2006/relationships/hyperlink" Target="https://www.tamilnet.com/art.html?artid=32303&amp;catid=79" TargetMode="External" Id="rId45" /><Relationship Type="http://schemas.openxmlformats.org/officeDocument/2006/relationships/hyperlink" Target="https://news.google.com/rss/articles/CBMiZEFVX3lxTFBENjVRODRyaWJQVnFWX19mQTFVTHlJcWZ3Si1fVFdPbHB0WDFZS19OVllKLTU2RGdqRHMyV3dBbVgzQjdSXzQtUW1hcGFMcXBIMTlVTHo2d0lFRVQzaVdDNzFlM0Y?oc=5" TargetMode="External" Id="rId46" /><Relationship Type="http://schemas.openxmlformats.org/officeDocument/2006/relationships/hyperlink" Target="https://tamilnet.com/art.html?artid=32843&amp;catid=79" TargetMode="External" Id="rId47" /><Relationship Type="http://schemas.openxmlformats.org/officeDocument/2006/relationships/hyperlink" Target="https://www.tamilnet.com/art.html?artid=32850&amp;catid=13" TargetMode="External" Id="rId48" /><Relationship Type="http://schemas.openxmlformats.org/officeDocument/2006/relationships/hyperlink" Target="https://archives.dailynews.lk/2009/09/18/fea30.asp" TargetMode="External" Id="rId49" /><Relationship Type="http://schemas.openxmlformats.org/officeDocument/2006/relationships/hyperlink" Target="https://www.sundaytimes.lk/080504/Plus/plus000025.html" TargetMode="External" Id="rId50" /><Relationship Type="http://schemas.openxmlformats.org/officeDocument/2006/relationships/hyperlink" Target="https://www.sundaytimes.lk/000423/plus3.html" TargetMode="External" Id="rId51" /><Relationship Type="http://schemas.openxmlformats.org/officeDocument/2006/relationships/hyperlink" Target="https://www.tamilguardian.com/content/2000-year-old-tamil-brahmi-inscriptions-discovered-egypts-valley-kings" TargetMode="External" Id="rId52" /><Relationship Type="http://schemas.openxmlformats.org/officeDocument/2006/relationships/hyperlink" Target="https://www.tamilguardian.com/content/3400-year-old-human-remains-discovered-velanai-jaffna" TargetMode="External" Id="rId53" /><Relationship Type="http://schemas.openxmlformats.org/officeDocument/2006/relationships/hyperlink" Target="https://www.historynewsnetwork.org/article/117404" TargetMode="External" Id="rId54" /><Relationship Type="http://schemas.openxmlformats.org/officeDocument/2006/relationships/hyperlink" Target="https://www.tamilguardian.com/content/ancient-pandyan-coins-bring-intrigue-and-dispute-sri-lanka" TargetMode="External" Id="rId55" /><Relationship Type="http://schemas.openxmlformats.org/officeDocument/2006/relationships/hyperlink" Target="https://www.colombotelegraph.com/index.php/book-review-the-historian-as-bridge/" TargetMode="External" Id="rId56" /><Relationship Type="http://schemas.openxmlformats.org/officeDocument/2006/relationships/hyperlink" Target="https://archives1.sundayobserver.lk/node/26758" TargetMode="External" Id="rId57" /><Relationship Type="http://schemas.openxmlformats.org/officeDocument/2006/relationships/hyperlink" Target="https://island.lk/little-known-facets-of-sri-lankan-historya-chola-princess-and-the-old-name-for-jaffna/" TargetMode="External" Id="rId58" /><Relationship Type="http://schemas.openxmlformats.org/officeDocument/2006/relationships/hyperlink" Target="https://island.lk/mandarin-and-tamil-a-historical-perspective/" TargetMode="External" Id="rId59" /><Relationship Type="http://schemas.openxmlformats.org/officeDocument/2006/relationships/hyperlink" Target="https://archives1.sundayobserver.lk/node/59637" TargetMode="External" Id="rId60" /><Relationship Type="http://schemas.openxmlformats.org/officeDocument/2006/relationships/hyperlink" Target="https://island.lk/reptiles-in-rock-and-time-unveiling-sri-lankas-ancient-herpetological-art/" TargetMode="External" Id="rId61" /><Relationship Type="http://schemas.openxmlformats.org/officeDocument/2006/relationships/hyperlink" Target="https://archives1.sundayobserver.lk/node/44600" TargetMode="External" Id="rId62" /><Relationship Type="http://schemas.openxmlformats.org/officeDocument/2006/relationships/hyperlink" Target="https://www.tamilguardian.com/index.php/node/955066" TargetMode="External" Id="rId63" /><Relationship Type="http://schemas.openxmlformats.org/officeDocument/2006/relationships/hyperlink" Target="https://www.colombotelegraph.com/index.php/sri-lankas-role-in-south-asias-earliest-writing-controversy/" TargetMode="External" Id="rId64" /><Relationship Type="http://schemas.openxmlformats.org/officeDocument/2006/relationships/hyperlink" Target="https://www.tamilguardian.com/content/tamil-civilisation-it-oldest" TargetMode="External" Id="rId65" /><Relationship Type="http://schemas.openxmlformats.org/officeDocument/2006/relationships/hyperlink" Target="https://www.colombotelegraph.com/index.php/the-tamils-are-the-original-inhabitants-of-sri-lanka/" TargetMode="External" Id="rId66" /><Relationship Type="http://schemas.openxmlformats.org/officeDocument/2006/relationships/hyperlink" Target="https://www.tamilguardian.com/index.php/content/trilingual-inscription-tamil-chinese-and-persian-recognised-unesco" TargetMode="External" Id="rId67" /><Relationship Type="http://schemas.openxmlformats.org/officeDocument/2006/relationships/hyperlink" Target="https://island.lk/unesco-and-trilingual-inscription/" TargetMode="External" Id="rId68" /><Relationship Type="http://schemas.openxmlformats.org/officeDocument/2006/relationships/hyperlink" Target="https://thinakkural.lk/article/45056" TargetMode="External" Id="rId69" /><Relationship Type="http://schemas.openxmlformats.org/officeDocument/2006/relationships/hyperlink" Target="https://www.tamilmirror.lk/91-286936" TargetMode="External" Id="rId70" /><Relationship Type="http://schemas.openxmlformats.org/officeDocument/2006/relationships/hyperlink" Target="https://www.virakesari.lk/article/160191" TargetMode="External" Id="rId71" /></Relationships>
</file>

<file path=xl/worksheets/_rels/sheet5.xml.rels><Relationships xmlns="http://schemas.openxmlformats.org/package/2006/relationships"><Relationship Type="http://schemas.openxmlformats.org/officeDocument/2006/relationships/hyperlink" Target="https://www.ezhunaonline.com/manthai-the-seafaring-trading-center-of-ancient-sri-lanka/" TargetMode="External" Id="rId1" /><Relationship Type="http://schemas.openxmlformats.org/officeDocument/2006/relationships/hyperlink" Target="https://www.ezhunaonline.com/from-tradition-to-tradition-the-southern-modic-koothu-of-jaffna/" TargetMode="External" Id="rId2" /><Relationship Type="http://schemas.openxmlformats.org/officeDocument/2006/relationships/hyperlink" Target="https://www.ezhunaonline.com/ancient-religious-practices-in-ancient-jaffna-part-2/" TargetMode="External" Id="rId3" /><Relationship Type="http://schemas.openxmlformats.org/officeDocument/2006/relationships/hyperlink" Target="https://www.ezhunaonline.com/jaffna-buddhism-100-bc-1200-ad-part-2/" TargetMode="External" Id="rId4" /><Relationship Type="http://schemas.openxmlformats.org/officeDocument/2006/relationships/hyperlink" Target="https://www.ezhunaonline.com/ancient-coins-found-in-kandy-and-northern-sri-lanka-part-1/" TargetMode="External" Id="rId5" /><Relationship Type="http://schemas.openxmlformats.org/officeDocument/2006/relationships/hyperlink" Target="https://www.ezhunaonline.com/ancient-coins-found-in-kandy-and-northern-sri-lanka-part-2/" TargetMode="External" Id="rId6" /><Relationship Type="http://schemas.openxmlformats.org/officeDocument/2006/relationships/hyperlink" Target="https://www.ezhunaonline.com/origin-and-gradual-development-of-the-gandharoda-civilization-part-4/" TargetMode="External" Id="rId7" /><Relationship Type="http://schemas.openxmlformats.org/officeDocument/2006/relationships/hyperlink" Target="https://www.ezhunaonline.com/the-gandarodai-archaeological-site-and-scientific-studies-on-the-early-iron-age-that-overturned-the-mahavamsa-history-of-sri-lanka-part-5/" TargetMode="External" Id="rId8" /><Relationship Type="http://schemas.openxmlformats.org/officeDocument/2006/relationships/hyperlink" Target="https://www.ezhunaonline.com/archaeology-and-weaponizing-the-past-part-2/" TargetMode="External" Id="rId9" /><Relationship Type="http://schemas.openxmlformats.org/officeDocument/2006/relationships/hyperlink" Target="https://www.ezhunaonline.com/the-genetic-origins-of-the-dravidian-people-and-the-evolutionary-emergence-of-the-tamil-language-an-introduction/" TargetMode="External" Id="rId10" /><Relationship Type="http://schemas.openxmlformats.org/officeDocument/2006/relationships/hyperlink" Target="https://www.ezhunaonline.com/dietary-habits-of-the-people-of-jaffna-2500-years-ago-facts-revealed-by-the-anaicottai-excavation/" TargetMode="External" Id="rId11" /><Relationship Type="http://schemas.openxmlformats.org/officeDocument/2006/relationships/hyperlink" Target="https://www.ezhunaonline.com/ochapu-kallu-is-an-ancient-nagar-settlement/" TargetMode="External" Id="rId12" /><Relationship Type="http://schemas.openxmlformats.org/officeDocument/2006/relationships/hyperlink" Target="https://www.ezhunaonline.com/inscription-about-nagar-on-thanga-tirumala-by-brahmin-divakan/" TargetMode="External" Id="rId13" /><Relationship Type="http://schemas.openxmlformats.org/officeDocument/2006/relationships/hyperlink" Target="https://www.ezhunaonline.com/on-the-border-of-ghazigamalai/" TargetMode="External" Id="rId14" /><Relationship Type="http://schemas.openxmlformats.org/officeDocument/2006/relationships/hyperlink" Target="https://www.ezhunaonline.com/inscriptions-about-nagar-found-on-rittikala-hill-arita-parvata-hill/" TargetMode="External" Id="rId15" /><Relationship Type="http://schemas.openxmlformats.org/officeDocument/2006/relationships/hyperlink" Target="https://www.ezhunaonline.com/inscription-of-naga-maharaja-on-rithi-viharai-hill/" TargetMode="External" Id="rId16" /><Relationship Type="http://schemas.openxmlformats.org/officeDocument/2006/relationships/hyperlink" Target="https://www.ezhunaonline.com/gandharoda-civilization-of-ancient-jaffna/" TargetMode="External" Id="rId17" /><Relationship Type="http://schemas.openxmlformats.org/officeDocument/2006/relationships/hyperlink" Target="https://www.ezhunaonline.com/geology-topography-and-ancient-settlements-of-jaffna/" TargetMode="External" Id="rId18" /><Relationship Type="http://schemas.openxmlformats.org/officeDocument/2006/relationships/hyperlink" Target="https://www.ezhunaonline.com/andiyagala-hill-inscription-where-siddhas-lived-2000-years-ago/" TargetMode="External" Id="rId19" /><Relationship Type="http://schemas.openxmlformats.org/officeDocument/2006/relationships/hyperlink" Target="https://www.ezhunaonline.com/hibauwa-inscription-about-the-naga-clan/" TargetMode="External" Id="rId20" /><Relationship Type="http://schemas.openxmlformats.org/officeDocument/2006/relationships/hyperlink" Target="https://www.ezhunaonline.com/nagaland-and-the-nagas-in-history-and-literary-records-part-2/" TargetMode="External" Id="rId21" /><Relationship Type="http://schemas.openxmlformats.org/officeDocument/2006/relationships/hyperlink" Target="https://www.ezhunaonline.com/the-dating-of-archaeological-artefacts/" TargetMode="External" Id="rId22" /><Relationship Type="http://schemas.openxmlformats.org/officeDocument/2006/relationships/hyperlink" Target="https://www.ezhunaonline.com/archaeology-of-kantarodai-part-3/" TargetMode="External" Id="rId23" /><Relationship Type="http://schemas.openxmlformats.org/officeDocument/2006/relationships/hyperlink" Target="https://www.ezhunaonline.com/anaikottai-archaeological-survey/" TargetMode="External" Id="rId24" /><Relationship Type="http://schemas.openxmlformats.org/officeDocument/2006/relationships/hyperlink" Target="https://www.ezhunaonline.com/the-kallanchiya-rock-inscription-tells-of-king-nagan/" TargetMode="External" Id="rId25" /><Relationship Type="http://schemas.openxmlformats.org/officeDocument/2006/relationships/hyperlink" Target="https://www.ezhunaonline.com/jaffna-city-pongoli-water-lion-city-part-2/" TargetMode="External" Id="rId26" /><Relationship Type="http://schemas.openxmlformats.org/officeDocument/2006/relationships/hyperlink" Target="https://www.ezhunaonline.com/vallipuram-and-nagercoil/" TargetMode="External" Id="rId27" /><Relationship Type="http://schemas.openxmlformats.org/officeDocument/2006/relationships/hyperlink" Target="https://www.ezhunaonline.com/early-settlements-near-the-jaffna-peninsula/" TargetMode="External" Id="rId28" /><Relationship Type="http://schemas.openxmlformats.org/officeDocument/2006/relationships/hyperlink" Target="https://www.ezhunaonline.com/primitive-settlements-in-the-northern-mainland-of-sri-lanka/" TargetMode="External" Id="rId29" /><Relationship Type="http://schemas.openxmlformats.org/officeDocument/2006/relationships/hyperlink" Target="https://www.ezhunaonline.com/early-iron-age-and-neolithic-culture-in-sri-lanka-part-3/" TargetMode="External" Id="rId30" /><Relationship Type="http://schemas.openxmlformats.org/officeDocument/2006/relationships/hyperlink" Target="https://www.ezhunaonline.com/history-of-naga-and-anuradhapura-kings-in-eastern-srilanka/" TargetMode="External" Id="rId31" /><Relationship Type="http://schemas.openxmlformats.org/officeDocument/2006/relationships/hyperlink" Target="https://www.ezhunaonline.com/the-first-ten-clans-of-eastern-sri-lanka/" TargetMode="External" Id="rId32" /><Relationship Type="http://schemas.openxmlformats.org/officeDocument/2006/relationships/hyperlink" Target="https://www.ezhunaonline.com/an-introduction-to-brahmi-inscriptions-in-sri-lanka/" TargetMode="External" Id="rId33" /><Relationship Type="http://schemas.openxmlformats.org/officeDocument/2006/relationships/hyperlink" Target="https://www.ezhunaonline.com/tamil-brahmi-inscription-in-ambanthotta-2/" TargetMode="External" Id="rId34" /><Relationship Type="http://schemas.openxmlformats.org/officeDocument/2006/relationships/hyperlink" Target="https://www.ezhunaonline.com/from-vattagamini-to-vattagamini/" TargetMode="External" Id="rId35" /><Relationship Type="http://schemas.openxmlformats.org/officeDocument/2006/relationships/hyperlink" Target="https://www.ezhunaonline.com/history-of-nagar-in-northern-sri-lanka/" TargetMode="External" Id="rId36" /><Relationship Type="http://schemas.openxmlformats.org/officeDocument/2006/relationships/hyperlink" Target="https://www.ezhunaonline.com/eastern-ruhunu-until-the-period-of-mahasenan/" TargetMode="External" Id="rId37" /><Relationship Type="http://schemas.openxmlformats.org/officeDocument/2006/relationships/hyperlink" Target="https://www.ezhunaonline.com/naga-culture-in-mihintala-anuradhapura/" TargetMode="External" Id="rId38" /><Relationship Type="http://schemas.openxmlformats.org/officeDocument/2006/relationships/hyperlink" Target="https://www.ezhunaonline.com/thissamaharama-inscription/" TargetMode="External" Id="rId39" /><Relationship Type="http://schemas.openxmlformats.org/officeDocument/2006/relationships/hyperlink" Target="https://www.ezhunaonline.com/archaeological-reseachers-of-nagar-in-sri-lanka/" TargetMode="External" Id="rId40" /><Relationship Type="http://schemas.openxmlformats.org/officeDocument/2006/relationships/hyperlink" Target="https://www.ezhunaonline.com/nagar-culture-in-sri-lankan-history-part-2/" TargetMode="External" Id="rId41" /><Relationship Type="http://schemas.openxmlformats.org/officeDocument/2006/relationships/hyperlink" Target="https://www.ezhunaonline.com/pidurangala-bhirami-inscription/" TargetMode="External" Id="rId42" /><Relationship Type="http://schemas.openxmlformats.org/officeDocument/2006/relationships/hyperlink" Target="https://www.ezhunaonline.com/sri-lanka-eastern-province-ancient-history/" TargetMode="External" Id="rId43" /><Relationship Type="http://schemas.openxmlformats.org/officeDocument/2006/relationships/hyperlink" Target="https://www.ezhunaonline.com/brahmi-inscription-about-sri-lankan-kingdoms/" TargetMode="External" Id="rId44" /><Relationship Type="http://schemas.openxmlformats.org/officeDocument/2006/relationships/hyperlink" Target="https://www.ezhunaonline.com/vessagiriya-inscription-that-tells-about-naga-blacksmith/" TargetMode="External" Id="rId45" /><Relationship Type="http://schemas.openxmlformats.org/officeDocument/2006/relationships/hyperlink" Target="https://www.ezhunaonline.com/the-wife-of-akkapothi-sri-lankan-eastern-history/" TargetMode="External" Id="rId46" /><Relationship Type="http://schemas.openxmlformats.org/officeDocument/2006/relationships/hyperlink" Target="https://www.ezhunaonline.com/kathirgamam-inscription-by-tamil-king-maha-nagan/" TargetMode="External" Id="rId47" /><Relationship Type="http://schemas.openxmlformats.org/officeDocument/2006/relationships/hyperlink" Target="https://www.ezhunaonline.com/siththar-rock-inscription-which-tell-about-maharajan/" TargetMode="External" Id="rId48" /><Relationship Type="http://schemas.openxmlformats.org/officeDocument/2006/relationships/hyperlink" Target="https://www.ezhunaonline.com/irakkamam-a-tax-free-village-for-anuradhapura-commander/" TargetMode="External" Id="rId49" /><Relationship Type="http://schemas.openxmlformats.org/officeDocument/2006/relationships/hyperlink" Target="https://www.ezhunaonline.com/archaeological-view-of-kathiramalai-kingdom/" TargetMode="External" Id="rId50" /><Relationship Type="http://schemas.openxmlformats.org/officeDocument/2006/relationships/hyperlink" Target="https://www.ezhunaonline.com/pandakiriya-inscription/" TargetMode="External" Id="rId51" /><Relationship Type="http://schemas.openxmlformats.org/officeDocument/2006/relationships/hyperlink" Target="https://www.ezhunaonline.com/padarkal-malai-inscrption/" TargetMode="External" Id="rId52" /><Relationship Type="http://schemas.openxmlformats.org/officeDocument/2006/relationships/hyperlink" Target="https://www.ezhunaonline.com/velodum-malai-nagamalai-inscription-mentions-maha-naga-king/" TargetMode="External" Id="rId53" /><Relationship Type="http://schemas.openxmlformats.org/officeDocument/2006/relationships/hyperlink" Target="https://www.ezhunaonline.com/inscriptions-about-nagar-on-pambarakasthalava-hill-nagaparvata-hill/" TargetMode="External" Id="rId54" /><Relationship Type="http://schemas.openxmlformats.org/officeDocument/2006/relationships/hyperlink" Target="https://www.ezhunaonline.com/tamil-brahmic-charters-of-vel-eelam-recently-discovered-in-poonagri-region/" TargetMode="External" Id="rId55" /><Relationship Type="http://schemas.openxmlformats.org/officeDocument/2006/relationships/hyperlink" Target="https://www.ezhunaonline.com/kalladi-niliyamman-hill-inscriptions-sri-lanka-mentions-the-naga-king-and-the-naga-canal/" TargetMode="External" Id="rId56" /><Relationship Type="http://schemas.openxmlformats.org/officeDocument/2006/relationships/hyperlink" Target="https://www.ezhunaonline.com/the-rajagala-inscriptions-refer-to-nagar/" TargetMode="External" Id="rId57" /><Relationship Type="http://schemas.openxmlformats.org/officeDocument/2006/relationships/hyperlink" Target="https://www.ezhunaonline.com/the-kudumbigala-hill-inscription-mentions-the-village-officer-nagan/" TargetMode="External" Id="rId58" /><Relationship Type="http://schemas.openxmlformats.org/officeDocument/2006/relationships/hyperlink" Target="https://www.ezhunaonline.com/chola-in-keekhagarai/" TargetMode="External" Id="rId59" /><Relationship Type="http://schemas.openxmlformats.org/officeDocument/2006/relationships/hyperlink" Target="https://www.ezhunaonline.com/muthukal-hill-inscriptions-mention-nagar/" TargetMode="External" Id="rId60" /><Relationship Type="http://schemas.openxmlformats.org/officeDocument/2006/relationships/hyperlink" Target="https://www.ezhunaonline.com/kayanguda-kumacholai-inscription-of-eastern-ceylon-viceroy/" TargetMode="External" Id="rId61" /><Relationship Type="http://schemas.openxmlformats.org/officeDocument/2006/relationships/hyperlink" Target="https://www.ezhunaonline.com/handagala-brahmic-inscriptions-refer-to-nagar/" TargetMode="External" Id="rId62" /><Relationship Type="http://schemas.openxmlformats.org/officeDocument/2006/relationships/hyperlink" Target="https://www.ezhunaonline.com/later-inscriptions-refer-to-tamils/" TargetMode="External" Id="rId63" /><Relationship Type="http://schemas.openxmlformats.org/officeDocument/2006/relationships/hyperlink" Target="https://www.ezhunaonline.com/kizhargalin-vampa-vendar/" TargetMode="External" Id="rId64" /><Relationship Type="http://schemas.openxmlformats.org/officeDocument/2006/relationships/hyperlink" Target="https://www.ezhunaonline.com/tamaraveva-pillar-inscription-referring-to-the-tamil-official-mahasathan/" TargetMode="External" Id="rId65" /><Relationship Type="http://schemas.openxmlformats.org/officeDocument/2006/relationships/hyperlink" Target="https://www.ezhunaonline.com/badulla-inscription/" TargetMode="External" Id="rId66" /><Relationship Type="http://schemas.openxmlformats.org/officeDocument/2006/relationships/hyperlink" Target="https://www.ezhunaonline.com/rediscovery-of-tamil-inscription-at-tambalagama/" TargetMode="External" Id="rId67" /><Relationship Type="http://schemas.openxmlformats.org/officeDocument/2006/relationships/hyperlink" Target="https://www.ezhunaonline.com/anuradhapura-inscription/" TargetMode="External" Id="rId68" /><Relationship Type="http://schemas.openxmlformats.org/officeDocument/2006/relationships/hyperlink" Target="https://www.ezhunaonline.com/rankoth-viharai-inscription/" TargetMode="External" Id="rId69" /><Relationship Type="http://schemas.openxmlformats.org/officeDocument/2006/relationships/hyperlink" Target="https://www.ezhunaonline.com/wessagiri-inscription/" TargetMode="External" Id="rId70" /><Relationship Type="http://schemas.openxmlformats.org/officeDocument/2006/relationships/hyperlink" Target="https://www.ezhunaonline.com/keekhakarai-paravani-inscriptioniii/" TargetMode="External" Id="rId71" /><Relationship Type="http://schemas.openxmlformats.org/officeDocument/2006/relationships/hyperlink" Target="https://www.ezhunaonline.com/the-biggest-undiscovered-tourist-destination-in-vanni/" TargetMode="External" Id="rId72" /><Relationship Type="http://schemas.openxmlformats.org/officeDocument/2006/relationships/hyperlink" Target="https://www.ezhunaonline.com/jaffna-fort/" TargetMode="External" Id="rId73" /><Relationship Type="http://schemas.openxmlformats.org/officeDocument/2006/relationships/hyperlink" Target="https://www.ezhunaonline.com/archaeological-research-of-jaffna-fort/" TargetMode="External" Id="rId74" /><Relationship Type="http://schemas.openxmlformats.org/officeDocument/2006/relationships/hyperlink" Target="https://www.ezhunaonline.com/the-coins-of-bhuvanaikabahu/" TargetMode="External" Id="rId75" /><Relationship Type="http://schemas.openxmlformats.org/officeDocument/2006/relationships/hyperlink" Target="https://www.ezhunaonline.com/batticaloa-history-iii/" TargetMode="External" Id="rId76" /><Relationship Type="http://schemas.openxmlformats.org/officeDocument/2006/relationships/hyperlink" Target="https://www.ezhunaonline.com/tamil-coin-of-ellalan/" TargetMode="External" Id="rId77" /><Relationship Type="http://schemas.openxmlformats.org/officeDocument/2006/relationships/hyperlink" Target="https://www.ezhunaonline.com/an-inscription-and-a-ruined-house-in-vanni/" TargetMode="External" Id="rId78" /><Relationship Type="http://schemas.openxmlformats.org/officeDocument/2006/relationships/hyperlink" Target="https://www.ezhunaonline.com/the-other-myths-of-batticaloa-2/" TargetMode="External" Id="rId79" /><Relationship Type="http://schemas.openxmlformats.org/officeDocument/2006/relationships/hyperlink" Target="https://www.ezhunaonline.com/timeline-of-sri-lankan-pre-history/" TargetMode="External" Id="rId80" /><Relationship Type="http://schemas.openxmlformats.org/officeDocument/2006/relationships/hyperlink" Target="https://www.ezhunaonline.com/the-initial-stage-of-sri-lankan-history-period/" TargetMode="External" Id="rId81" /><Relationship Type="http://schemas.openxmlformats.org/officeDocument/2006/relationships/hyperlink" Target="https://www.ezhunaonline.com/%e0%ae%ae%e0%ae%b0%e0%ae%aa%e0%af%81%e0%ae%b0%e0%ae%bf%e0%ae%ae%e0%af%88%e0%ae%95%e0%ae%b3%e0%af%88%e0%ae%aa%e0%af%8d-%e0%ae%aa%e0%ae%b1%e0%af%88%e0%ae%a4%e0%ae%b2%e0%af%8d-%e0%ae%87%e0%ae%b2/" TargetMode="External" Id="rId82" /><Relationship Type="http://schemas.openxmlformats.org/officeDocument/2006/relationships/hyperlink" Target="https://www.ezhunaonline.com/brahmic-inscriptions-on-tamils-in-ceylon-an-introduction/" TargetMode="External" Id="rId83" /><Relationship Type="http://schemas.openxmlformats.org/officeDocument/2006/relationships/hyperlink" Target="https://www.ezhunaonline.com/history-and-culture-of-srilankan-tamils-part-3/" TargetMode="External" Id="rId84" /><Relationship Type="http://schemas.openxmlformats.org/officeDocument/2006/relationships/hyperlink" Target="https://www.ezhunaonline.com/5brahmic-in-icriptions-tamils/" TargetMode="External" Id="rId85" /><Relationship Type="http://schemas.openxmlformats.org/officeDocument/2006/relationships/hyperlink" Target="https://www.ezhunaonline.com/historical-evidence-of-keekhakarai/" TargetMode="External" Id="rId86" /><Relationship Type="http://schemas.openxmlformats.org/officeDocument/2006/relationships/hyperlink" Target="https://www.ezhunaonline.com/tamil-vanikan-puliankulam-inscriptions/" TargetMode="External" Id="rId87" /><Relationship Type="http://schemas.openxmlformats.org/officeDocument/2006/relationships/hyperlink" Target="https://vanakkamlondon.com/stories/featured-story/2022/11/178155/" TargetMode="External" Id="rId88" /><Relationship Type="http://schemas.openxmlformats.org/officeDocument/2006/relationships/hyperlink" Target="https://www.ezhunaonline.com/seruvila-inscription-on-tamil-family-leader-guttan/" TargetMode="External" Id="rId89" /><Relationship Type="http://schemas.openxmlformats.org/officeDocument/2006/relationships/hyperlink" Target="https://www.ezhunaonline.com/tamil-inscription-found-in-the-vanni/" TargetMode="External" Id="rId90" /><Relationship Type="http://schemas.openxmlformats.org/officeDocument/2006/relationships/hyperlink" Target="https://www.ezhunaonline.com/gudvil-inscription-about-a-tamil-merchant-who-was-a-resident-of-dikavapi/" TargetMode="External" Id="rId91" /><Relationship Type="http://schemas.openxmlformats.org/officeDocument/2006/relationships/hyperlink" Target="https://www.ezhunaonline.com/evidence-for-keekhakarai-tamil-literature/" TargetMode="External" Id="rId92" /><Relationship Type="http://schemas.openxmlformats.org/officeDocument/2006/relationships/hyperlink" Target="https://www.ezhunaonline.com/alinthu-varum-maraburimai-sinnangal/" TargetMode="External" Id="rId93" /><Relationship Type="http://schemas.openxmlformats.org/officeDocument/2006/relationships/hyperlink" Target="https://www.ezhunaonline.com/yaalpana-nagarukku-mundhiya-thalainagarangal/" TargetMode="External" Id="rId94" /><Relationship Type="http://schemas.openxmlformats.org/officeDocument/2006/relationships/hyperlink" Target="https://www.his.jfn.ac.lk/?p=791" TargetMode="External" Id="rId95" /><Relationship Type="http://schemas.openxmlformats.org/officeDocument/2006/relationships/hyperlink" Target="https://www.his.jfn.ac.lk/?p=791" TargetMode="External" Id="rId96" /><Relationship Type="http://schemas.openxmlformats.org/officeDocument/2006/relationships/hyperlink" Target="https://www.his.jfn.ac.lk/?p=791" TargetMode="External" Id="rId97" /><Relationship Type="http://schemas.openxmlformats.org/officeDocument/2006/relationships/hyperlink" Target="https://www.worldgenweb.org/lkawgw/tamil-brahmi.htm" TargetMode="External" Id="rId98" /><Relationship Type="http://schemas.openxmlformats.org/officeDocument/2006/relationships/hyperlink" Target="https://www.ezhunaonline.com/article/brahmin-and-brahmatheya-in-sri-lankan-tamil-inscriptions/" TargetMode="External" Id="rId99" /><Relationship Type="http://schemas.openxmlformats.org/officeDocument/2006/relationships/hyperlink" Target="https://www.ezhunaonline.com/sangam-age-in-sri-lankan-brahmic-inscriptions/" TargetMode="External" Id="rId100" /><Relationship Type="http://schemas.openxmlformats.org/officeDocument/2006/relationships/hyperlink" Target="https://www.ezhunaonline.com/how-kannagi-worship-entered-sri-lanka/" TargetMode="External" Id="rId101" /><Relationship Type="http://schemas.openxmlformats.org/officeDocument/2006/relationships/hyperlink" Target="https://www.ezhunaonline.com/the-archaeological-value-of-cheddikulam/" TargetMode="External" Id="rId102" /><Relationship Type="http://schemas.openxmlformats.org/officeDocument/2006/relationships/hyperlink" Target="https://www.ezhunaonline.com/folk-religion-and-hinduism/" TargetMode="External" Id="rId103" /><Relationship Type="http://schemas.openxmlformats.org/officeDocument/2006/relationships/hyperlink" Target="https://www.ezhunaonline.com/kanaki-worship-in-ancient-tamil-culture/" TargetMode="External" Id="rId104" /><Relationship Type="http://schemas.openxmlformats.org/officeDocument/2006/relationships/hyperlink" Target="https://www.ezhunaonline.com/article/brahmi-script-and-early-literacy/" TargetMode="External" Id="rId105" /><Relationship Type="http://schemas.openxmlformats.org/officeDocument/2006/relationships/hyperlink" Target="https://www.ezhunaonline.com/compilation/buddhism-and-tamils-during-megalith-of-srilanka/" TargetMode="External" Id="rId106" /><Relationship Type="http://schemas.openxmlformats.org/officeDocument/2006/relationships/hyperlink" Target="https://www.ezhunaonline.com/history-of-ariya-kulam-jaffna/" TargetMode="External" Id="rId107" /><Relationship Type="http://schemas.openxmlformats.org/officeDocument/2006/relationships/hyperlink" Target="https://www.ezhunaonline.com/tamil-rasathani-in-vanni-kurundankula-temple/" TargetMode="External" Id="rId108" /><Relationship Type="http://schemas.openxmlformats.org/officeDocument/2006/relationships/hyperlink" Target="https://www.ezhunaonline.com/velana-palaeolithic-culture-at-chatti/" TargetMode="External" Id="rId109" /></Relationships>
</file>

<file path=xl/worksheets/_rels/sheet6.xml.rels><Relationships xmlns="http://schemas.openxmlformats.org/package/2006/relationships"><Relationship Type="http://schemas.openxmlformats.org/officeDocument/2006/relationships/hyperlink" Target="https://ta.wikipedia.org/wiki/%E0%AE%AF%E0%AE%BE%E0%AE%B4%E0%AF%8D%E0%AE%AA%E0%AF%8D%E0%AE%AA%E0%AE%BE%E0%AE%A3_%E0%AE%87%E0%AE%B0%E0%AE%BE%E0%AE%9A%E0%AF%8D%E0%AE%9A%E0%AE%BF%E0%AE%AF%E0%AE%A4%E0%AF%8D%E0%AE%A4%E0%AE%BF%E0%AE%A9%E0%AF%8D_%E0%AE%B5%E0%AE%B0%E0%AE%B2%E0%AE%BE%E0%AE%B1%E0%AF%81" TargetMode="External" Id="rId1" /><Relationship Type="http://schemas.openxmlformats.org/officeDocument/2006/relationships/hyperlink" Target="https://ta.wikipedia.org/wiki/%E0%AE%87%E0%AE%B2%E0%AE%99%E0%AF%8D%E0%AE%95%E0%AF%88%E0%AE%AF%E0%AE%BF%E0%AE%B2%E0%AF%8D_%E0%AE%89%E0%AE%B3%E0%AF%8D%E0%AE%B3_%E0%AE%A4%E0%AE%AE%E0%AE%BF%E0%AE%B4%E0%AF%8D%E0%AE%95%E0%AF%8D_%E0%AE%95%E0%AE%B2%E0%AF%8D%E0%AE%B5%E0%AF%86%E0%AE%9F%E0%AF%8D%E0%AE%9F%E0%AF%81%E0%AE%95%E0%AE%B3%E0%AF%8D" TargetMode="External" Id="rId2" /><Relationship Type="http://schemas.openxmlformats.org/officeDocument/2006/relationships/hyperlink" Target="https://uthayannews.ca/2025/12/19/%E0%AE%AF%E0%AE%BE%E0%AE%B4%E0%AF%8D%E0%AE%AA%E0%AF%8D%E0%AE%AA%E0%AE%BE%E0%AE%A3%E0%AE%AE%E0%AF%8D-%E0%AE%95%E0%AF%8B%E0%AE%9F%E0%AF%8D%E0%AE%9F%E0%AF%88%E0%AE%AF%E0%AF%88-%E0%AE%9A%E0%AF%81/" TargetMode="External" Id="rId3" /><Relationship Type="http://schemas.openxmlformats.org/officeDocument/2006/relationships/hyperlink" Target="https://amazinglanka.com/wp/sankiliyatital/" TargetMode="External" Id="rId4" /><Relationship Type="http://schemas.openxmlformats.org/officeDocument/2006/relationships/hyperlink" Target="https://ta.wikipedia.org/wiki/%E0%AE%A4%E0%AF%87%E0%AE%B5%E0%AE%A9%E0%AE%BE%E0%AE%AE%E0%AF%8D%E0%AE%AA%E0%AE%BF%E0%AE%B0%E0%AE%BF%E0%AE%AF%E0%AE%BE" TargetMode="External" Id="rId5" /><Relationship Type="http://schemas.openxmlformats.org/officeDocument/2006/relationships/hyperlink" Target="https://ta.wikipedia.org/wiki/%E0%AE%95%E0%AF%8B%E0%AE%AE%E0%AE%B0%E0%AE%99%E0%AF%8D%E0%AE%95%E0%AE%9F%E0%AE%B5%E0%AE%B2%E0%AF%88_%E0%AE%95%E0%AE%B2%E0%AF%8D%E0%AE%B5%E0%AF%86%E0%AE%9F%E0%AF%8D%E0%AE%9F%E0%AF%81" TargetMode="External" Id="rId6" /><Relationship Type="http://schemas.openxmlformats.org/officeDocument/2006/relationships/hyperlink" Target="https://www.lankapradeepa.com/2020/04/tamil-inscriptions-in-sri-lanka_16.html" TargetMode="External" Id="rId7" /><Relationship Type="http://schemas.openxmlformats.org/officeDocument/2006/relationships/hyperlink" Target="https://en.wikipedia.org/wiki/Pottery_of_Sri_Lanka" TargetMode="External" Id="rId8" /><Relationship Type="http://schemas.openxmlformats.org/officeDocument/2006/relationships/hyperlink" Target="https://en.wikipedia.org/wiki/Tamil_inscriptions" TargetMode="External" Id="rId9" /><Relationship Type="http://schemas.openxmlformats.org/officeDocument/2006/relationships/hyperlink" Target="https://ta.wikipedia.org/wiki/%E0%AE%B5%E0%AF%86%E0%AE%9F%E0%AF%81%E0%AE%95%E0%AF%8D%E0%AE%95%E0%AF%81%E0%AE%A8%E0%AE%BE%E0%AE%B1%E0%AE%BF%E0%AE%AE%E0%AE%B2%E0%AF%88_%E0%AE%86%E0%AE%A4%E0%AE%BF_%E0%AE%B2%E0%AE%BF%E0%AE%99%E0%AF%8D%E0%AE%95%E0%AF%87%E0%AE%B8%E0%AF%8D%E0%AE%B5%E0%AE%B0%E0%AE%B0%E0%AF%8D_%E0%AE%86%E0%AE%B2%E0%AE%AF%E0%AE%AE%E0%AF%8D" TargetMode="External" Id="rId10" /><Relationship Type="http://schemas.openxmlformats.org/officeDocument/2006/relationships/hyperlink" Target="https://en.wikipedia.org/wiki/Mantri_Manai" TargetMode="External" Id="rId11" /><Relationship Type="http://schemas.openxmlformats.org/officeDocument/2006/relationships/hyperlink" Target="https://ta.wikipedia.org/wiki/%E0%AE%A8%E0%AE%BE%E0%AE%9F%E0%AF%81_%E0%AE%95%E0%AE%BE%E0%AE%9F%E0%AF%8D%E0%AE%9F%E0%AF%81%E0%AE%AA%E0%AF%8D_%E0%AE%AA%E0%AE%B0%E0%AE%B5%E0%AE%A3%E0%AE%BF%E0%AE%95%E0%AF%8D_%E0%AE%95%E0%AE%B2%E0%AF%8D%E0%AE%B5%E0%AF%86%E0%AE%9F%E0%AF%8D%E0%AE%9F%E0%AF%81" TargetMode="External" Id="rId12" /><Relationship Type="http://schemas.openxmlformats.org/officeDocument/2006/relationships/hyperlink" Target="https://en.wikipedia.org/wiki/Velgam_Vehera" TargetMode="External" Id="rId13" /><Relationship Type="http://schemas.openxmlformats.org/officeDocument/2006/relationships/hyperlink" Target="https://en.wikipedia.org/wiki/Kulakkottan" TargetMode="External" Id="rId14" /><Relationship Type="http://schemas.openxmlformats.org/officeDocument/2006/relationships/hyperlink" Target="https://ta.wikipedia.org/wiki/%E0%AE%AF%E0%AE%BE%E0%AE%B4%E0%AF%8D%E0%AE%AA%E0%AF%8D%E0%AE%AA%E0%AE%BE%E0%AE%A3_%E0%AE%AE%E0%AE%BE%E0%AE%B5%E0%AE%9F%E0%AF%8D%E0%AE%9F%E0%AE%A4%E0%AF%8D%E0%AE%A4%E0%AE%BF%E0%AE%B2%E0%AF%8D_%E0%AE%A4%E0%AF%8A%E0%AE%B2%E0%AF%8D%E0%AE%B2%E0%AE%BF%E0%AE%AF%E0%AE%B2%E0%AF%8D_%E0%AE%B0%E0%AF%80%E0%AE%A4%E0%AE%BF%E0%AE%AF%E0%AE%BE%E0%AE%95_%E0%AE%AA%E0%AE%BE%E0%AE%A4%E0%AF%81%E0%AE%95%E0%AE%BE%E0%AE%95%E0%AF%8D%E0%AE%95%E0%AE%AA%E0%AF%8D%E0%AE%AA%E0%AE%9F%E0%AF%8D%E0%AE%9F_%E0%AE%A8%E0%AE%BF%E0%AE%A9%E0%AF%88%E0%AE%B5%E0%AF%81%E0%AE%9A%E0%AF%8D_%E0%AE%9A%E0%AE%BF%E0%AE%A9%E0%AF%8D%E0%AE%A9%E0%AE%99%E0%AF%8D%E0%AE%95%E0%AE%B3%E0%AE%BF%E0%AE%A9%E0%AF%8D_%E0%AE%AA%E0%AE%9F%E0%AF%8D%E0%AE%9F%E0%AE%BF%E0%AE%AF%E0%AE%B2%E0%AF%8D" TargetMode="External" Id="rId15" /><Relationship Type="http://schemas.openxmlformats.org/officeDocument/2006/relationships/hyperlink" Target="https://ta.wikipedia.org/wiki/%E0%AE%95%E0%AE%A8%E0%AF%8D%E0%AE%A4%E0%AE%B0%E0%AF%8B%E0%AE%9F%E0%AF%88_%E0%AE%A4%E0%AF%8A%E0%AE%B2%E0%AF%8D%E0%AE%B2%E0%AE%BF%E0%AE%AF%E0%AE%B2%E0%AF%8D_%E0%AE%95%E0%AE%B3%E0%AE%AE%E0%AF%8D" TargetMode="External" Id="rId16" /><Relationship Type="http://schemas.openxmlformats.org/officeDocument/2006/relationships/hyperlink" Target="https://ta.wikipedia.org/wiki/%E0%AE%86._%E0%AE%B5%E0%AF%87%E0%AE%B2%E0%AF%81%E0%AE%AA%E0%AF%8D%E0%AE%AA%E0%AE%BF%E0%AE%B3%E0%AF%8D%E0%AE%B3%E0%AF%88" TargetMode="External" Id="rId17" /><Relationship Type="http://schemas.openxmlformats.org/officeDocument/2006/relationships/hyperlink" Target="https://ta.wikipedia.org/wiki/%E0%AE%B5%E0%AF%86%E0%AE%B8%E0%AF%8D%E0%AE%B8%E0%AE%95%E0%AE%BF%E0%AE%B0%E0%AE%BF%E0%AE%AF" TargetMode="External" Id="rId18" /><Relationship Type="http://schemas.openxmlformats.org/officeDocument/2006/relationships/hyperlink" Target="https://ta.wikipedia.org/wiki/%E0%AE%85%E0%AE%A9%E0%AF%81%E0%AE%B0%E0%AE%BE%E0%AE%A4%E0%AE%AA%E0%AF%81%E0%AE%B0%E0%AE%AE%E0%AF%8D_%E0%AE%85%E0%AE%B0%E0%AF%81%E0%AE%99%E0%AF%8D%E0%AE%95%E0%AE%BE%E0%AE%9F%E0%AF%8D%E0%AE%9A%E0%AE%BF%E0%AE%AF%E0%AE%95%E0%AE%AE%E0%AF%8D" TargetMode="External" Id="rId19" /><Relationship Type="http://schemas.openxmlformats.org/officeDocument/2006/relationships/hyperlink" Target="https://ta.wikipedia.org/wiki/%E0%AE%9A%E0%AF%87%E0%AE%A9%E0%AE%B0%E0%AE%A4%E0%AF%8D_%E0%AE%AA%E0%AE%B0%E0%AE%A3%E0%AE%B5%E0%AE%BF%E0%AE%A4%E0%AE%BE%E0%AE%A9" TargetMode="External" Id="rId20" /><Relationship Type="http://schemas.openxmlformats.org/officeDocument/2006/relationships/hyperlink" Target="https://ta.wikipedia.org/wiki/%E0%AE%A4%E0%AF%8A%E0%AE%B2%E0%AF%8D%E0%AE%AA%E0%AF%8A%E0%AE%B0%E0%AF%81%E0%AE%B3%E0%AF%8D_%E0%AE%95%E0%AE%BE%E0%AE%9F%E0%AF%8D%E0%AE%9A%E0%AE%BF%E0%AE%9A%E0%AF%8D%E0%AE%9A%E0%AE%BE%E0%AE%B2%E0%AF%88%2C_%E0%AE%B5%E0%AE%B5%E0%AF%81%E0%AE%A9%E0%AE%BF%E0%AE%AF%E0%AE%BE" TargetMode="External" Id="rId21" /><Relationship Type="http://schemas.openxmlformats.org/officeDocument/2006/relationships/hyperlink" Target="https://ta.wikipedia.org/wiki/%E0%AE%9A%E0%AE%BF%E0%AE%B0%E0%AE%BE%E0%AE%A9%E0%AF%8D_%E0%AE%89%E0%AE%AA%E0%AF%87%E0%AE%A8%E0%AF%8D%E0%AE%A4%E0%AE%BF%E0%AE%B0_%E0%AE%A4%E0%AF%86%E0%AE%B0%E0%AE%A3%E0%AE%BF%E0%AE%AF%E0%AE%95%E0%AE%B2" TargetMode="External" Id="rId22" /><Relationship Type="http://schemas.openxmlformats.org/officeDocument/2006/relationships/hyperlink" Target="https://ta.wikipedia.org/wiki/%E0%AE%A4%E0%AF%8A%E0%AE%B2%E0%AF%8D%E0%AE%AA%E0%AF%8A%E0%AE%B0%E0%AF%81%E0%AE%B3%E0%AE%BF%E0%AE%AF%E0%AE%B2%E0%AF%8D_%E0%AE%A4%E0%AE%BF%E0%AE%A3%E0%AF%88%E0%AE%95%E0%AF%8D%E0%AE%95%E0%AE%B3%E0%AE%AE%E0%AF%8D%2C_%E0%AE%87%E0%AE%B2%E0%AE%99%E0%AF%8D%E0%AE%95%E0%AF%88" TargetMode="External" Id="rId23" /><Relationship Type="http://schemas.openxmlformats.org/officeDocument/2006/relationships/hyperlink" Target="https://ta.wikipedia.org/wiki/%E0%AE%85%E0%AE%AA%E0%AE%AF%E0%AE%95%E0%AE%BF%E0%AE%B0%E0%AE%BF%E0%AE%A4%E0%AF%8D_%E0%AE%A4%E0%AE%AE%E0%AE%BF%E0%AE%B4%E0%AF%8D%E0%AE%95%E0%AF%8D_%E0%AE%95%E0%AE%B2%E0%AF%8D%E0%AE%B5%E0%AF%86%E0%AE%9F%E0%AF%8D%E0%AE%9F%E0%AF%81" TargetMode="External" Id="rId24" /><Relationship Type="http://schemas.openxmlformats.org/officeDocument/2006/relationships/hyperlink" Target="https://ta.wikipedia.org/wiki/%E0%AE%87%E0%AE%B2%E0%AE%99%E0%AF%8D%E0%AE%95%E0%AF%88%E0%AE%A4%E0%AF%8D_%E0%AE%A4%E0%AE%AE%E0%AE%BF%E0%AE%B4%E0%AF%8D%E0%AE%95%E0%AF%8D_%E0%AE%95%E0%AE%B2%E0%AF%8D%E0%AE%B5%E0%AF%86%E0%AE%9F%E0%AF%8D%E0%AE%9F%E0%AF%81%E0%AE%95%E0%AF%8D%E0%AE%95%E0%AE%B3%E0%AE%BF%E0%AE%A9%E0%AF%8D_%E0%AE%AA%E0%AE%9F%E0%AF%8D%E0%AE%9F%E0%AE%BF%E0%AE%AF%E0%AE%B2%E0%AF%8D" TargetMode="External" Id="rId25" /><Relationship Type="http://schemas.openxmlformats.org/officeDocument/2006/relationships/hyperlink" Target="https://ta.wikipedia.org/wiki/%E0%AE%85%E0%AE%A9%E0%AF%81%E0%AE%B0%E0%AE%BE%E0%AE%A4%E0%AE%AA%E0%AF%81%E0%AE%B0%E0%AE%AE%E0%AF%8D_%E0%AE%95%E0%AF%81%E0%AE%AE%E0%AE%BE%E0%AE%B0%E0%AE%95%E0%AE%A3%E0%AE%A4%E0%AF%8D%E0%AE%A4%E0%AF%81%E0%AE%AA%E0%AF%8D_%E0%AE%AA%E0%AF%87%E0%AE%B0%E0%AF%82%E0%AE%B0%E0%AE%BE%E0%AE%B0%E0%AF%8D_%E0%AE%95%E0%AE%B2%E0%AF%8D%E0%AE%B5%E0%AF%86%E0%AE%9F%E0%AF%8D%E0%AE%9F%E0%AF%81%E0%AE%95%E0%AF%8D%E0%AE%95%E0%AE%B3%E0%AF%8D" TargetMode="External" Id="rId26" /><Relationship Type="http://schemas.openxmlformats.org/officeDocument/2006/relationships/hyperlink" Target="https://ta.wikipedia.org/wiki/%E0%AE%A4%E0%AE%BE%E0%AE%B4%E0%AE%BF%E0%AE%95%E0%AF%81%E0%AE%AE%E0%AE%BE%E0%AE%B0%E0%AE%A9%E0%AF%8D_%E0%AE%95%E0%AE%B2%E0%AF%8D%E0%AE%B5%E0%AF%86%E0%AE%9F%E0%AF%8D%E0%AE%9F%E0%AF%81_%28%E0%AE%AE%E0%AE%BE%E0%AE%A4%E0%AF%8B%E0%AE%9F%E0%AF%8D%E0%AE%9F%E0%AE%AE%E0%AF%8D%29" TargetMode="External" Id="rId27" /><Relationship Type="http://schemas.openxmlformats.org/officeDocument/2006/relationships/hyperlink" Target="https://ta.wikipedia.org/wiki/%E0%AE%AA%E0%AE%B3%E0%AE%AE%E0%AF%8B%E0%AE%9F%E0%AF%8D%E0%AE%9F%E0%AF%88%E0%AE%95%E0%AF%8D_%E0%AE%95%E0%AE%B2%E0%AF%8D%E0%AE%B5%E0%AF%86%E0%AE%9F%E0%AF%8D%E0%AE%9F%E0%AF%81" TargetMode="External" Id="rId28" /><Relationship Type="http://schemas.openxmlformats.org/officeDocument/2006/relationships/hyperlink" Target="https://ta.wikipedia.org/wiki/%E0%AE%AE%E0%AE%BE%E0%AE%A9%E0%AE%BE%E0%AE%99%E0%AF%8D%E0%AE%95%E0%AF%87%E0%AE%A3%E0%AE%BF%E0%AE%95%E0%AF%8D_%E0%AE%95%E0%AE%B2%E0%AF%8D%E0%AE%B5%E0%AF%86%E0%AE%9F%E0%AF%8D%E0%AE%9F%E0%AF%81" TargetMode="External" Id="rId29" /><Relationship Type="http://schemas.openxmlformats.org/officeDocument/2006/relationships/hyperlink" Target="https://ta.wikipedia.org/wiki/%E0%AE%A8%E0%AE%BF%E0%AE%B2%E0%AE%BE%E0%AE%B5%E0%AF%86%E0%AE%B3%E0%AE%BF%E0%AE%95%E0%AF%8D_%E0%AE%95%E0%AE%B2%E0%AF%8D%E0%AE%B5%E0%AF%86%E0%AE%9F%E0%AF%8D%E0%AE%9F%E0%AF%81" TargetMode="External" Id="rId30" /><Relationship Type="http://schemas.openxmlformats.org/officeDocument/2006/relationships/hyperlink" Target="https://ta.wikipedia.org/wiki/%E0%AE%85%E0%AE%A4%E0%AE%B0%E0%AE%95%E0%AF%81%E0%AE%B3%E0%AE%BF%E0%AE%AF_%E0%AE%95%E0%AE%B2%E0%AF%8D%E0%AE%B5%E0%AF%86%E0%AE%9F%E0%AF%8D%E0%AE%9F%E0%AF%81" TargetMode="External" Id="rId31" /><Relationship Type="http://schemas.openxmlformats.org/officeDocument/2006/relationships/hyperlink" Target="https://ta.wikipedia.org/wiki/%E0%AE%86%E0%AE%A4%E0%AE%95%E0%AE%9F_%E0%AE%95%E0%AE%B2%E0%AF%8D%E0%AE%B5%E0%AF%86%E0%AE%9F%E0%AF%8D%E0%AE%9F%E0%AF%81" TargetMode="External" Id="rId32" /><Relationship Type="http://schemas.openxmlformats.org/officeDocument/2006/relationships/hyperlink" Target="https://ta.wikipedia.org/wiki/%E0%AE%9A%E0%AE%BF%E0%AE%B1%E0%AF%81%E0%AE%95%E0%AF%81%E0%AE%B3%E0%AE%A4%E0%AF%8D%E0%AE%A4%E0%AF%82%E0%AE%B0%E0%AF%8D_%E0%AE%89%E0%AE%9F%E0%AF%88%E0%AE%AF%E0%AE%BE%E0%AE%A9%E0%AF%8D_%E0%AE%95%E0%AE%B2%E0%AF%8D%E0%AE%B5%E0%AF%86%E0%AE%9F%E0%AF%8D%E0%AE%9F%E0%AF%81" TargetMode="External" Id="rId33" /><Relationship Type="http://schemas.openxmlformats.org/officeDocument/2006/relationships/hyperlink" Target="https://ta.wikipedia.org/wiki/%E0%AE%AA%E0%AF%8A%E0%AE%B2%E0%AE%A8%E0%AE%B1%E0%AF%81%E0%AE%B5%E0%AF%88_%E0%AE%B5%E0%AF%87%E0%AE%B3%E0%AF%88%E0%AE%95%E0%AF%8D%E0%AE%95%E0%AE%BE%E0%AE%B0%E0%AE%B0%E0%AF%8D_%E0%AE%95%E0%AE%B2%E0%AF%8D%E0%AE%B5%E0%AF%86%E0%AE%9F%E0%AF%8D%E0%AE%9F%E0%AF%81" TargetMode="External" Id="rId34" /><Relationship Type="http://schemas.openxmlformats.org/officeDocument/2006/relationships/hyperlink" Target="https://ta.wikipedia.org/wiki/%E0%AE%AE%E0%AE%AF%E0%AE%BF%E0%AE%B2%E0%AE%A9%E0%AF%8D_%E0%AE%95%E0%AF%81%E0%AE%B3%E0%AE%AE%E0%AF%8D_%E0%AE%B5%E0%AF%87%E0%AE%B3%E0%AF%88%E0%AE%95%E0%AF%8D%E0%AE%95%E0%AE%BE%E0%AE%B0%E0%AE%B0%E0%AF%8D_%E0%AE%95%E0%AE%B2%E0%AF%8D%E0%AE%B5%E0%AF%86%E0%AE%9F%E0%AF%8D%E0%AE%9F%E0%AF%81" TargetMode="External" Id="rId35" /><Relationship Type="http://schemas.openxmlformats.org/officeDocument/2006/relationships/hyperlink" Target="https://en.wikipedia.org/wiki/Department_of_Archaeology_%28Sri_Lanka%29" TargetMode="External" Id="rId36" /><Relationship Type="http://schemas.openxmlformats.org/officeDocument/2006/relationships/hyperlink" Target="https://en.wikipedia.org/wiki/Megalithic_graffiti_symbols" TargetMode="External" Id="rId37" /><Relationship Type="http://schemas.openxmlformats.org/officeDocument/2006/relationships/hyperlink" Target="https://ta.wikipedia.org/wiki/%E0%AE%AF%E0%AE%BE%E0%AE%B4%E0%AF%8D%E0%AE%AA%E0%AF%8D%E0%AE%AA%E0%AE%BE%E0%AE%A3_%E0%AE%87%E0%AE%B0%E0%AE%BE%E0%AE%9A%E0%AF%8D%E0%AE%9A%E0%AE%BF%E0%AE%AF%E0%AE%AE%E0%AF%8D_%28%E0%AE%9A%E0%AE%BF%E0%AE%B1%E0%AF%8D%E0%AE%B1%E0%AE%AE%E0%AF%8D%E0%AE%AA%E0%AE%B2%E0%AE%AE%E0%AF%8D%29" TargetMode="External" Id="rId38" /><Relationship Type="http://schemas.openxmlformats.org/officeDocument/2006/relationships/hyperlink" Target="https://ta.wikipedia.org/wiki/%E0%AE%95%E0%AE%BE%E0%AE%B2%E0%AE%BF_%E0%AE%AE%E0%AF%81%E0%AE%AE%E0%AF%8D%E0%AE%AE%E0%AF%8A%E0%AE%B4%E0%AE%BF%E0%AE%95%E0%AF%8D_%E0%AE%95%E0%AE%B2%E0%AF%8D%E0%AE%B5%E0%AF%86%E0%AE%9F%E0%AF%8D%E0%AE%9F%E0%AF%81" TargetMode="External" Id="rId39" /><Relationship Type="http://schemas.openxmlformats.org/officeDocument/2006/relationships/hyperlink" Target="https://ta.wikipedia.org/wiki/%E0%AE%AF%E0%AE%BE%E0%AE%B4%E0%AF%8D%E0%AE%AA%E0%AF%8D%E0%AE%AA%E0%AE%BE%E0%AE%A3%E0%AE%A4%E0%AF%8D%E0%AE%A4%E0%AF%81%E0%AE%9A%E0%AF%8D_%E0%AE%9A%E0%AE%BE%E0%AE%9A%E0%AE%A9%E0%AE%99%E0%AF%8D%E0%AE%95%E0%AE%B3%E0%AF%8D" TargetMode="External" Id="rId40" /><Relationship Type="http://schemas.openxmlformats.org/officeDocument/2006/relationships/hyperlink" Target="https://ta.wikipedia.org/wiki/%E0%AE%87%E0%AE%B2%E0%AE%99%E0%AF%8D%E0%AE%95%E0%AF%88%E0%AE%AF%E0%AE%BF%E0%AE%B2%E0%AF%8D_%E0%AE%9A%E0%AE%99%E0%AF%8D%E0%AE%95%E0%AE%95%E0%AE%BE%E0%AE%B2_%E0%AE%A8%E0%AE%BE%E0%AE%A3%E0%AE%AF%E0%AE%99%E0%AF%8D%E0%AE%95%E0%AE%B3%E0%AF%8D" TargetMode="External" Id="rId41" /><Relationship Type="http://schemas.openxmlformats.org/officeDocument/2006/relationships/hyperlink" Target="https://ta.wikipedia.org/wiki/%E0%AE%A8%E0%AE%AF%E0%AE%BF%E0%AE%A9%E0%AE%BE%E0%AE%A4%E0%AF%80%E0%AE%B5%E0%AF%81%E0%AE%95%E0%AF%8D_%E0%AE%95%E0%AE%B2%E0%AF%8D%E0%AE%B5%E0%AF%86%E0%AE%9F%E0%AF%8D%E0%AE%9F%E0%AF%81" TargetMode="External" Id="rId42" /><Relationship Type="http://schemas.openxmlformats.org/officeDocument/2006/relationships/hyperlink" Target="https://ta.wikipedia.org/wiki/%E0%AE%AF%E0%AE%BE%E0%AE%B4%E0%AF%8D%E0%AE%AA%E0%AF%8D%E0%AE%AA%E0%AE%BE%E0%AE%A3%E0%AE%AE%E0%AF%8D_%E0%AE%AA%E0%AE%BF%E0%AE%B0%E0%AE%A4%E0%AE%BE%E0%AE%A9_%E0%AE%B5%E0%AF%80%E0%AE%A4%E0%AE%BF%E0%AE%95%E0%AF%8D_%E0%AE%95%E0%AE%B2%E0%AF%8D%E0%AE%B5%E0%AF%86%E0%AE%9F%E0%AF%8D%E0%AE%9F%E0%AF%81" TargetMode="External" Id="rId43" /><Relationship Type="http://schemas.openxmlformats.org/officeDocument/2006/relationships/hyperlink" Target="https://ta.wikipedia.org/wiki/%E0%AE%95%E0%AE%B0%E0%AF%81%E0%AE%A3%E0%AE%BE%E0%AE%95%E0%AE%B0%E0%AE%AA%E0%AF%8D_%E0%AE%AA%E0%AE%BF%E0%AE%B3%E0%AF%8D%E0%AE%B3%E0%AF%88%E0%AE%AF%E0%AE%BE%E0%AE%B0%E0%AF%8D_%E0%AE%95%E0%AF%8B%E0%AE%AF%E0%AE%BF%E0%AE%B1%E0%AF%8D_%E0%AE%95%E0%AE%B2%E0%AF%8D%E0%AE%B5%E0%AF%86%E0%AE%9F%E0%AF%8D%E0%AE%9F%E0%AF%81" TargetMode="External" Id="rId44" /><Relationship Type="http://schemas.openxmlformats.org/officeDocument/2006/relationships/hyperlink" Target="https://ta.wikipedia.org/wiki/%E0%AE%87%E0%AE%B0%E0%AE%A4%E0%AF%8D%E0%AE%A4%E0%AE%BF%E0%AE%A9%E0%AE%AA%E0%AF%81%E0%AE%B0%E0%AE%BF_%E0%AE%A4%E0%AF%87%E0%AE%9A%E0%AE%BF%E0%AE%AF_%E0%AE%A8%E0%AF%82%E0%AE%A4%E0%AE%A9%E0%AE%9A%E0%AE%BE%E0%AE%B2%E0%AF%88" TargetMode="External" Id="rId45" /><Relationship Type="http://schemas.openxmlformats.org/officeDocument/2006/relationships/hyperlink" Target="https://ta.wikipedia.org/wiki/%E0%AE%9A%E0%AF%80%E0%AE%A9%E0%AE%B0%E0%AF%8D_-_%E0%AE%A4%E0%AE%AE%E0%AE%BF%E0%AE%B4%E0%AE%B0%E0%AF%8D_%E0%AE%A4%E0%AF%8A%E0%AE%9F%E0%AE%B0%E0%AF%8D%E0%AE%AA%E0%AF%81%E0%AE%95%E0%AE%B3%E0%AF%8D" TargetMode="External" Id="rId46" /><Relationship Type="http://schemas.openxmlformats.org/officeDocument/2006/relationships/hyperlink" Target="https://ta.wikipedia.org/wiki/%E0%AE%B5%E0%AF%87%E0%AE%B3%E0%AE%BF%E0%AE%B0%E0%AF%8D_%28%E0%AE%88%E0%AE%B4%E0%AE%AE%E0%AF%8D%29" TargetMode="External" Id="rId47" /><Relationship Type="http://schemas.openxmlformats.org/officeDocument/2006/relationships/hyperlink" Target="https://en.wikipedia.org/wiki/Archaeological_Museum%2C_Jaffna" TargetMode="External" Id="rId48" /><Relationship Type="http://schemas.openxmlformats.org/officeDocument/2006/relationships/hyperlink" Target="https://en.wikipedia.org/wiki/History_of_the_Jaffna_kingdom" TargetMode="External" Id="rId49" /><Relationship Type="http://schemas.openxmlformats.org/officeDocument/2006/relationships/hyperlink" Target="https://southeastasianarchaeology.com/2012/06/27/prehistoric-skeleton-found-in-sri-lanka" TargetMode="External" Id="rId50" /><Relationship Type="http://schemas.openxmlformats.org/officeDocument/2006/relationships/hyperlink" Target="https://en.wikipedia.org/wiki/Anaikoddai_seal" TargetMode="External" Id="rId51" /><Relationship Type="http://schemas.openxmlformats.org/officeDocument/2006/relationships/hyperlink" Target="https://ta.wikipedia.org/wiki/%E0%AE%87%E0%AE%B2%E0%AE%99%E0%AF%8D%E0%AE%95%E0%AF%88%E0%AE%A4%E0%AF%8D_%E0%AE%A4%E0%AE%AE%E0%AE%BF%E0%AE%B4%E0%AE%B0%E0%AF%8D_%E0%AE%B5%E0%AE%B0%E0%AE%B2%E0%AE%BE%E0%AE%B1%E0%AF%81_-_%E0%AE%A4%E0%AE%AE%E0%AE%BF%E0%AE%B4%E0%AF%8D_%E0%AE%A8%E0%AF%82%E0%AE%B2%E0%AF%8D_%E0%AE%AA%E0%AE%9F%E0%AF%8D%E0%AE%9F%E0%AE%BF%E0%AE%AF%E0%AE%B2%E0%AF%8D" TargetMode="External" Id="rId52" /><Relationship Type="http://schemas.openxmlformats.org/officeDocument/2006/relationships/hyperlink" Target="https://ta.wikipedia.org/wiki/%E0%AE%AE%E0%AE%9F%E0%AF%8D%E0%AE%9F%E0%AE%95%E0%AF%8D%E0%AE%95%E0%AE%B3%E0%AE%AA%E0%AF%8D%E0%AE%AA%E0%AF%81_%E0%AE%AE%E0%AE%BE%E0%AE%A9%E0%AF%8D%E0%AE%AE%E0%AE%BF%E0%AE%AF%E0%AE%AE%E0%AF%8D" TargetMode="External" Id="rId53" /><Relationship Type="http://schemas.openxmlformats.org/officeDocument/2006/relationships/hyperlink" Target="https://ta.wikipedia.org/wiki/%E0%AE%A8%E0%AE%BE%E0%AE%AF%E0%AE%A9%E0%AF%8D%E0%AE%AE%E0%AE%BE%E0%AE%B0%E0%AF%8D%E0%AE%95%E0%AE%9F%E0%AF%8D%E0%AE%9F%E0%AF%81%E0%AE%95%E0%AF%8D_%E0%AE%95%E0%AE%B2%E0%AF%8D%E0%AE%B5%E0%AF%86%E0%AE%9F%E0%AF%8D%E0%AE%9F%E0%AF%81" TargetMode="External" Id="rId54" /><Relationship Type="http://schemas.openxmlformats.org/officeDocument/2006/relationships/hyperlink" Target="https://en.wikipedia.org/wiki/Tissamaharama_inscription_No._53" TargetMode="External" Id="rId55" /><Relationship Type="http://schemas.openxmlformats.org/officeDocument/2006/relationships/hyperlink" Target="https://en.wikipedia.org/wiki/Prehistory_of_Sri_Lanka" TargetMode="External" Id="rId56" /><Relationship Type="http://schemas.openxmlformats.org/officeDocument/2006/relationships/hyperlink" Target="https://ta.wikipedia.org/wiki/%E0%AE%95%E0%AE%BE._%E0%AE%87%E0%AE%A8%E0%AF%8D%E0%AE%A4%E0%AE%BF%E0%AE%B0%E0%AE%AA%E0%AE%BE%E0%AE%B2%E0%AE%BE" TargetMode="External" Id="rId57" /><Relationship Type="http://schemas.openxmlformats.org/officeDocument/2006/relationships/hyperlink" Target="https://en.wikipedia.org/wiki/Kandarodai" TargetMode="External" Id="rId58" /><Relationship Type="http://schemas.openxmlformats.org/officeDocument/2006/relationships/hyperlink" Target="https://ta.wikipedia.org/wiki/%E0%AE%A4%E0%AE%AE%E0%AE%BF%E0%AE%B4%E0%AE%BF" TargetMode="External" Id="rId59" /><Relationship Type="http://schemas.openxmlformats.org/officeDocument/2006/relationships/hyperlink" Target="https://en.wikipedia.org/wiki/Naga_people_%28Lanka%29" TargetMode="External" Id="rId60" /><Relationship Type="http://schemas.openxmlformats.org/officeDocument/2006/relationships/hyperlink" Target="https://ta.wikipedia.org/wiki/%E0%AE%AA%E0%AF%8A._%E0%AE%AA%E0%AF%82%E0%AE%B2%E0%AF%8B%E0%AE%95%E0%AE%9A%E0%AE%BF%E0%AE%99%E0%AF%8D%E0%AE%95%E0%AE%AE%E0%AF%8D" TargetMode="External" Id="rId61" /><Relationship Type="http://schemas.openxmlformats.org/officeDocument/2006/relationships/hyperlink" Target="https://en.wikipedia.org/wiki/Velanai" TargetMode="External" Id="rId62" /><Relationship Type="http://schemas.openxmlformats.org/officeDocument/2006/relationships/hyperlink" Target="https://ta.wikipedia.org/wiki/%E0%AE%A8%E0%AE%BE%E0%AE%9F%E0%AF%81%E0%AE%95%E0%AE%B3%E0%AF%8D_%E0%AE%85%E0%AE%9F%E0%AE%BF%E0%AE%AA%E0%AF%8D%E0%AE%AA%E0%AE%9F%E0%AF%88%E0%AE%AF%E0%AE%BF%E0%AE%B2%E0%AF%8D_%E0%AE%A4%E0%AF%8A%E0%AE%B2%E0%AF%8D%E0%AE%B2%E0%AE%BF%E0%AE%AF%E0%AE%B2%E0%AF%8D_%E0%AE%95%E0%AE%B3%E0%AE%99%E0%AF%8D%E0%AE%95%E0%AE%B3%E0%AE%BF%E0%AE%A9%E0%AF%8D_%E0%AE%AA%E0%AE%9F%E0%AF%8D%E0%AE%9F%E0%AE%BF%E0%AE%AF%E0%AE%B2%E0%AF%8D" TargetMode="External" Id="rId63" /><Relationship Type="http://schemas.openxmlformats.org/officeDocument/2006/relationships/hyperlink" Target="https://en.wikipedia.org/wiki/Tamil-Brahmi" TargetMode="External" Id="rId64" /><Relationship Type="http://schemas.openxmlformats.org/officeDocument/2006/relationships/hyperlink" Target="https://amazinglanka.com/wp/buddhist-shrines-in-batticaloa-and-ampara/" TargetMode="External" Id="rId65" /><Relationship Type="http://schemas.openxmlformats.org/officeDocument/2006/relationships/hyperlink" Target="https://en.wikipedia.org/wiki/Buddhism_amongst_Tamils_in_Sri_Lanka" TargetMode="External" Id="rId66" /><Relationship Type="http://schemas.openxmlformats.org/officeDocument/2006/relationships/hyperlink" Target="https://amazinglanka.com/wp/jaffna/" TargetMode="External" Id="rId67" /><Relationship Type="http://schemas.openxmlformats.org/officeDocument/2006/relationships/hyperlink" Target="https://amazinglanka.com/wp/tikali/" TargetMode="External" Id="rId68" /><Relationship Type="http://schemas.openxmlformats.org/officeDocument/2006/relationships/hyperlink" Target="https://en.wikipedia.org/wiki/Cankilian_Thoppu" TargetMode="External" Id="rId69" /><Relationship Type="http://schemas.openxmlformats.org/officeDocument/2006/relationships/hyperlink" Target="https://en.wikipedia.org/wiki/List_of_Archaeological_Protected_Monuments_in_Jaffna_District" TargetMode="External" Id="rId70" /><Relationship Type="http://schemas.openxmlformats.org/officeDocument/2006/relationships/hyperlink" Target="https://amazinglanka.com/wp/manniththalai-settlements/" TargetMode="External" Id="rId71" /><Relationship Type="http://schemas.openxmlformats.org/officeDocument/2006/relationships/hyperlink" Target="https://en.wikipedia.org/wiki/Sources_of_ancient_Tamil_history" TargetMode="External" Id="rId72" /><Relationship Type="http://schemas.openxmlformats.org/officeDocument/2006/relationships/hyperlink" Target="https://en.wikipedia.org/wiki/Vallipuram" TargetMode="External" Id="rId73" /><Relationship Type="http://schemas.openxmlformats.org/officeDocument/2006/relationships/hyperlink" Target="https://amazinglanka.com/wp/vanni-bandara-en/" TargetMode="External" Id="rId74" /><Relationship Type="http://schemas.openxmlformats.org/officeDocument/2006/relationships/hyperlink" Target="https://ta.wikipedia.org/wiki/%E0%AE%85%E0%AE%A9%E0%AF%81%E0%AE%B0%E0%AE%BE%E0%AE%A4%E0%AE%AA%E0%AF%81%E0%AE%B0%E0%AE%AE%E0%AF%8D_%E0%AE%A8%E0%AE%BE%E0%AE%A9%E0%AF%8D%E0%AE%95%E0%AF%81_%E0%AE%A8%E0%AE%BE%E0%AE%9F%E0%AF%8D%E0%AE%9F%E0%AE%BE%E0%AE%B0%E0%AF%8D_%E0%AE%95%E0%AE%B2%E0%AF%8D%E0%AE%B5%E0%AF%86%E0%AE%9F%E0%AF%8D%E0%AE%9F%E0%AF%81" TargetMode="External" Id="rId75" /><Relationship Type="http://schemas.openxmlformats.org/officeDocument/2006/relationships/hyperlink" Target="https://ta.wikipedia.org/wiki/%E0%AE%95%E0%AF%8B%E0%AE%AA%E0%AF%8D%E0%AE%AA%E0%AE%BE%E0%AE%AF%E0%AF%8D_%E0%AE%9A%E0%AE%99%E0%AF%8D%E0%AE%95%E0%AE%BF%E0%AE%B2%E0%AE%BF%E0%AE%AF%E0%AE%A9%E0%AF%8D_%E0%AE%95%E0%AF%8B%E0%AE%9F%E0%AF%8D%E0%AE%9F%E0%AF%88" TargetMode="External" Id="rId76" /><Relationship Type="http://schemas.openxmlformats.org/officeDocument/2006/relationships/hyperlink" Target="https://ta.wikipedia.org/wiki/%E0%AE%A4%E0%AE%AE%E0%AE%BF%E0%AE%B4%E0%AF%8D%E0%AE%95%E0%AF%8D_%E0%AE%95%E0%AE%B2%E0%AF%8D%E0%AE%B5%E0%AF%86%E0%AE%9F%E0%AF%8D%E0%AE%9F%E0%AF%81%E0%AE%95%E0%AE%B3%E0%AF%8D" TargetMode="External" Id="rId77" /><Relationship Type="http://schemas.openxmlformats.org/officeDocument/2006/relationships/hyperlink" Target="https://ta.wikipedia.org/wiki/%E0%AE%A4%E0%AE%AE%E0%AF%8D%E0%AE%AA%E0%AE%BF%E0%AE%B2%E0%AF%81%E0%AE%B5%E0%AE%BF%E0%AE%B2%E0%AF%8D_%E0%AE%95%E0%AE%B2%E0%AF%8D%E0%AE%B5%E0%AF%86%E0%AE%9F%E0%AF%8D%E0%AE%9F%E0%AF%81" TargetMode="External" Id="rId78" /><Relationship Type="http://schemas.openxmlformats.org/officeDocument/2006/relationships/hyperlink" Target="https://telibrary.com/category/history/%E0%AE%AF%E0%AE%BE%E0%AE%B4%E0%AF%8D%E0%AE%AA%E0%AF%8D%E0%AE%AA%E0%AE%BE%E0%AE%A3-%E0%AE%87%E0%AE%B0%E0%AE%BE%E0%AE%9A%E0%AF%8D%E0%AE%9A%E0%AE%BF%E0%AE%AF%E0%AE%AE%E0%AF%8D/" TargetMode="External" Id="rId79" /><Relationship Type="http://schemas.openxmlformats.org/officeDocument/2006/relationships/hyperlink" Target="https://treasurehouseofjaffna.com/%E0%AE%AF%E0%AE%BE%E0%AE%B4%E0%AF%8D%E0%AE%AA%E0%AF%8D%E0%AE%AA%E0%AE%BE%E0%AE%A3-%E0%AE%B5%E0%AE%B0%E0%AE%B2%E0%AE%BE%E0%AE%B1%E0%AF%81/" TargetMode="External" Id="rId80" /><Relationship Type="http://schemas.openxmlformats.org/officeDocument/2006/relationships/hyperlink" Target="https://shritharan.com/parliamentary-work/%E0%AE%AF%E0%AE%BE%E0%AE%B4%E0%AF%8D%E0%AE%AA%E0%AF%8D%E0%AE%AA%E0%AE%BE%E0%AE%A3%E0%AE%AE%E0%AF%8D-%E0%AE%86%E0%AE%A9%E0%AF%88%E0%AE%95%E0%AF%8D%E0%AE%95%E0%AF%8B%E0%AE%9F%E0%AF%8D%E0%AE%9F%E0%AF%88/" TargetMode="External" Id="rId81" /></Relationships>
</file>

<file path=xl/worksheets/_rels/sheet7.xml.rels><Relationships xmlns="http://schemas.openxmlformats.org/package/2006/relationships"><Relationship Type="http://schemas.openxmlformats.org/officeDocument/2006/relationships/hyperlink" Target="https://doi.org/10.17302/kshl2567" TargetMode="External" Id="rId1" /><Relationship Type="http://schemas.openxmlformats.org/officeDocument/2006/relationships/hyperlink" Target="https://www.tamilguardian.com/content/prof-pathmanathans-new-book-sheds-light-early-jaffna-civilisation" TargetMode="External" Id="rId2" /><Relationship Type="http://schemas.openxmlformats.org/officeDocument/2006/relationships/hyperlink" Target="https://www.ezhunaonline.com/books/tamils-in-the-inscriptions-of-brahmi-and-sinhala/" TargetMode="External" Id="rId3" /><Relationship Type="http://schemas.openxmlformats.org/officeDocument/2006/relationships/hyperlink" Target="https://en.wikipedia.org/wiki/K._Indrapala" TargetMode="External" Id="rId4" /><Relationship Type="http://schemas.openxmlformats.org/officeDocument/2006/relationships/hyperlink" Target="https://noolaham.org/wiki/index.php/&#2951;&#2994;&#2969;&#3021;&#2965;&#3016;&#2980;&#3021;_&#2980;&#2990;&#3007;&#2996;&#2992;&#3021;:_&#2962;&#2992;&#3009;_&#2970;&#3009;&#2992;&#3009;&#2965;&#3021;&#2965;_&#2997;&#2992;&#2994;&#3006;&#2993;&#3009;" TargetMode="External" Id="rId5" /><Relationship Type="http://schemas.openxmlformats.org/officeDocument/2006/relationships/hyperlink" Target="https://noolaham.org/wiki/index.php/&#2952;&#2996;&#2980;&#3021;_&#2980;&#2990;&#3007;&#2996;&#2992;&#3021;_&#2990;&#2992;&#2986;&#3009;&#2992;&#3007;&#2990;&#3016;_&#2949;&#2975;&#3016;&#2991;&#3006;&#2995;&#2969;&#3021;&#2965;&#2995;&#3021;" TargetMode="External" Id="rId6" /><Relationship Type="http://schemas.openxmlformats.org/officeDocument/2006/relationships/hyperlink" Target="https://noolaham.net/project/810/80954/80954.pdf" TargetMode="External" Id="rId7" /><Relationship Type="http://schemas.openxmlformats.org/officeDocument/2006/relationships/hyperlink" Target="https://www.his.jfn.ac.lk/index.php/profkarunthavarajah/" TargetMode="External" Id="rId8" /><Relationship Type="http://schemas.openxmlformats.org/officeDocument/2006/relationships/hyperlink" Target="https://noolaham.org/wiki/index.php/&#2951;&#2994;&#2969;&#3021;&#2965;&#3016;&#2991;&#3007;&#2994;&#3021;_&#2980;&#2990;&#3007;&#2996;&#2992;&#3021;:_&#2963;&#2992;&#3021;_&#2951;&#2985;&#2965;&#3021;&#2965;&#3009;&#2996;&#3009;_&#2950;&#2965;&#3021;&#2965;&#2990;&#3021;_&#2986;&#3014;&#2993;&#3021;&#2993;_&#2997;&#2992;&#2994;&#3006;&#2993;&#3009;" TargetMode="External" Id="rId9" /><Relationship Type="http://schemas.openxmlformats.org/officeDocument/2006/relationships/hyperlink" Target="https://noolaham.org/wiki/index.php/&#2984;&#2994;&#3021;&#2994;&#3010;&#2992;&#3021;_&#2951;&#2992;&#3006;&#2972;&#2980;&#3006;&#2985;&#3007;&#2991;&#3009;&#2990;&#3021;_&#2991;&#3006;&#2996;&#3021;&#2986;&#3021;&#2986;&#3006;&#2979;&#2965;&#3021;_&#2965;&#3019;&#2975;&#3021;&#2975;&#3016;&#2991;&#3009;&#2990;&#3021;_-_&#2990;&#3008;&#2995;&#3021;&#2997;&#3006;&#2970;&#3007;&#2986;&#3021;&#2986;&#3009;" TargetMode="External" Id="rId10" /><Relationship Type="http://schemas.openxmlformats.org/officeDocument/2006/relationships/hyperlink" Target="https://www.his.jfn.ac.lk/index.php/profkarunthavarajah/" TargetMode="External" Id="rId11" /><Relationship Type="http://schemas.openxmlformats.org/officeDocument/2006/relationships/hyperlink" Target="https://opac.busl.ac.lk/bib/14671" TargetMode="External" Id="rId12" /><Relationship Type="http://schemas.openxmlformats.org/officeDocument/2006/relationships/hyperlink" Target="https://www.sundaytimes.lk/080504/Plus/plus000025.html" TargetMode="External" Id="rId13" /><Relationship Type="http://schemas.openxmlformats.org/officeDocument/2006/relationships/hyperlink" Target="https://jfn.ac.lk/prof-s-pathmanathan/" TargetMode="External" Id="rId14" /><Relationship Type="http://schemas.openxmlformats.org/officeDocument/2006/relationships/hyperlink" Target="https://en.wikipedia.org/wiki/S._Pathmanathan" TargetMode="External" Id="rId15" /><Relationship Type="http://schemas.openxmlformats.org/officeDocument/2006/relationships/hyperlink" Target="https://jfn.ac.lk/prof-s-pathmanathan/" TargetMode="External" Id="rId16" /><Relationship Type="http://schemas.openxmlformats.org/officeDocument/2006/relationships/hyperlink" Target="https://en.wikipedia.org/wiki/K._Indrapala" TargetMode="External" Id="rId17" /><Relationship Type="http://schemas.openxmlformats.org/officeDocument/2006/relationships/hyperlink" Target="https://unioncatalogue.dlp.gov.lk/Record/batt.35119/Similar" TargetMode="External" Id="rId18" /><Relationship Type="http://schemas.openxmlformats.org/officeDocument/2006/relationships/hyperlink" Target="https://jfn.ac.lk/prof-s-pathmanathan/" TargetMode="External" Id="rId19" /><Relationship Type="http://schemas.openxmlformats.org/officeDocument/2006/relationships/hyperlink" Target="https://en.wikipedia.org/wiki/S._Pathmanathan" TargetMode="External" Id="rId20" /><Relationship Type="http://schemas.openxmlformats.org/officeDocument/2006/relationships/hyperlink" Target="https://noolaham.org/wiki/index.php/&#2980;&#2990;&#3007;&#2996;&#3021;_&#2958;&#2996;&#3009;&#2980;&#3021;&#2980;&#3007;&#2985;&#3021;_&#2980;&#3019;&#2993;&#3021;&#2993;&#2990;&#3021;" TargetMode="External" Id="rId21" /><Relationship Type="http://schemas.openxmlformats.org/officeDocument/2006/relationships/hyperlink" Target="https://vedamsbooks.com/books/early_tamil_epigraphy_from_the_earliest_times_to_the_sixth_century_c_e_volume_1_tamil_brahmi_inscriptions" TargetMode="External" Id="rId22" /><Relationship Type="http://schemas.openxmlformats.org/officeDocument/2006/relationships/hyperlink" Target="https://jfn.ac.lk/prof-s-pathmanathan/" TargetMode="External" Id="rId23" /><Relationship Type="http://schemas.openxmlformats.org/officeDocument/2006/relationships/hyperlink" Target="https://noolaham.org/wiki/index.php/&#2980;&#3018;&#2994;&#3021;&#2994;&#3007;&#2991;&#2994;&#3021;_&#2984;&#3019;&#2965;&#3021;&#2965;&#3007;&#2994;&#3021;_&#2951;&#2994;&#2969;&#3021;&#2965;&#3016;&#2980;&#3021;_&#2980;&#2990;&#3007;&#2996;&#2992;&#3021;_&#2986;&#2979;&#3021;&#2986;&#3006;&#2975;&#3009;" TargetMode="External" Id="rId24" /><Relationship Type="http://schemas.openxmlformats.org/officeDocument/2006/relationships/hyperlink" Target="https://mannar.dlp.gov.lk/bib/9820" TargetMode="External" Id="rId25" /><Relationship Type="http://schemas.openxmlformats.org/officeDocument/2006/relationships/hyperlink" Target="https://noolaham.org/wiki/index.php/Naka_Dynasty_as_Gleaned_from_the_Archaeological_Evidences_in_Sri_Lanka" TargetMode="External" Id="rId26" /><Relationship Type="http://schemas.openxmlformats.org/officeDocument/2006/relationships/hyperlink" Target="https://noolaham.org/wiki/index.php/&#2980;&#3018;&#2994;&#3021;&#2994;&#3007;&#2991;&#2994;&#3021;_&#2984;&#3019;&#2965;&#3021;&#2965;&#3007;&#2994;&#3021;_&#2952;&#2996;&#2980;&#3021;&#2980;&#2990;&#3007;&#2996;&#2992;&#3007;&#2985;&#3021;_&#2986;&#2979;&#3021;&#2975;&#3016;&#2991;&#2965;&#3006;&#2994;_&#2990;&#2980;&#2990;&#3009;&#2990;&#3021;_&#2965;&#2994;&#3016;&#2991;&#3009;&#2990;&#3021;" TargetMode="External" Id="rId27" /><Relationship Type="http://schemas.openxmlformats.org/officeDocument/2006/relationships/hyperlink" Target="https://en.wikipedia.org/wiki/S._Pathmanathan" TargetMode="External" Id="rId28" /><Relationship Type="http://schemas.openxmlformats.org/officeDocument/2006/relationships/hyperlink" Target="https://noolaham.org/wiki/index.php/&#2951;&#2994;&#2969;&#3021;&#2965;&#3016;&#2980;&#3021;_&#2980;&#2990;&#3007;&#2996;&#2992;&#3007;&#2985;&#3021;_&#2986;&#2979;&#3021;&#2975;&#3016;&#2991;_&#2965;&#3006;&#2994;_&#2984;&#3006;&#2979;&#2991;&#2969;&#3021;&#2965;&#2995;&#3021;" TargetMode="External" Id="rId29" /><Relationship Type="http://schemas.openxmlformats.org/officeDocument/2006/relationships/hyperlink" Target="https://noolaham.org/wiki/index.php/&#2986;&#2979;&#3021;&#2975;&#3016;&#2991;_&#2951;&#2994;&#2969;&#3021;&#2965;&#3016;&#2991;&#3007;&#2994;&#3021;_&#2980;&#2990;&#3007;&#2996;&#3009;&#2990;&#3021;_&#2980;&#2990;&#3007;&#2996;&#2992;&#3009;&#2990;&#3021;" TargetMode="External" Id="rId30" /><Relationship Type="http://schemas.openxmlformats.org/officeDocument/2006/relationships/hyperlink" Target="https://jfn.ac.lk/prof-s-pathmanathan/" TargetMode="External" Id="rId31" /><Relationship Type="http://schemas.openxmlformats.org/officeDocument/2006/relationships/hyperlink" Target="https://jfn.ac.lk/prof-s-pathmanathan/" TargetMode="External" Id="rId32" /><Relationship Type="http://schemas.openxmlformats.org/officeDocument/2006/relationships/hyperlink" Target="https://www.sundaytimes.lk/000423/plus3.html" TargetMode="External" Id="rId33" /><Relationship Type="http://schemas.openxmlformats.org/officeDocument/2006/relationships/hyperlink" Target="https://unioncatalogue.dlp.gov.lk/Record/poin.4050/Description" TargetMode="External" Id="rId34" /><Relationship Type="http://schemas.openxmlformats.org/officeDocument/2006/relationships/hyperlink" Target="https://noolaham.org/wiki/index.php/Epigraphia_Zeylanica_3" TargetMode="External" Id="rId35" /><Relationship Type="http://schemas.openxmlformats.org/officeDocument/2006/relationships/hyperlink" Target="https://noolaham.org/wiki/index.php/%E0%AE%95%E0%AF%8B%E0%AE%A3%E0%AF%87%E0%AE%9A%E0%AE%B0%E0%AF%8D_%E0%AE%95%E0%AE%B2%E0%AF%8D%E0%AE%B5%E0%AF%86%E0%AE%9F%E0%AF%8D%E0%AE%9F%E0%AF%81" TargetMode="External" Id="rId36" /><Relationship Type="http://schemas.openxmlformats.org/officeDocument/2006/relationships/hyperlink" Target="https://noolaham.org/wiki/index.php/%E0%AE%AA%E0%AF%82%E0%AE%A8%E0%AE%95%E0%AE%B0%E0%AE%BF_%E0%AE%A4%E0%AF%8A%E0%AE%B2%E0%AF%8D%E0%AE%AA%E0%AF%8A%E0%AE%B0%E0%AF%81%E0%AE%B3%E0%AE%BE%E0%AE%AF%E0%AF%8D%E0%AE%B5%E0%AF%81" TargetMode="External" Id="rId37" /><Relationship Type="http://schemas.openxmlformats.org/officeDocument/2006/relationships/hyperlink" Target="https://noolaham.org/wiki/index.php/&#2997;&#2975;_&#2951;&#2994;&#2969;&#3021;&#2965;&#3016;&#2991;&#3007;&#2994;&#3021;_&#2970;&#3007;&#2969;&#3021;&#2965;&#3016;&#2984;&#2965;&#2992;&#3021;" TargetMode="External" Id="rId38" /><Relationship Type="http://schemas.openxmlformats.org/officeDocument/2006/relationships/hyperlink" Target="https://noolaham.org/wiki/index.php/&#2980;&#2990;&#3007;&#2996;&#2992;&#3021;_&#2997;&#2992;&#2994;&#3006;&#2993;&#3009;&#2990;&#3021;_&#2951;&#2994;&#2969;&#3021;&#2965;&#3016;_&#2951;&#2975;&#2986;&#3021;&#2986;&#3014;&#2991;&#2992;&#3021;_&#2950;&#2991;&#3021;&#2997;&#3009;&#2990;&#3021;" TargetMode="External" Id="rId39" /><Relationship Type="http://schemas.openxmlformats.org/officeDocument/2006/relationships/hyperlink" Target="https://noolaham.net/project/18/1733/1733.html" TargetMode="External" Id="rId40" /><Relationship Type="http://schemas.openxmlformats.org/officeDocument/2006/relationships/hyperlink" Target="https://find.library.upenn.edu/catalog/997779313503681" TargetMode="External" Id="rId41" /><Relationship Type="http://schemas.openxmlformats.org/officeDocument/2006/relationships/hyperlink" Target="https://www.lankapradeepa.com/2020/04/tamil-inscriptions-in-sri-lanka_16.html" TargetMode="External" Id="rId42" /><Relationship Type="http://schemas.openxmlformats.org/officeDocument/2006/relationships/hyperlink" Target="https://noolaham.net/project/977/97628/97628.pdf" TargetMode="External" Id="rId43" /><Relationship Type="http://schemas.openxmlformats.org/officeDocument/2006/relationships/hyperlink" Target="https://noolaham.net/project/1316/131542/131542.pdf" TargetMode="External" Id="rId44" /><Relationship Type="http://schemas.openxmlformats.org/officeDocument/2006/relationships/hyperlink" Target="https://noolaham.org/wiki/index.php/Tamil_Place_Names_as_Gleaned_from_the_Brahmi_Inscriptions_of_Sri_Lanka" TargetMode="External" Id="rId45" /><Relationship Type="http://schemas.openxmlformats.org/officeDocument/2006/relationships/hyperlink" Target="http://lib.vau.jfn.ac.lk/cgi-bin/koha/opac-detail.pl?biblionumber=44042&amp;shelfbrowse_itemnumber=55269" TargetMode="External" Id="rId46" /><Relationship Type="http://schemas.openxmlformats.org/officeDocument/2006/relationships/hyperlink" Target="https://noolaham.org/wiki/index.php/&#2986;&#2965;&#3009;&#2986;&#3021;&#2986;&#3009;:&#2986;&#3009;&#2999;&#3021;&#2986;&#2992;&#2975;&#3021;&#2979;&#2990;&#3021;,_&#2986;&#2992;&#2990;&#3009;" TargetMode="External" Id="rId47" /><Relationship Type="http://schemas.openxmlformats.org/officeDocument/2006/relationships/hyperlink" Target="https://www.his.jfn.ac.lk/index.php/__trashed/" TargetMode="External" Id="rId48" /><Relationship Type="http://schemas.openxmlformats.org/officeDocument/2006/relationships/hyperlink" Target="https://doi.org/10.18535/sshj.v10i08.2489" TargetMode="External" Id="rId49" /><Relationship Type="http://schemas.openxmlformats.org/officeDocument/2006/relationships/hyperlink" Target="https://doi.org/10.2139/ssrn.6422478" TargetMode="External" Id="rId50" /><Relationship Type="http://schemas.openxmlformats.org/officeDocument/2006/relationships/hyperlink" Target="https://doi.org/10.48336/247" TargetMode="External" Id="rId51" /><Relationship Type="http://schemas.openxmlformats.org/officeDocument/2006/relationships/hyperlink" Target="https://doi.org/10.1080/15564894.2026.2624853" TargetMode="External" Id="rId52" /><Relationship Type="http://schemas.openxmlformats.org/officeDocument/2006/relationships/hyperlink" Target="https://doi.org/10.1016/j.quaint.2026.110251" TargetMode="External" Id="rId53" /><Relationship Type="http://schemas.openxmlformats.org/officeDocument/2006/relationships/hyperlink" Target="https://doi.org/10.32381/sear.2025.50.9" TargetMode="External" Id="rId54" /><Relationship Type="http://schemas.openxmlformats.org/officeDocument/2006/relationships/hyperlink" Target="https://doi.org/10.4038/kjms.v8i1.183" TargetMode="External" Id="rId55" /><Relationship Type="http://schemas.openxmlformats.org/officeDocument/2006/relationships/hyperlink" Target="https://doi.org/10.4038/p.v16i1.58" TargetMode="External" Id="rId56" /><Relationship Type="http://schemas.openxmlformats.org/officeDocument/2006/relationships/hyperlink" Target="https://doi.org/10.1007/s41636-026-00636-0" TargetMode="External" Id="rId57" /><Relationship Type="http://schemas.openxmlformats.org/officeDocument/2006/relationships/hyperlink" Target="https://doi.org/10.5281/zenodo.22870959" TargetMode="External" Id="rId58" /><Relationship Type="http://schemas.openxmlformats.org/officeDocument/2006/relationships/hyperlink" Target="https://fhss.niibs.lk/wp-content/uploads/2025/02/Investigation-of-Ancient-Pre-colonial-Monuments-in-Jaffna-Sri-Lanka.pdf" TargetMode="External" Id="rId59" /><Relationship Type="http://schemas.openxmlformats.org/officeDocument/2006/relationships/hyperlink" Target="https://www.his.jfn.ac.lk/index.php/__trashed/" TargetMode="External" Id="rId60" /><Relationship Type="http://schemas.openxmlformats.org/officeDocument/2006/relationships/hyperlink" Target="https://www.his.jfn.ac.lk/index.php/mrs-ajiththa-suganthan/" TargetMode="External" Id="rId61" /><Relationship Type="http://schemas.openxmlformats.org/officeDocument/2006/relationships/hyperlink" Target="https://doi.org/10.4038/p.v15i2.21" TargetMode="External" Id="rId62" /><Relationship Type="http://schemas.openxmlformats.org/officeDocument/2006/relationships/hyperlink" Target="https://doi.org/10.51767/jha0308" TargetMode="External" Id="rId63" /><Relationship Type="http://schemas.openxmlformats.org/officeDocument/2006/relationships/hyperlink" Target="https://doi.org/10.15613/hijrh/2025/v12i1/52698" TargetMode="External" Id="rId64" /><Relationship Type="http://schemas.openxmlformats.org/officeDocument/2006/relationships/hyperlink" Target="https://doi.org/10.64920/drc2025027" TargetMode="External" Id="rId65" /><Relationship Type="http://schemas.openxmlformats.org/officeDocument/2006/relationships/hyperlink" Target="https://nijhss.niibs.lk/download/?id=52" TargetMode="External" Id="rId66" /><Relationship Type="http://schemas.openxmlformats.org/officeDocument/2006/relationships/hyperlink" Target="https://doi.org/10.66142/crisia.2025.06" TargetMode="External" Id="rId67" /><Relationship Type="http://schemas.openxmlformats.org/officeDocument/2006/relationships/hyperlink" Target="https://doi.org/10.29173/anlk856" TargetMode="External" Id="rId68" /><Relationship Type="http://schemas.openxmlformats.org/officeDocument/2006/relationships/hyperlink" Target="https://doi.org/10.29173/anlk872" TargetMode="External" Id="rId69" /><Relationship Type="http://schemas.openxmlformats.org/officeDocument/2006/relationships/hyperlink" Target="https://doi.org/10.29173/anlk858" TargetMode="External" Id="rId70" /><Relationship Type="http://schemas.openxmlformats.org/officeDocument/2006/relationships/hyperlink" Target="https://doi.org/10.22452/jtp.vol14no2.12" TargetMode="External" Id="rId71" /><Relationship Type="http://schemas.openxmlformats.org/officeDocument/2006/relationships/hyperlink" Target="https://www.his.jfn.ac.lk/index.php/mrs-ajiththa-suganthan/" TargetMode="External" Id="rId72" /><Relationship Type="http://schemas.openxmlformats.org/officeDocument/2006/relationships/hyperlink" Target="https://www.his.jfn.ac.lk/index.php/__trashed/" TargetMode="External" Id="rId73" /><Relationship Type="http://schemas.openxmlformats.org/officeDocument/2006/relationships/hyperlink" Target="https://doi.org/10.1111/aman.13949" TargetMode="External" Id="rId74" /><Relationship Type="http://schemas.openxmlformats.org/officeDocument/2006/relationships/hyperlink" Target="https://doi.org/10.4314/ijma.v3i21.3" TargetMode="External" Id="rId75" /><Relationship Type="http://schemas.openxmlformats.org/officeDocument/2006/relationships/hyperlink" Target="https://doi.org/10.29173/anlk817" TargetMode="External" Id="rId76" /><Relationship Type="http://schemas.openxmlformats.org/officeDocument/2006/relationships/hyperlink" Target="https://doi.org/10.29173/anlk838" TargetMode="External" Id="rId77" /><Relationship Type="http://schemas.openxmlformats.org/officeDocument/2006/relationships/hyperlink" Target="https://www.his.jfn.ac.lk/index.php/__trashed/" TargetMode="External" Id="rId78" /><Relationship Type="http://schemas.openxmlformats.org/officeDocument/2006/relationships/hyperlink" Target="https://www.his.jfn.ac.lk/index.php/ms-mahalingam-ushanthy/" TargetMode="External" Id="rId79" /><Relationship Type="http://schemas.openxmlformats.org/officeDocument/2006/relationships/hyperlink" Target="https://www.his.jfn.ac.lk/index.php/mrs-ajiththa-suganthan/" TargetMode="External" Id="rId80" /><Relationship Type="http://schemas.openxmlformats.org/officeDocument/2006/relationships/hyperlink" Target="https://www.his.jfn.ac.lk/?p=1706" TargetMode="External" Id="rId81" /><Relationship Type="http://schemas.openxmlformats.org/officeDocument/2006/relationships/hyperlink" Target="https://www.his.jfn.ac.lk/index.php/mrs-ajiththa-suganthan/" TargetMode="External" Id="rId82" /><Relationship Type="http://schemas.openxmlformats.org/officeDocument/2006/relationships/hyperlink" Target="https://www.his.jfn.ac.lk/index.php/__trashed/" TargetMode="External" Id="rId83" /><Relationship Type="http://schemas.openxmlformats.org/officeDocument/2006/relationships/hyperlink" Target="https://www.his.jfn.ac.lk/index.php/__trashed/" TargetMode="External" Id="rId84" /><Relationship Type="http://schemas.openxmlformats.org/officeDocument/2006/relationships/hyperlink" Target="https://www.his.jfn.ac.lk/index.php/__trashed/" TargetMode="External" Id="rId85" /><Relationship Type="http://schemas.openxmlformats.org/officeDocument/2006/relationships/hyperlink" Target="https://shanlaxjournals.in/journals/index.php/tamil/article/view/6193" TargetMode="External" Id="rId86" /><Relationship Type="http://schemas.openxmlformats.org/officeDocument/2006/relationships/hyperlink" Target="https://doi.org/10.34293/tamil.v7i4.6183" TargetMode="External" Id="rId87" /><Relationship Type="http://schemas.openxmlformats.org/officeDocument/2006/relationships/hyperlink" Target="https://doi.org/10.52567/pjsr.v5i02.1343" TargetMode="External" Id="rId88" /><Relationship Type="http://schemas.openxmlformats.org/officeDocument/2006/relationships/hyperlink" Target="https://doi.org/10.22452/jtp.vol12no2.10" TargetMode="External" Id="rId89" /><Relationship Type="http://schemas.openxmlformats.org/officeDocument/2006/relationships/hyperlink" Target="https://doi.org/10.4038/tjata.v4i1.91" TargetMode="External" Id="rId90" /><Relationship Type="http://schemas.openxmlformats.org/officeDocument/2006/relationships/hyperlink" Target="https://archaeology.gov.lk/media/attachments/2022/09/07/ac27updated.pdf" TargetMode="External" Id="rId91" /><Relationship Type="http://schemas.openxmlformats.org/officeDocument/2006/relationships/hyperlink" Target="https://www.his.jfn.ac.lk/?p=791" TargetMode="External" Id="rId92" /><Relationship Type="http://schemas.openxmlformats.org/officeDocument/2006/relationships/hyperlink" Target="https://www.his.jfn.ac.lk/index.php/mrs-ajiththa-suganthan/" TargetMode="External" Id="rId93" /><Relationship Type="http://schemas.openxmlformats.org/officeDocument/2006/relationships/hyperlink" Target="https://www.his.jfn.ac.lk/?p=1706" TargetMode="External" Id="rId94" /><Relationship Type="http://schemas.openxmlformats.org/officeDocument/2006/relationships/hyperlink" Target="https://doi.org/10.47509/jhaa.2022.v02i01.06" TargetMode="External" Id="rId95" /><Relationship Type="http://schemas.openxmlformats.org/officeDocument/2006/relationships/hyperlink" Target="https://doi.org/10.4324/9781003276753-9" TargetMode="External" Id="rId96" /><Relationship Type="http://schemas.openxmlformats.org/officeDocument/2006/relationships/hyperlink" Target="https://doi.org/10.17501/26510243.2021.2101" TargetMode="External" Id="rId97" /><Relationship Type="http://schemas.openxmlformats.org/officeDocument/2006/relationships/hyperlink" Target="https://doi.org/10.54392/ijot2236" TargetMode="External" Id="rId98" /><Relationship Type="http://schemas.openxmlformats.org/officeDocument/2006/relationships/hyperlink" Target="https://ir.lib.shimane-u.ac.jp/54548" TargetMode="External" Id="rId99" /><Relationship Type="http://schemas.openxmlformats.org/officeDocument/2006/relationships/hyperlink" Target="https://mrujs.mtroyal.ca/index.php/anlk/article/view/634" TargetMode="External" Id="rId100" /><Relationship Type="http://schemas.openxmlformats.org/officeDocument/2006/relationships/hyperlink" Target="https://doi.org/10.29173/anlk655" TargetMode="External" Id="rId101" /><Relationship Type="http://schemas.openxmlformats.org/officeDocument/2006/relationships/hyperlink" Target="https://doi.org/10.29173/anlk635" TargetMode="External" Id="rId102" /><Relationship Type="http://schemas.openxmlformats.org/officeDocument/2006/relationships/hyperlink" Target="https://doi.org/10.29173/anlk658" TargetMode="External" Id="rId103" /><Relationship Type="http://schemas.openxmlformats.org/officeDocument/2006/relationships/hyperlink" Target="https://www.his.jfn.ac.lk/index.php/mrs-s-arulanantham/" TargetMode="External" Id="rId104" /><Relationship Type="http://schemas.openxmlformats.org/officeDocument/2006/relationships/hyperlink" Target="https://www.his.jfn.ac.lk/?p=1706" TargetMode="External" Id="rId105" /><Relationship Type="http://schemas.openxmlformats.org/officeDocument/2006/relationships/hyperlink" Target="https://www.his.jfn.ac.lk/index.php/__trashed/" TargetMode="External" Id="rId106" /><Relationship Type="http://schemas.openxmlformats.org/officeDocument/2006/relationships/hyperlink" Target="https://www.his.jfn.ac.lk/index.php/__trashed/" TargetMode="External" Id="rId107" /><Relationship Type="http://schemas.openxmlformats.org/officeDocument/2006/relationships/hyperlink" Target="https://doi.org/10.11648/j.ija.20210902.14" TargetMode="External" Id="rId108" /><Relationship Type="http://schemas.openxmlformats.org/officeDocument/2006/relationships/hyperlink" Target="https://hdl.handle.net/1969.1/193070" TargetMode="External" Id="rId109" /><Relationship Type="http://schemas.openxmlformats.org/officeDocument/2006/relationships/hyperlink" Target="https://dspace.lib.seu.ac.lk/items/d37186eb-584d-43c3-8284-8e7e285c22d1/full" TargetMode="External" Id="rId110" /><Relationship Type="http://schemas.openxmlformats.org/officeDocument/2006/relationships/hyperlink" Target="https://doi.org/10.31357/fhss/vjhss.v06i01.10" TargetMode="External" Id="rId111" /><Relationship Type="http://schemas.openxmlformats.org/officeDocument/2006/relationships/hyperlink" Target="https://doi.org/10.37718/csa.1999.08" TargetMode="External" Id="rId112" /><Relationship Type="http://schemas.openxmlformats.org/officeDocument/2006/relationships/hyperlink" Target="https://doi.org/10.37718/csa.2003.04" TargetMode="External" Id="rId113" /><Relationship Type="http://schemas.openxmlformats.org/officeDocument/2006/relationships/hyperlink" Target="https://doi.org/10.4038/tjata.v2i2.66" TargetMode="External" Id="rId114" /><Relationship Type="http://schemas.openxmlformats.org/officeDocument/2006/relationships/hyperlink" Target="https://www.his.jfn.ac.lk/?p=791" TargetMode="External" Id="rId115" /><Relationship Type="http://schemas.openxmlformats.org/officeDocument/2006/relationships/hyperlink" Target="https://www.his.jfn.ac.lk/?p=791" TargetMode="External" Id="rId116" /><Relationship Type="http://schemas.openxmlformats.org/officeDocument/2006/relationships/hyperlink" Target="https://www.his.jfn.ac.lk/?p=1706" TargetMode="External" Id="rId117" /><Relationship Type="http://schemas.openxmlformats.org/officeDocument/2006/relationships/hyperlink" Target="https://www.his.jfn.ac.lk/index.php/mrs-ajiththa-suganthan/" TargetMode="External" Id="rId118" /><Relationship Type="http://schemas.openxmlformats.org/officeDocument/2006/relationships/hyperlink" Target="https://www.his.jfn.ac.lk/?p=1706" TargetMode="External" Id="rId119" /><Relationship Type="http://schemas.openxmlformats.org/officeDocument/2006/relationships/hyperlink" Target="https://doi.org/10.4038/tjata.v1i2.45" TargetMode="External" Id="rId120" /><Relationship Type="http://schemas.openxmlformats.org/officeDocument/2006/relationships/hyperlink" Target="https://www.his.jfn.ac.lk/?p=791" TargetMode="External" Id="rId121" /><Relationship Type="http://schemas.openxmlformats.org/officeDocument/2006/relationships/hyperlink" Target="https://www.his.jfn.ac.lk/?p=791" TargetMode="External" Id="rId122" /><Relationship Type="http://schemas.openxmlformats.org/officeDocument/2006/relationships/hyperlink" Target="https://www.his.jfn.ac.lk/index.php/__trashed/" TargetMode="External" Id="rId123" /><Relationship Type="http://schemas.openxmlformats.org/officeDocument/2006/relationships/hyperlink" Target="https://www.his.jfn.ac.lk/?p=791" TargetMode="External" Id="rId124" /><Relationship Type="http://schemas.openxmlformats.org/officeDocument/2006/relationships/hyperlink" Target="https://www.cambridge.org/core/services/aop-cambridge-core/content/view/C55CDA3934CC5C18EE40B903734C7215/S0003598X19000309a.pdf/the-antiquity-of-jaffna-fort-new-evidence-from-post-disaster-archaeological-investigations-in-northern-sri-lanka.pdf" TargetMode="External" Id="rId125" /><Relationship Type="http://schemas.openxmlformats.org/officeDocument/2006/relationships/hyperlink" Target="https://doi.org/10.46586/er.8.2019.8312" TargetMode="External" Id="rId126" /><Relationship Type="http://schemas.openxmlformats.org/officeDocument/2006/relationships/hyperlink" Target="https://doi.org/10.1007/s12685-019-00230-7" TargetMode="External" Id="rId127" /><Relationship Type="http://schemas.openxmlformats.org/officeDocument/2006/relationships/hyperlink" Target="https://doi.org/10.3390/rel10090537" TargetMode="External" Id="rId128" /><Relationship Type="http://schemas.openxmlformats.org/officeDocument/2006/relationships/hyperlink" Target="https://doi.org/10.18520/cs/v117/i10/1664-1672" TargetMode="External" Id="rId129" /><Relationship Type="http://schemas.openxmlformats.org/officeDocument/2006/relationships/hyperlink" Target="https://ir.lib.pdn.ac.lk/handle/20.500.14444/5038" TargetMode="External" Id="rId130" /><Relationship Type="http://schemas.openxmlformats.org/officeDocument/2006/relationships/hyperlink" Target="https://www.his.jfn.ac.lk/index.php/__trashed/" TargetMode="External" Id="rId131" /><Relationship Type="http://schemas.openxmlformats.org/officeDocument/2006/relationships/hyperlink" Target="https://www.his.jfn.ac.lk/?p=791" TargetMode="External" Id="rId132" /><Relationship Type="http://schemas.openxmlformats.org/officeDocument/2006/relationships/hyperlink" Target="https://www.his.jfn.ac.lk/?p=791" TargetMode="External" Id="rId133" /><Relationship Type="http://schemas.openxmlformats.org/officeDocument/2006/relationships/hyperlink" Target="https://www.his.jfn.ac.lk/?p=791" TargetMode="External" Id="rId134" /><Relationship Type="http://schemas.openxmlformats.org/officeDocument/2006/relationships/hyperlink" Target="https://www.his.jfn.ac.lk/?p=791" TargetMode="External" Id="rId135" /><Relationship Type="http://schemas.openxmlformats.org/officeDocument/2006/relationships/hyperlink" Target="https://doi.org/10.1353/asi.2018.0002" TargetMode="External" Id="rId136" /><Relationship Type="http://schemas.openxmlformats.org/officeDocument/2006/relationships/hyperlink" Target="https://doi.org/10.5281/zenodo.10270558" TargetMode="External" Id="rId137" /><Relationship Type="http://schemas.openxmlformats.org/officeDocument/2006/relationships/hyperlink" Target="https://doi.org/10.31357/fhss/vjhss.v04i01.3493" TargetMode="External" Id="rId138" /><Relationship Type="http://schemas.openxmlformats.org/officeDocument/2006/relationships/hyperlink" Target="https://ir.lib.pdn.ac.lk/items/fe66ad09-6272-469c-a6db-69c14662bb7f" TargetMode="External" Id="rId139" /><Relationship Type="http://schemas.openxmlformats.org/officeDocument/2006/relationships/hyperlink" Target="https://doi.org/10.3390/w10121746" TargetMode="External" Id="rId140" /><Relationship Type="http://schemas.openxmlformats.org/officeDocument/2006/relationships/hyperlink" Target="https://dspace.lib.seu.ac.lk/items/d9c75f55-5065-4c9d-9c54-98ec1717f8d1" TargetMode="External" Id="rId141" /><Relationship Type="http://schemas.openxmlformats.org/officeDocument/2006/relationships/hyperlink" Target="https://doi.org/10.3390/rel10010004" TargetMode="External" Id="rId142" /><Relationship Type="http://schemas.openxmlformats.org/officeDocument/2006/relationships/hyperlink" Target="https://www.his.jfn.ac.lk/?p=791" TargetMode="External" Id="rId143" /><Relationship Type="http://schemas.openxmlformats.org/officeDocument/2006/relationships/hyperlink" Target="https://www.his.jfn.ac.lk/index.php/mrs-ajiththa-suganthan/" TargetMode="External" Id="rId144" /><Relationship Type="http://schemas.openxmlformats.org/officeDocument/2006/relationships/hyperlink" Target="https://www.his.jfn.ac.lk/?p=791" TargetMode="External" Id="rId145" /><Relationship Type="http://schemas.openxmlformats.org/officeDocument/2006/relationships/hyperlink" Target="http://repo.lib.jfn.ac.lk/ujrr/handle/123456789/8887" TargetMode="External" Id="rId146" /><Relationship Type="http://schemas.openxmlformats.org/officeDocument/2006/relationships/hyperlink" Target="https://doi.org/10.18533/journal.v6i01.1085" TargetMode="External" Id="rId147" /><Relationship Type="http://schemas.openxmlformats.org/officeDocument/2006/relationships/hyperlink" Target="https://doi.org/10.34780/bre2-dab8" TargetMode="External" Id="rId148" /><Relationship Type="http://schemas.openxmlformats.org/officeDocument/2006/relationships/hyperlink" Target="https://doi.org/10.21525/kriterium.2.e" TargetMode="External" Id="rId149" /><Relationship Type="http://schemas.openxmlformats.org/officeDocument/2006/relationships/hyperlink" Target="https://doi.org/10.4324/9781315693316-13" TargetMode="External" Id="rId150" /><Relationship Type="http://schemas.openxmlformats.org/officeDocument/2006/relationships/hyperlink" Target="https://www.his.jfn.ac.lk/index.php/profkarunthavarajah/" TargetMode="External" Id="rId151" /><Relationship Type="http://schemas.openxmlformats.org/officeDocument/2006/relationships/hyperlink" Target="https://www.his.jfn.ac.lk/index.php/mrs-s-arulanantham/" TargetMode="External" Id="rId152" /><Relationship Type="http://schemas.openxmlformats.org/officeDocument/2006/relationships/hyperlink" Target="https://www.his.jfn.ac.lk/?p=791" TargetMode="External" Id="rId153" /><Relationship Type="http://schemas.openxmlformats.org/officeDocument/2006/relationships/hyperlink" Target="https://rer.jfn.ac.lk/items/cf7a95e0-fe51-4ae1-88aa-4842327beb59/full" TargetMode="External" Id="rId154" /><Relationship Type="http://schemas.openxmlformats.org/officeDocument/2006/relationships/hyperlink" Target="https://www.iiste.org/Journals/index.php/RHSS/article/download/13254/13414" TargetMode="External" Id="rId155" /><Relationship Type="http://schemas.openxmlformats.org/officeDocument/2006/relationships/hyperlink" Target="http://hdl.handle.net/2381/31401" TargetMode="External" Id="rId156" /><Relationship Type="http://schemas.openxmlformats.org/officeDocument/2006/relationships/hyperlink" Target="https://www.his.jfn.ac.lk/index.php/mrs-s-arulanantham/" TargetMode="External" Id="rId157" /><Relationship Type="http://schemas.openxmlformats.org/officeDocument/2006/relationships/hyperlink" Target="https://www.his.jfn.ac.lk/index.php/profkarunthavarajah/" TargetMode="External" Id="rId158" /><Relationship Type="http://schemas.openxmlformats.org/officeDocument/2006/relationships/hyperlink" Target="https://www.his.jfn.ac.lk/index.php/profkarunthavarajah/" TargetMode="External" Id="rId159" /><Relationship Type="http://schemas.openxmlformats.org/officeDocument/2006/relationships/hyperlink" Target="https://www.his.jfn.ac.lk/index.php/profkarunthavarajah/" TargetMode="External" Id="rId160" /><Relationship Type="http://schemas.openxmlformats.org/officeDocument/2006/relationships/hyperlink" Target="https://www.his.jfn.ac.lk/index.php/mrs-s-arulanantham/" TargetMode="External" Id="rId161" /><Relationship Type="http://schemas.openxmlformats.org/officeDocument/2006/relationships/hyperlink" Target="https://www.lankapradeepa.com/2020/04/tamil-inscriptions-in-sri-lanka_16.html" TargetMode="External" Id="rId162" /><Relationship Type="http://schemas.openxmlformats.org/officeDocument/2006/relationships/hyperlink" Target="https://www.lankapradeepa.com/2020/04/tamil-inscriptions-in-sri-lanka_16.html" TargetMode="External" Id="rId163" /><Relationship Type="http://schemas.openxmlformats.org/officeDocument/2006/relationships/hyperlink" Target="https://doi.org/10.4135/9788132104322.n1" TargetMode="External" Id="rId164" /><Relationship Type="http://schemas.openxmlformats.org/officeDocument/2006/relationships/hyperlink" Target="http://ci.nii.ac.jp/naid/110008803030" TargetMode="External" Id="rId165" /><Relationship Type="http://schemas.openxmlformats.org/officeDocument/2006/relationships/hyperlink" Target="http://bvbr.bib-bvb.de:8991/F?func=service&amp;doc_library=BVB01&amp;local_base=BVB01&amp;doc_number=018902727&amp;sequence=000001&amp;line_number=0001&amp;func_code=DB_RECORDS&amp;service_type=MEDIA" TargetMode="External" Id="rId166" /><Relationship Type="http://schemas.openxmlformats.org/officeDocument/2006/relationships/hyperlink" Target="http://hdl.handle.net/10068/956236" TargetMode="External" Id="rId167" /><Relationship Type="http://schemas.openxmlformats.org/officeDocument/2006/relationships/hyperlink" Target="https://jfn.ac.lk/prof-s-pathmanathan/" TargetMode="External" Id="rId168" /><Relationship Type="http://schemas.openxmlformats.org/officeDocument/2006/relationships/hyperlink" Target="https://doi.org/10.1080/02666030.2006.9628657" TargetMode="External" Id="rId169" /><Relationship Type="http://schemas.openxmlformats.org/officeDocument/2006/relationships/hyperlink" Target="https://jfn.ac.lk/prof-s-pathmanathan/" TargetMode="External" Id="rId170" /><Relationship Type="http://schemas.openxmlformats.org/officeDocument/2006/relationships/hyperlink" Target="https://www.lankapradeepa.com/2020/04/tamil-inscriptions-in-sri-lanka_16.html" TargetMode="External" Id="rId171" /><Relationship Type="http://schemas.openxmlformats.org/officeDocument/2006/relationships/hyperlink" Target="http://ir.unimas.my/id/eprint/24938/1/255-%20de%20Silva%20et%20al.%20%28Vedda%20rock%20art%29.pdf" TargetMode="External" Id="rId172" /><Relationship Type="http://schemas.openxmlformats.org/officeDocument/2006/relationships/hyperlink" Target="https://jfn.ac.lk/prof-s-pathmanathan/" TargetMode="External" Id="rId173" /><Relationship Type="http://schemas.openxmlformats.org/officeDocument/2006/relationships/hyperlink" Target="https://jfn.ac.lk/prof-s-pathmanathan/" TargetMode="External" Id="rId174" /><Relationship Type="http://schemas.openxmlformats.org/officeDocument/2006/relationships/hyperlink" Target="https://doi.org/10.69341/2005222" TargetMode="External" Id="rId175" /><Relationship Type="http://schemas.openxmlformats.org/officeDocument/2006/relationships/hyperlink" Target="https://jfn.ac.lk/prof-s-pathmanathan/" TargetMode="External" Id="rId176" /><Relationship Type="http://schemas.openxmlformats.org/officeDocument/2006/relationships/hyperlink" Target="https://jfn.ac.lk/prof-s-pathmanathan/" TargetMode="External" Id="rId177" /><Relationship Type="http://schemas.openxmlformats.org/officeDocument/2006/relationships/hyperlink" Target="https://jfn.ac.lk/prof-s-pathmanathan/" TargetMode="External" Id="rId178" /><Relationship Type="http://schemas.openxmlformats.org/officeDocument/2006/relationships/hyperlink" Target="https://jfn.ac.lk/prof-s-pathmanathan/" TargetMode="External" Id="rId179" /><Relationship Type="http://schemas.openxmlformats.org/officeDocument/2006/relationships/hyperlink" Target="https://www.lankapradeepa.com/2020/04/tamil-inscriptions-in-sri-lanka_16.html" TargetMode="External" Id="rId180" /><Relationship Type="http://schemas.openxmlformats.org/officeDocument/2006/relationships/hyperlink" Target="https://jfn.ac.lk/prof-s-pathmanathan/" TargetMode="External" Id="rId181" /><Relationship Type="http://schemas.openxmlformats.org/officeDocument/2006/relationships/hyperlink" Target="https://ir.lib.pdn.ac.lk/handle/20.500.14444/3809" TargetMode="External" Id="rId182" /><Relationship Type="http://schemas.openxmlformats.org/officeDocument/2006/relationships/hyperlink" Target="https://ir.lib.pdn.ac.lk/items/583155fd-b49e-4398-8b04-51776c4dbf8f/full" TargetMode="External" Id="rId183" /><Relationship Type="http://schemas.openxmlformats.org/officeDocument/2006/relationships/hyperlink" Target="https://www.lankapradeepa.com/2020/04/tamil-inscriptions-in-sri-lanka_16.html" TargetMode="External" Id="rId184" /><Relationship Type="http://schemas.openxmlformats.org/officeDocument/2006/relationships/hyperlink" Target="https://jfn.ac.lk/prof-s-pathmanathan/" TargetMode="External" Id="rId185" /><Relationship Type="http://schemas.openxmlformats.org/officeDocument/2006/relationships/hyperlink" Target="https://www.lankapradeepa.com/2020/04/tamil-inscriptions-in-sri-lanka_16.html" TargetMode="External" Id="rId186" /><Relationship Type="http://schemas.openxmlformats.org/officeDocument/2006/relationships/hyperlink" Target="https://jfn.ac.lk/prof-s-pathmanathan/" TargetMode="External" Id="rId187" /><Relationship Type="http://schemas.openxmlformats.org/officeDocument/2006/relationships/hyperlink" Target="https://siddham.network/tag/kayts/" TargetMode="External" Id="rId188" /><Relationship Type="http://schemas.openxmlformats.org/officeDocument/2006/relationships/hyperlink" Target="https://dspace.lib.seu.ac.lk/items/8ac8f95c-23d2-4f5f-832d-598286d6a96f" TargetMode="External" Id="rId189" /><Relationship Type="http://schemas.openxmlformats.org/officeDocument/2006/relationships/hyperlink" Target="https://www.academia.edu/44307643/Annaikottai_Seal_Is_it_Tamil_Brahmi" TargetMode="External" Id="rId190" /><Relationship Type="http://schemas.openxmlformats.org/officeDocument/2006/relationships/hyperlink" Target="https://rer.jfn.ac.lk/items/69679e68-fe61-4cd9-a9de-ccff08422aac/full" TargetMode="External" Id="rId191" /><Relationship Type="http://schemas.openxmlformats.org/officeDocument/2006/relationships/hyperlink" Target="https://siddham.network/tag/609823/" TargetMode="External" Id="rId192" /><Relationship Type="http://schemas.openxmlformats.org/officeDocument/2006/relationships/hyperlink" Target="https://shanlaxjournals.in/journals/index.php/tamil/article/view/7777" TargetMode="External" Id="rId193" /><Relationship Type="http://schemas.openxmlformats.org/officeDocument/2006/relationships/hyperlink" Target="https://www.academia.edu/47759409/Making_Lanka_the_Tamil_way_a_temple_history_at_the_crossroads_of_landscapes_and_watersheds" TargetMode="External" Id="rId194" /><Relationship Type="http://schemas.openxmlformats.org/officeDocument/2006/relationships/hyperlink" Target="https://siddham.network/tag/vasabha/" TargetMode="External" Id="rId195" /><Relationship Type="http://schemas.openxmlformats.org/officeDocument/2006/relationships/hyperlink" Target="https://durham-repository.worktribe.com/output/1656993/recent-excavations-and-survey-at-jaffna-fort-in-2017-and-reflections-on-the-antiquity-of-indian-ocean-trade" TargetMode="External" Id="rId196" /><Relationship Type="http://schemas.openxmlformats.org/officeDocument/2006/relationships/hyperlink" Target="https://ir.lib.pdn.ac.lk/items/66613037-9ae3-4455-81e3-71f3235df265/full" TargetMode="External" Id="rId197" /><Relationship Type="http://schemas.openxmlformats.org/officeDocument/2006/relationships/hyperlink" Target="https://rer.jfn.ac.lk/items/fc0f248b-470f-449c-a7c6-8b8ec38517f0" TargetMode="External" Id="rId198" /><Relationship Type="http://schemas.openxmlformats.org/officeDocument/2006/relationships/hyperlink" Target="https://www.researchgate.net/publication/301336596_The_Peopling_of_Sri_Lanka_from_Prehistoric_to_Historic_Times_Biological_and_Archaeological_Evidence" TargetMode="External" Id="rId199" /><Relationship Type="http://schemas.openxmlformats.org/officeDocument/2006/relationships/hyperlink" Target="http://repo.lib.jfn.ac.lk/xmlui/handle/123456789/10982" TargetMode="External" Id="rId200" /><Relationship Type="http://schemas.openxmlformats.org/officeDocument/2006/relationships/hyperlink" Target="https://dspace.lib.seu.ac.lk/items/2bce5ebf-dc84-4b9c-a7ed-ca9bf13f1e7a/full" TargetMode="External" Id="rId201" /><Relationship Type="http://schemas.openxmlformats.org/officeDocument/2006/relationships/hyperlink" Target="http://repo.lib.jfn.ac.lk/xmlui/handle/123456789/9343" TargetMode="External" Id="rId202" /><Relationship Type="http://schemas.openxmlformats.org/officeDocument/2006/relationships/hyperlink" Target="http://repo.lib.jfn.ac.lk/ujrr/handle/123456789/4870" TargetMode="External" Id="rId203" /><Relationship Type="http://schemas.openxmlformats.org/officeDocument/2006/relationships/hyperlink" Target="https://island.lk/glimpses-of-an-ancient-civilisation-society-and-culture-in-jaffna/" TargetMode="External" Id="rId204" /><Relationship Type="http://schemas.openxmlformats.org/officeDocument/2006/relationships/hyperlink" Target="https://www.colombotelegraph.com/index.php/a-historian-in-focus-the-dark-side-of-s-pathmanathan/" TargetMode="External" Id="rId205" /><Relationship Type="http://schemas.openxmlformats.org/officeDocument/2006/relationships/hyperlink" Target="https://tamilwin.com/article/remove-archaeological-permission-in-chengaladi-1769150736" TargetMode="External" Id="rId206" /><Relationship Type="http://schemas.openxmlformats.org/officeDocument/2006/relationships/hyperlink" Target="https://www.tamilguardian.com/content/prof-pathmanathans-new-book-sheds-light-early-jaffna-civilisation" TargetMode="External" Id="rId207" /><Relationship Type="http://schemas.openxmlformats.org/officeDocument/2006/relationships/hyperlink" Target="https://news.google.com/rss/articles/CBMiyAFBVV95cUxPck1TdFVQcDc3dXR2RzBfNko0V09ZWG44aUZsTWE3WmJIWWRkd3NXRDloS3FNbk9CbjFqNV9oTVo5MzA4MU1kYmU4b0VyZVRsMlNzOWJSSklRcnRySHNzaGRVWXl2VUhEVF9YV3JjVmNndC15STkwUmotOEhSTmNFQ1JZWUtTQktXNThKSzA3d25oWmpXVkxhVUZfaUpaOGpiaEx6enF2dmtmNGZpUXNRR3dEWTVETUdsb3BXY0FlWXFrVWNSMFdjNQ?oc=5" TargetMode="External" Id="rId208" /><Relationship Type="http://schemas.openxmlformats.org/officeDocument/2006/relationships/hyperlink" Target="https://www.dailynews.lk/2025/04/19/admin-catagories/breaking-news/763455/unesco-recognizes-sri-lankas-trilingual-inscription-and-panadurawaadaya-documents-as-world-heritage/" TargetMode="External" Id="rId209" /><Relationship Type="http://schemas.openxmlformats.org/officeDocument/2006/relationships/hyperlink" Target="https://dailynews.lk/2025/04/22/features/764498/significance-of-galle-trilingual-inscriptions-inclusion-in-the-world-heritage-list/" TargetMode="External" Id="rId210" /><Relationship Type="http://schemas.openxmlformats.org/officeDocument/2006/relationships/hyperlink" Target="https://news.google.com/rss/articles/CBMiqAFBVV95cUxQWTZoOUtnRWRBOE11dkVZMDdERkVIdUt0Z08tbk04b0h6LWFEUHdDQ1ZtdU1QSE83R0pVN0FPZTB6cWVpNC1ISGtGTUkzLWhDRFhtamJXeFo4ZjJpM2RUQWZGb3dTR0RHVzhmZ2ZQQ0RRVjhGMl9LclZOVFhlZlBTQUs3RElIQ3BSYzJlc0lLVGxfYmxhSnZIWldBdTRlMHlqekp0MzNsRGs?oc=5" TargetMode="External" Id="rId211" /><Relationship Type="http://schemas.openxmlformats.org/officeDocument/2006/relationships/hyperlink" Target="https://ibctamil.com/article/department-of-archaeology-personnel-chased-away-1763743917" TargetMode="External" Id="rId212" /><Relationship Type="http://schemas.openxmlformats.org/officeDocument/2006/relationships/hyperlink" Target="https://ibctamil.com/article/archaeology-dep-to-construct-a-vihara-in-vavuniya-1766829487" TargetMode="External" Id="rId213" /><Relationship Type="http://schemas.openxmlformats.org/officeDocument/2006/relationships/hyperlink" Target="https://tamilwin.com/article/viharaya-in-the-pillayar-temple-complex-vavuniya-1766838422" TargetMode="External" Id="rId214" /><Relationship Type="http://schemas.openxmlformats.org/officeDocument/2006/relationships/hyperlink" Target="https://ibctamil.com/article/an-underground-city-discovered-in-polonnaruwa-sl-1708747886" TargetMode="External" Id="rId215" /><Relationship Type="http://schemas.openxmlformats.org/officeDocument/2006/relationships/hyperlink" Target="https://news.google.com/rss/articles/CBMiggFBVV95cUxQczl0U3RlM2Y4UjFBSU1ULWtUTEpFaXZIb3pBLTRkTmpoOEh5Nzc4MzlMNVM4MGpEd0FhWFVJTE84ZnZ3ZnVDUWVjUnBOVThrTndsX3gxT0g0ZkxlWDQyLWVRNDdFZ25HXzdlZWZmQ2ZZZFlMUHVHYm1DLWdVZjVuNmdR?oc=5" TargetMode="External" Id="rId216" /><Relationship Type="http://schemas.openxmlformats.org/officeDocument/2006/relationships/hyperlink" Target="https://news.google.com/rss/articles/CBMinAFBVV95cUxPc0xxall2V0toUHFjdEpHdGd3YV9VWTZja0htbkJXNFEyNmVJMlF1WGJsZnlXeXVlemltbDRfMHdYYXlLZ0swRlVVbW1uU0pUc3ppZkc2Qmlnc0Y1WFl3SXpINzJFRUZYVWxNRDV5YUNEanAxZE4tMG9hT0hZQnNXYWNhM1VMRHV6b25iN3ZPZUNzZzJYeVB5VlZlUEY?oc=5" TargetMode="External" Id="rId217" /><Relationship Type="http://schemas.openxmlformats.org/officeDocument/2006/relationships/hyperlink" Target="https://tamilwin.com/article/vedukunari-hill-affair-1679899848" TargetMode="External" Id="rId218" /><Relationship Type="http://schemas.openxmlformats.org/officeDocument/2006/relationships/hyperlink" Target="https://news.google.com/rss/articles/CBMiW0FVX3lxTE02dFpiVWFGNWlFWExhWUxUelI2X0tYY3kxak4tYWx2ZDhrSld0SC11ZzVxZXhLV3lNWEhMeUdaQUZfZWQ2MkNLMk9JMTNUUkVwRzhlUDFvZ3VlWlHSAWBBVV95cUxPOUhPNUd4LXgwN2hvRVJod0pXWnNDbjJ1S1U3U0xRVHpDQzZCYldGY3hBZWtCbGFycEt3N1U4bzNPT0dEeXVkRnc3QVdRLXNuU0l3ZXp3YlZ1dWJZSVRRQ04?oc=5" TargetMode="External" Id="rId219" /><Relationship Type="http://schemas.openxmlformats.org/officeDocument/2006/relationships/hyperlink" Target="https://news.google.com/rss/articles/CBMiSkFVX3lxTE9RWHRpZjlDZE92MEg4bC1VRXFNMjNpSlotREpZclVwU2tncGcyRWFNUnpxQ1ZJTmlRZS1VanBPWl9XNVdjcWhtd29R?oc=5" TargetMode="External" Id="rId220" /><Relationship Type="http://schemas.openxmlformats.org/officeDocument/2006/relationships/hyperlink" Target="https://news.google.com/rss/articles/CBMiaEFVX3lxTE9mazdldjk2bWROTF9UYjJKOWhvMk9hQUwwcGdfbjgwYVN4a2phYktJU3RfWHpUSzFxZlpLQmhURWxacjJWYTNFZEFMNlFuWG13S1Rra1ZVZGdPcU40bmZxS2p5M09wT09h?oc=5" TargetMode="External" Id="rId221" /><Relationship Type="http://schemas.openxmlformats.org/officeDocument/2006/relationships/hyperlink" Target="https://news.google.com/rss/articles/CBMiqwFBVV95cUxPWG1naE01WFRxUkhWX2kwWWRWTlJaZy1heUNCOG9pcTZ5eUtqbjlPc1BRVHlBQm1ST0hvQmk5TDlMeVZXQlNwUXBWelhMdGNmLVc3ck0yR2MzWUtSS0xQdW5uRjhFa0lPTVZ2Q08yUkg3aXhLeGdtdllzYWZGV2pad2IzbkIwdk54T0tneHl3bzZUU0gyRWRIU2gwX21BUmV1Zm1Vc2pZNkx3cms?oc=5" TargetMode="External" Id="rId222" /><Relationship Type="http://schemas.openxmlformats.org/officeDocument/2006/relationships/hyperlink" Target="https://news.google.com/rss/articles/CBMiV0FVX3lxTE0xSVZDa2M2cjhyOFJNVzZ4UEt2TnRyanBkaXBhSmxhTElobUFMNWhic0dWMlloejhDY3NaOGVEMnNnN0liY1B6cjR1OTFMOVowUUp1YzQ1WQ?oc=5" TargetMode="External" Id="rId223" /><Relationship Type="http://schemas.openxmlformats.org/officeDocument/2006/relationships/hyperlink" Target="https://tamilwin.com/article/sri-lanka-parliament-sumanthiran-thirukoneshwaram-1663923669" TargetMode="External" Id="rId224" /><Relationship Type="http://schemas.openxmlformats.org/officeDocument/2006/relationships/hyperlink" Target="https://www.virakesari.lk/article/117633" TargetMode="External" Id="rId225" /><Relationship Type="http://schemas.openxmlformats.org/officeDocument/2006/relationships/hyperlink" Target="https://news.google.com/rss/articles/CBMiV0FVX3lxTE9uajJZaVFzTk1NVFFqRDNVVTNHU3dVc0xySDB6Tk9LbmxIeHR4SkozOUxJN2lQTlFMa2hjaXJXakVjaWJmZ0xJcW1EQ0k3bUUyLVpfbVpMUdIBXEFVX3lxTFAtSEZTSzdPd25Oa1FFMFB2NGNHRFVIYjB4NWdIbXl3a0pmNXlRcjItZjhmLWNxbHItLUFUamVkSWpxblA3YUU5SUoxclFVTDhNR1pXaVZTelFLc2N1?oc=5" TargetMode="External" Id="rId226" /><Relationship Type="http://schemas.openxmlformats.org/officeDocument/2006/relationships/hyperlink" Target="https://athavannews.com/2021/1251617" TargetMode="External" Id="rId227" /><Relationship Type="http://schemas.openxmlformats.org/officeDocument/2006/relationships/hyperlink" Target="https://news.google.com/rss/articles/CBMirwFBVV95cUxOcjFjTFg2ZzhVRzlEakRZekNFeXQzR2ZuQUdDcXFNdG9rQ2JoV2RaYzNnOF9La29FX3BnZXRvY3d3SnlCakNhQVg1dVJ3WnVkT3BwYWZYTnlTdTVoOXBlVDJKc3ZMbmo0bEhmM1pkUGRfdHk2NmEwVFpUNkE3c1FOQl9qVXdEa0JiSXQwWmJvek91dVN0Y0M5NGwxQkQtUDQxLXFib25oWkdNWnlNOGJV?oc=5" TargetMode="External" Id="rId228" /><Relationship Type="http://schemas.openxmlformats.org/officeDocument/2006/relationships/hyperlink" Target="https://news.google.com/rss/articles/CBMiV0FVX3lxTE81SUxqWmhQSjVTVWh3S1VLZGV2MHAyTjNDOHBDeHhXX0pCZVJjakRFSnRZQWtxRXdLS2lwakp5eGNiZC1RbGxRUVFrMWpfRDc1VnNSZUFSc9IBXEFVX3lxTFBNa3dMSUJMS0hJVEhnNXZpTzB3b2RFWWhhNDJhN0JDdTFsOU13bVVJZ2RfdUNPVkItQUlHcm9sTEF6NE4xckhmd3gyZVlQTlFTaTQ5NXBfWUx3MnlH?oc=5" TargetMode="External" Id="rId229" /><Relationship Type="http://schemas.openxmlformats.org/officeDocument/2006/relationships/hyperlink" Target="https://news.google.com/rss/articles/CBMiZEFVX3lxTFBaOXhuY19ZUk1ySExJdXFObDBJWDEzMmtqZVhLNTNoNVhhZWhvQm1Idy1uUWRiU1h2Nkg4UWRMTmtNLVhOWU0zSzdBWFZjdzEwQnJtX0FLd1FnWXlpYVl0TU9OSG0?oc=5" TargetMode="External" Id="rId230" /><Relationship Type="http://schemas.openxmlformats.org/officeDocument/2006/relationships/hyperlink" Target="https://news.google.com/rss/articles/CBMilgFBVV95cUxPWjg3MzRjZlBYMTRYN2tEcGc5VXRTM25lZTlxYXl1RnhwLTdRQlRxYURPNE1oSGt0VFMxQ2pvNEg1LURmdF9rZ1NhZUNUU2lmSHIyMFpQTFU4cXAxTjZhN3Jsd2FhajVVdjN1dS1zUmptcFNJU0t1dlREZVRTbHAzV1JsTDM4dk9TLXQ2S0dIa3BBVzNnTnc?oc=5" TargetMode="External" Id="rId231" /><Relationship Type="http://schemas.openxmlformats.org/officeDocument/2006/relationships/hyperlink" Target="https://news.google.com/rss/articles/CBMivgFBVV95cUxORWRSQ0xORzJLQ2RoNE9KNWhjRnlENktmc2RIZk1VcXIwaWlLZTUwb09YcG1Pc3d2Yk00M0o5cWVsUUV5RmlhajdNeHJaS1dNZmcwUFU1SFh1TEVVbzF4Q0w5R2NvVjZzR1gwbWxIWXNadWlVNHloMUFzdW1yemNIdHE3WWlWbGNUNkpwVUFiTGU3RUJHZ2J1NHFmd2haakE3cGc0T21JMHU2T05TQWkzNWg2NzFkV0hmcWRJVWxn?oc=5" TargetMode="External" Id="rId232" /><Relationship Type="http://schemas.openxmlformats.org/officeDocument/2006/relationships/hyperlink" Target="https://news.google.com/rss/articles/CBMiUEFVX3lxTFBoclkwMTRjdmdKLWZ2aVE4Tk5VNUd5VlAyeVM4WG5EVHBNUFFfT2lwTkVweC1qLTJNODhBRE1wdUcxdVpvU3NVXzJFeGFKMXFp?oc=5" TargetMode="External" Id="rId233" /><Relationship Type="http://schemas.openxmlformats.org/officeDocument/2006/relationships/hyperlink" Target="https://www.sundaytimes.lk/180211/plus/head-to-the-east-for-a-feast-of-archaeological-sites-281129.html" TargetMode="External" Id="rId234" /><Relationship Type="http://schemas.openxmlformats.org/officeDocument/2006/relationships/hyperlink" Target="https://news.google.com/rss/articles/CBMiZEFVX3lxTE1OS2ZQSnVTU3JtZVR3Umthby1VWWZYdU1yakJCUExKQ0IzVG56Vm1JRDZDWkF2YV9waVZzWnowWWtkbjFxSWJMVlVSN01SRUtXeTdjNl9YQ0NlZloxUzU0N1ljeVQ?oc=5" TargetMode="External" Id="rId235" /><Relationship Type="http://schemas.openxmlformats.org/officeDocument/2006/relationships/hyperlink" Target="https://news.google.com/rss/articles/CBMiekFVX3lxTE1nWlpPYTI1SEhvalJHYk9hYlBjX09Ib2hFNVlaTWxEcGhjS25hTnZuWm9uaDdic2U0cHZyQ2RITWpkSTBTRHdCZ25jeTFlSkF0WFdCb2dENmgwLXdvRDZKRlB0c1lhQWxvX1VxdTVSSTdvM0E2TW93WllB0gF_QVVfeXFMT1dFYWh0UEZ3NmR3dC04MUpNZGVvaFp4Q2oyZndXaHlEeHVlV3Y4dWJRWEN0WW1nTmpZZ2pnLVM3VXU2dW5SY2NLamNFcUFNZmVsdXk3U2czUzN2bjlfMk9oaUhDUWhvaTVYdmQ3bUxKMll6dWRBRGFHOE9odGgydw?oc=5" TargetMode="External" Id="rId236" /><Relationship Type="http://schemas.openxmlformats.org/officeDocument/2006/relationships/hyperlink" Target="https://archives1.dailynews.lk/2017/01/04/features/103659" TargetMode="External" Id="rId237" /><Relationship Type="http://schemas.openxmlformats.org/officeDocument/2006/relationships/hyperlink" Target="https://news.google.com/rss/articles/CBMiiwFBVV95cUxPcWJrT2RRWFB4dzZmS1RJY0FoOFZoQzY1ZWJsM0kzZGc4ZlNtZDZIVzBFYVdxdlZsbXNVeF9xOGJqLWh3d0xCNnIxRm5TV2d5RFN0QWJ1ZFJCazdrM1hlVmRXNHBub0pCdHd6Wk1LcTFnY3dydi1xd0J0dUxUNThpZVdnTjJGOUZHVXhF?oc=5" TargetMode="External" Id="rId238" /><Relationship Type="http://schemas.openxmlformats.org/officeDocument/2006/relationships/hyperlink" Target="https://news.google.com/rss/articles/CBMiZEFVX3lxTE1LRUlucXZoVEVIaGlNTU1tN3BjNmpYdGQ3eVhfeTJVb1JMTGhWMndLQVhWTl9VOUZrSm92Z3NFak5OQ05rdGdLLTN2SFNaR0tkT21zVHV0NTdncGN2QmVyT1YyVnA?oc=5" TargetMode="External" Id="rId239" /><Relationship Type="http://schemas.openxmlformats.org/officeDocument/2006/relationships/hyperlink" Target="https://www.sundaytimes.lk/140921/plus/a-visit-marked-in-stone-118621.html" TargetMode="External" Id="rId240" /><Relationship Type="http://schemas.openxmlformats.org/officeDocument/2006/relationships/hyperlink" Target="https://archives.sundayobserver.lk/2013/03/10/mon13.asp" TargetMode="External" Id="rId241" /><Relationship Type="http://schemas.openxmlformats.org/officeDocument/2006/relationships/hyperlink" Target="https://www.tamilnet.com/art.html?artid=36503&amp;catid=79" TargetMode="External" Id="rId242" /><Relationship Type="http://schemas.openxmlformats.org/officeDocument/2006/relationships/hyperlink" Target="https://news.google.com/rss/articles/CBMiZEFVX3lxTE9kekJTQWdVczhfMzVmbF9ETVpFUHFGbEw2Mk5LR2JoSXFEelNqZEE5TmJ2VkhubTZJcnJKeE1MLUNTeTdGZFkwbkJQU3dwLTBRSkluenBvbnJraDk3cHN3aER3SW8?oc=5" TargetMode="External" Id="rId243" /><Relationship Type="http://schemas.openxmlformats.org/officeDocument/2006/relationships/hyperlink" Target="https://tamilnet.com/art.html?artid=35707&amp;catid=79" TargetMode="External" Id="rId244" /><Relationship Type="http://schemas.openxmlformats.org/officeDocument/2006/relationships/hyperlink" Target="https://www.his.jfn.ac.lk/?p=791" TargetMode="External" Id="rId245" /><Relationship Type="http://schemas.openxmlformats.org/officeDocument/2006/relationships/hyperlink" Target="https://archives.thinakaran.lk/2011/02/15/?fn=i1102155&amp;p=1" TargetMode="External" Id="rId246" /><Relationship Type="http://schemas.openxmlformats.org/officeDocument/2006/relationships/hyperlink" Target="https://tamilnet.com/art.html?artid=32063&amp;catid=79" TargetMode="External" Id="rId247" /><Relationship Type="http://schemas.openxmlformats.org/officeDocument/2006/relationships/hyperlink" Target="https://www.tamilnet.com/art.html?artid=32303&amp;catid=79" TargetMode="External" Id="rId248" /><Relationship Type="http://schemas.openxmlformats.org/officeDocument/2006/relationships/hyperlink" Target="https://news.google.com/rss/articles/CBMiZEFVX3lxTFBENjVRODRyaWJQVnFWX19mQTFVTHlJcWZ3Si1fVFdPbHB0WDFZS19OVllKLTU2RGdqRHMyV3dBbVgzQjdSXzQtUW1hcGFMcXBIMTlVTHo2d0lFRVQzaVdDNzFlM0Y?oc=5" TargetMode="External" Id="rId249" /><Relationship Type="http://schemas.openxmlformats.org/officeDocument/2006/relationships/hyperlink" Target="https://tamilnet.com/art.html?artid=32843&amp;catid=79" TargetMode="External" Id="rId250" /><Relationship Type="http://schemas.openxmlformats.org/officeDocument/2006/relationships/hyperlink" Target="https://www.tamilnet.com/art.html?artid=32850&amp;catid=13" TargetMode="External" Id="rId251" /><Relationship Type="http://schemas.openxmlformats.org/officeDocument/2006/relationships/hyperlink" Target="https://archives.dailynews.lk/2009/09/18/fea30.asp" TargetMode="External" Id="rId252" /><Relationship Type="http://schemas.openxmlformats.org/officeDocument/2006/relationships/hyperlink" Target="https://www.sundaytimes.lk/080504/Plus/plus000025.html" TargetMode="External" Id="rId253" /><Relationship Type="http://schemas.openxmlformats.org/officeDocument/2006/relationships/hyperlink" Target="https://www.sundaytimes.lk/000423/plus3.html" TargetMode="External" Id="rId254" /><Relationship Type="http://schemas.openxmlformats.org/officeDocument/2006/relationships/hyperlink" Target="https://www.tamilguardian.com/content/2000-year-old-tamil-brahmi-inscriptions-discovered-egypts-valley-kings" TargetMode="External" Id="rId255" /><Relationship Type="http://schemas.openxmlformats.org/officeDocument/2006/relationships/hyperlink" Target="https://www.tamilguardian.com/content/3400-year-old-human-remains-discovered-velanai-jaffna" TargetMode="External" Id="rId256" /><Relationship Type="http://schemas.openxmlformats.org/officeDocument/2006/relationships/hyperlink" Target="https://www.historynewsnetwork.org/article/117404" TargetMode="External" Id="rId257" /><Relationship Type="http://schemas.openxmlformats.org/officeDocument/2006/relationships/hyperlink" Target="https://www.tamilguardian.com/content/ancient-pandyan-coins-bring-intrigue-and-dispute-sri-lanka" TargetMode="External" Id="rId258" /><Relationship Type="http://schemas.openxmlformats.org/officeDocument/2006/relationships/hyperlink" Target="https://www.colombotelegraph.com/index.php/book-review-the-historian-as-bridge/" TargetMode="External" Id="rId259" /><Relationship Type="http://schemas.openxmlformats.org/officeDocument/2006/relationships/hyperlink" Target="https://archives1.sundayobserver.lk/node/26758" TargetMode="External" Id="rId260" /><Relationship Type="http://schemas.openxmlformats.org/officeDocument/2006/relationships/hyperlink" Target="https://island.lk/little-known-facets-of-sri-lankan-historya-chola-princess-and-the-old-name-for-jaffna/" TargetMode="External" Id="rId261" /><Relationship Type="http://schemas.openxmlformats.org/officeDocument/2006/relationships/hyperlink" Target="https://island.lk/mandarin-and-tamil-a-historical-perspective/" TargetMode="External" Id="rId262" /><Relationship Type="http://schemas.openxmlformats.org/officeDocument/2006/relationships/hyperlink" Target="https://archives1.sundayobserver.lk/node/59637" TargetMode="External" Id="rId263" /><Relationship Type="http://schemas.openxmlformats.org/officeDocument/2006/relationships/hyperlink" Target="https://island.lk/reptiles-in-rock-and-time-unveiling-sri-lankas-ancient-herpetological-art/" TargetMode="External" Id="rId264" /><Relationship Type="http://schemas.openxmlformats.org/officeDocument/2006/relationships/hyperlink" Target="https://archives1.sundayobserver.lk/node/44600" TargetMode="External" Id="rId265" /><Relationship Type="http://schemas.openxmlformats.org/officeDocument/2006/relationships/hyperlink" Target="https://www.tamilguardian.com/index.php/node/955066" TargetMode="External" Id="rId266" /><Relationship Type="http://schemas.openxmlformats.org/officeDocument/2006/relationships/hyperlink" Target="https://www.colombotelegraph.com/index.php/sri-lankas-role-in-south-asias-earliest-writing-controversy/" TargetMode="External" Id="rId267" /><Relationship Type="http://schemas.openxmlformats.org/officeDocument/2006/relationships/hyperlink" Target="https://www.tamilguardian.com/content/tamil-civilisation-it-oldest" TargetMode="External" Id="rId268" /><Relationship Type="http://schemas.openxmlformats.org/officeDocument/2006/relationships/hyperlink" Target="https://www.colombotelegraph.com/index.php/the-tamils-are-the-original-inhabitants-of-sri-lanka/" TargetMode="External" Id="rId269" /><Relationship Type="http://schemas.openxmlformats.org/officeDocument/2006/relationships/hyperlink" Target="https://www.tamilguardian.com/index.php/content/trilingual-inscription-tamil-chinese-and-persian-recognised-unesco" TargetMode="External" Id="rId270" /><Relationship Type="http://schemas.openxmlformats.org/officeDocument/2006/relationships/hyperlink" Target="https://island.lk/unesco-and-trilingual-inscription/" TargetMode="External" Id="rId271" /><Relationship Type="http://schemas.openxmlformats.org/officeDocument/2006/relationships/hyperlink" Target="https://thinakkural.lk/article/45056" TargetMode="External" Id="rId272" /><Relationship Type="http://schemas.openxmlformats.org/officeDocument/2006/relationships/hyperlink" Target="https://www.tamilmirror.lk/91-286936" TargetMode="External" Id="rId273" /><Relationship Type="http://schemas.openxmlformats.org/officeDocument/2006/relationships/hyperlink" Target="https://www.virakesari.lk/article/160191" TargetMode="External" Id="rId274" /><Relationship Type="http://schemas.openxmlformats.org/officeDocument/2006/relationships/hyperlink" Target="https://www.ezhunaonline.com/manthai-the-seafaring-trading-center-of-ancient-sri-lanka/" TargetMode="External" Id="rId275" /><Relationship Type="http://schemas.openxmlformats.org/officeDocument/2006/relationships/hyperlink" Target="https://www.ezhunaonline.com/from-tradition-to-tradition-the-southern-modic-koothu-of-jaffna/" TargetMode="External" Id="rId276" /><Relationship Type="http://schemas.openxmlformats.org/officeDocument/2006/relationships/hyperlink" Target="https://www.ezhunaonline.com/ancient-religious-practices-in-ancient-jaffna-part-2/" TargetMode="External" Id="rId277" /><Relationship Type="http://schemas.openxmlformats.org/officeDocument/2006/relationships/hyperlink" Target="https://www.ezhunaonline.com/jaffna-buddhism-100-bc-1200-ad-part-2/" TargetMode="External" Id="rId278" /><Relationship Type="http://schemas.openxmlformats.org/officeDocument/2006/relationships/hyperlink" Target="https://www.ezhunaonline.com/ancient-coins-found-in-kandy-and-northern-sri-lanka-part-1/" TargetMode="External" Id="rId279" /><Relationship Type="http://schemas.openxmlformats.org/officeDocument/2006/relationships/hyperlink" Target="https://www.ezhunaonline.com/ancient-coins-found-in-kandy-and-northern-sri-lanka-part-2/" TargetMode="External" Id="rId280" /><Relationship Type="http://schemas.openxmlformats.org/officeDocument/2006/relationships/hyperlink" Target="https://www.ezhunaonline.com/origin-and-gradual-development-of-the-gandharoda-civilization-part-4/" TargetMode="External" Id="rId281" /><Relationship Type="http://schemas.openxmlformats.org/officeDocument/2006/relationships/hyperlink" Target="https://www.ezhunaonline.com/the-gandarodai-archaeological-site-and-scientific-studies-on-the-early-iron-age-that-overturned-the-mahavamsa-history-of-sri-lanka-part-5/" TargetMode="External" Id="rId282" /><Relationship Type="http://schemas.openxmlformats.org/officeDocument/2006/relationships/hyperlink" Target="https://www.ezhunaonline.com/archaeology-and-weaponizing-the-past-part-2/" TargetMode="External" Id="rId283" /><Relationship Type="http://schemas.openxmlformats.org/officeDocument/2006/relationships/hyperlink" Target="https://www.ezhunaonline.com/the-genetic-origins-of-the-dravidian-people-and-the-evolutionary-emergence-of-the-tamil-language-an-introduction/" TargetMode="External" Id="rId284" /><Relationship Type="http://schemas.openxmlformats.org/officeDocument/2006/relationships/hyperlink" Target="https://www.ezhunaonline.com/dietary-habits-of-the-people-of-jaffna-2500-years-ago-facts-revealed-by-the-anaicottai-excavation/" TargetMode="External" Id="rId285" /><Relationship Type="http://schemas.openxmlformats.org/officeDocument/2006/relationships/hyperlink" Target="https://www.ezhunaonline.com/ochapu-kallu-is-an-ancient-nagar-settlement/" TargetMode="External" Id="rId286" /><Relationship Type="http://schemas.openxmlformats.org/officeDocument/2006/relationships/hyperlink" Target="https://www.ezhunaonline.com/inscription-about-nagar-on-thanga-tirumala-by-brahmin-divakan/" TargetMode="External" Id="rId287" /><Relationship Type="http://schemas.openxmlformats.org/officeDocument/2006/relationships/hyperlink" Target="https://www.ezhunaonline.com/on-the-border-of-ghazigamalai/" TargetMode="External" Id="rId288" /><Relationship Type="http://schemas.openxmlformats.org/officeDocument/2006/relationships/hyperlink" Target="https://www.ezhunaonline.com/inscriptions-about-nagar-found-on-rittikala-hill-arita-parvata-hill/" TargetMode="External" Id="rId289" /><Relationship Type="http://schemas.openxmlformats.org/officeDocument/2006/relationships/hyperlink" Target="https://www.ezhunaonline.com/inscription-of-naga-maharaja-on-rithi-viharai-hill/" TargetMode="External" Id="rId290" /><Relationship Type="http://schemas.openxmlformats.org/officeDocument/2006/relationships/hyperlink" Target="https://www.ezhunaonline.com/gandharoda-civilization-of-ancient-jaffna/" TargetMode="External" Id="rId291" /><Relationship Type="http://schemas.openxmlformats.org/officeDocument/2006/relationships/hyperlink" Target="https://www.ezhunaonline.com/geology-topography-and-ancient-settlements-of-jaffna/" TargetMode="External" Id="rId292" /><Relationship Type="http://schemas.openxmlformats.org/officeDocument/2006/relationships/hyperlink" Target="https://www.ezhunaonline.com/andiyagala-hill-inscription-where-siddhas-lived-2000-years-ago/" TargetMode="External" Id="rId293" /><Relationship Type="http://schemas.openxmlformats.org/officeDocument/2006/relationships/hyperlink" Target="https://www.ezhunaonline.com/hibauwa-inscription-about-the-naga-clan/" TargetMode="External" Id="rId294" /><Relationship Type="http://schemas.openxmlformats.org/officeDocument/2006/relationships/hyperlink" Target="https://www.ezhunaonline.com/nagaland-and-the-nagas-in-history-and-literary-records-part-2/" TargetMode="External" Id="rId295" /><Relationship Type="http://schemas.openxmlformats.org/officeDocument/2006/relationships/hyperlink" Target="https://www.ezhunaonline.com/the-dating-of-archaeological-artefacts/" TargetMode="External" Id="rId296" /><Relationship Type="http://schemas.openxmlformats.org/officeDocument/2006/relationships/hyperlink" Target="https://www.ezhunaonline.com/archaeology-of-kantarodai-part-3/" TargetMode="External" Id="rId297" /><Relationship Type="http://schemas.openxmlformats.org/officeDocument/2006/relationships/hyperlink" Target="https://www.ezhunaonline.com/anaikottai-archaeological-survey/" TargetMode="External" Id="rId298" /><Relationship Type="http://schemas.openxmlformats.org/officeDocument/2006/relationships/hyperlink" Target="https://www.ezhunaonline.com/the-kallanchiya-rock-inscription-tells-of-king-nagan/" TargetMode="External" Id="rId299" /><Relationship Type="http://schemas.openxmlformats.org/officeDocument/2006/relationships/hyperlink" Target="https://www.ezhunaonline.com/jaffna-city-pongoli-water-lion-city-part-2/" TargetMode="External" Id="rId300" /><Relationship Type="http://schemas.openxmlformats.org/officeDocument/2006/relationships/hyperlink" Target="https://www.ezhunaonline.com/vallipuram-and-nagercoil/" TargetMode="External" Id="rId301" /><Relationship Type="http://schemas.openxmlformats.org/officeDocument/2006/relationships/hyperlink" Target="https://www.ezhunaonline.com/early-settlements-near-the-jaffna-peninsula/" TargetMode="External" Id="rId302" /><Relationship Type="http://schemas.openxmlformats.org/officeDocument/2006/relationships/hyperlink" Target="https://www.ezhunaonline.com/primitive-settlements-in-the-northern-mainland-of-sri-lanka/" TargetMode="External" Id="rId303" /><Relationship Type="http://schemas.openxmlformats.org/officeDocument/2006/relationships/hyperlink" Target="https://www.ezhunaonline.com/early-iron-age-and-neolithic-culture-in-sri-lanka-part-3/" TargetMode="External" Id="rId304" /><Relationship Type="http://schemas.openxmlformats.org/officeDocument/2006/relationships/hyperlink" Target="https://www.ezhunaonline.com/history-of-naga-and-anuradhapura-kings-in-eastern-srilanka/" TargetMode="External" Id="rId305" /><Relationship Type="http://schemas.openxmlformats.org/officeDocument/2006/relationships/hyperlink" Target="https://www.ezhunaonline.com/the-first-ten-clans-of-eastern-sri-lanka/" TargetMode="External" Id="rId306" /><Relationship Type="http://schemas.openxmlformats.org/officeDocument/2006/relationships/hyperlink" Target="https://www.ezhunaonline.com/an-introduction-to-brahmi-inscriptions-in-sri-lanka/" TargetMode="External" Id="rId307" /><Relationship Type="http://schemas.openxmlformats.org/officeDocument/2006/relationships/hyperlink" Target="https://www.ezhunaonline.com/tamil-brahmi-inscription-in-ambanthotta-2/" TargetMode="External" Id="rId308" /><Relationship Type="http://schemas.openxmlformats.org/officeDocument/2006/relationships/hyperlink" Target="https://www.ezhunaonline.com/from-vattagamini-to-vattagamini/" TargetMode="External" Id="rId309" /><Relationship Type="http://schemas.openxmlformats.org/officeDocument/2006/relationships/hyperlink" Target="https://www.ezhunaonline.com/history-of-nagar-in-northern-sri-lanka/" TargetMode="External" Id="rId310" /><Relationship Type="http://schemas.openxmlformats.org/officeDocument/2006/relationships/hyperlink" Target="https://www.ezhunaonline.com/eastern-ruhunu-until-the-period-of-mahasenan/" TargetMode="External" Id="rId311" /><Relationship Type="http://schemas.openxmlformats.org/officeDocument/2006/relationships/hyperlink" Target="https://www.ezhunaonline.com/naga-culture-in-mihintala-anuradhapura/" TargetMode="External" Id="rId312" /><Relationship Type="http://schemas.openxmlformats.org/officeDocument/2006/relationships/hyperlink" Target="https://www.ezhunaonline.com/thissamaharama-inscription/" TargetMode="External" Id="rId313" /><Relationship Type="http://schemas.openxmlformats.org/officeDocument/2006/relationships/hyperlink" Target="https://www.ezhunaonline.com/archaeological-reseachers-of-nagar-in-sri-lanka/" TargetMode="External" Id="rId314" /><Relationship Type="http://schemas.openxmlformats.org/officeDocument/2006/relationships/hyperlink" Target="https://www.ezhunaonline.com/nagar-culture-in-sri-lankan-history-part-2/" TargetMode="External" Id="rId315" /><Relationship Type="http://schemas.openxmlformats.org/officeDocument/2006/relationships/hyperlink" Target="https://www.ezhunaonline.com/pidurangala-bhirami-inscription/" TargetMode="External" Id="rId316" /><Relationship Type="http://schemas.openxmlformats.org/officeDocument/2006/relationships/hyperlink" Target="https://www.ezhunaonline.com/sri-lanka-eastern-province-ancient-history/" TargetMode="External" Id="rId317" /><Relationship Type="http://schemas.openxmlformats.org/officeDocument/2006/relationships/hyperlink" Target="https://www.ezhunaonline.com/brahmi-inscription-about-sri-lankan-kingdoms/" TargetMode="External" Id="rId318" /><Relationship Type="http://schemas.openxmlformats.org/officeDocument/2006/relationships/hyperlink" Target="https://www.ezhunaonline.com/vessagiriya-inscription-that-tells-about-naga-blacksmith/" TargetMode="External" Id="rId319" /><Relationship Type="http://schemas.openxmlformats.org/officeDocument/2006/relationships/hyperlink" Target="https://www.ezhunaonline.com/the-wife-of-akkapothi-sri-lankan-eastern-history/" TargetMode="External" Id="rId320" /><Relationship Type="http://schemas.openxmlformats.org/officeDocument/2006/relationships/hyperlink" Target="https://www.ezhunaonline.com/kathirgamam-inscription-by-tamil-king-maha-nagan/" TargetMode="External" Id="rId321" /><Relationship Type="http://schemas.openxmlformats.org/officeDocument/2006/relationships/hyperlink" Target="https://www.ezhunaonline.com/siththar-rock-inscription-which-tell-about-maharajan/" TargetMode="External" Id="rId322" /><Relationship Type="http://schemas.openxmlformats.org/officeDocument/2006/relationships/hyperlink" Target="https://www.ezhunaonline.com/irakkamam-a-tax-free-village-for-anuradhapura-commander/" TargetMode="External" Id="rId323" /><Relationship Type="http://schemas.openxmlformats.org/officeDocument/2006/relationships/hyperlink" Target="https://www.ezhunaonline.com/archaeological-view-of-kathiramalai-kingdom/" TargetMode="External" Id="rId324" /><Relationship Type="http://schemas.openxmlformats.org/officeDocument/2006/relationships/hyperlink" Target="https://www.ezhunaonline.com/pandakiriya-inscription/" TargetMode="External" Id="rId325" /><Relationship Type="http://schemas.openxmlformats.org/officeDocument/2006/relationships/hyperlink" Target="https://www.ezhunaonline.com/padarkal-malai-inscrption/" TargetMode="External" Id="rId326" /><Relationship Type="http://schemas.openxmlformats.org/officeDocument/2006/relationships/hyperlink" Target="https://www.ezhunaonline.com/velodum-malai-nagamalai-inscription-mentions-maha-naga-king/" TargetMode="External" Id="rId327" /><Relationship Type="http://schemas.openxmlformats.org/officeDocument/2006/relationships/hyperlink" Target="https://www.ezhunaonline.com/inscriptions-about-nagar-on-pambarakasthalava-hill-nagaparvata-hill/" TargetMode="External" Id="rId328" /><Relationship Type="http://schemas.openxmlformats.org/officeDocument/2006/relationships/hyperlink" Target="https://www.ezhunaonline.com/tamil-brahmic-charters-of-vel-eelam-recently-discovered-in-poonagri-region/" TargetMode="External" Id="rId329" /><Relationship Type="http://schemas.openxmlformats.org/officeDocument/2006/relationships/hyperlink" Target="https://www.ezhunaonline.com/kalladi-niliyamman-hill-inscriptions-sri-lanka-mentions-the-naga-king-and-the-naga-canal/" TargetMode="External" Id="rId330" /><Relationship Type="http://schemas.openxmlformats.org/officeDocument/2006/relationships/hyperlink" Target="https://www.ezhunaonline.com/the-rajagala-inscriptions-refer-to-nagar/" TargetMode="External" Id="rId331" /><Relationship Type="http://schemas.openxmlformats.org/officeDocument/2006/relationships/hyperlink" Target="https://www.ezhunaonline.com/the-kudumbigala-hill-inscription-mentions-the-village-officer-nagan/" TargetMode="External" Id="rId332" /><Relationship Type="http://schemas.openxmlformats.org/officeDocument/2006/relationships/hyperlink" Target="https://www.ezhunaonline.com/chola-in-keekhagarai/" TargetMode="External" Id="rId333" /><Relationship Type="http://schemas.openxmlformats.org/officeDocument/2006/relationships/hyperlink" Target="https://www.ezhunaonline.com/muthukal-hill-inscriptions-mention-nagar/" TargetMode="External" Id="rId334" /><Relationship Type="http://schemas.openxmlformats.org/officeDocument/2006/relationships/hyperlink" Target="https://www.ezhunaonline.com/kayanguda-kumacholai-inscription-of-eastern-ceylon-viceroy/" TargetMode="External" Id="rId335" /><Relationship Type="http://schemas.openxmlformats.org/officeDocument/2006/relationships/hyperlink" Target="https://www.ezhunaonline.com/handagala-brahmic-inscriptions-refer-to-nagar/" TargetMode="External" Id="rId336" /><Relationship Type="http://schemas.openxmlformats.org/officeDocument/2006/relationships/hyperlink" Target="https://www.ezhunaonline.com/later-inscriptions-refer-to-tamils/" TargetMode="External" Id="rId337" /><Relationship Type="http://schemas.openxmlformats.org/officeDocument/2006/relationships/hyperlink" Target="https://www.ezhunaonline.com/kizhargalin-vampa-vendar/" TargetMode="External" Id="rId338" /><Relationship Type="http://schemas.openxmlformats.org/officeDocument/2006/relationships/hyperlink" Target="https://www.ezhunaonline.com/tamaraveva-pillar-inscription-referring-to-the-tamil-official-mahasathan/" TargetMode="External" Id="rId339" /><Relationship Type="http://schemas.openxmlformats.org/officeDocument/2006/relationships/hyperlink" Target="https://www.ezhunaonline.com/badulla-inscription/" TargetMode="External" Id="rId340" /><Relationship Type="http://schemas.openxmlformats.org/officeDocument/2006/relationships/hyperlink" Target="https://www.ezhunaonline.com/rediscovery-of-tamil-inscription-at-tambalagama/" TargetMode="External" Id="rId341" /><Relationship Type="http://schemas.openxmlformats.org/officeDocument/2006/relationships/hyperlink" Target="https://www.ezhunaonline.com/anuradhapura-inscription/" TargetMode="External" Id="rId342" /><Relationship Type="http://schemas.openxmlformats.org/officeDocument/2006/relationships/hyperlink" Target="https://www.ezhunaonline.com/rankoth-viharai-inscription/" TargetMode="External" Id="rId343" /><Relationship Type="http://schemas.openxmlformats.org/officeDocument/2006/relationships/hyperlink" Target="https://www.ezhunaonline.com/wessagiri-inscription/" TargetMode="External" Id="rId344" /><Relationship Type="http://schemas.openxmlformats.org/officeDocument/2006/relationships/hyperlink" Target="https://www.ezhunaonline.com/keekhakarai-paravani-inscriptioniii/" TargetMode="External" Id="rId345" /><Relationship Type="http://schemas.openxmlformats.org/officeDocument/2006/relationships/hyperlink" Target="https://www.ezhunaonline.com/the-biggest-undiscovered-tourist-destination-in-vanni/" TargetMode="External" Id="rId346" /><Relationship Type="http://schemas.openxmlformats.org/officeDocument/2006/relationships/hyperlink" Target="https://www.ezhunaonline.com/jaffna-fort/" TargetMode="External" Id="rId347" /><Relationship Type="http://schemas.openxmlformats.org/officeDocument/2006/relationships/hyperlink" Target="https://www.ezhunaonline.com/archaeological-research-of-jaffna-fort/" TargetMode="External" Id="rId348" /><Relationship Type="http://schemas.openxmlformats.org/officeDocument/2006/relationships/hyperlink" Target="https://www.ezhunaonline.com/the-coins-of-bhuvanaikabahu/" TargetMode="External" Id="rId349" /><Relationship Type="http://schemas.openxmlformats.org/officeDocument/2006/relationships/hyperlink" Target="https://www.ezhunaonline.com/batticaloa-history-iii/" TargetMode="External" Id="rId350" /><Relationship Type="http://schemas.openxmlformats.org/officeDocument/2006/relationships/hyperlink" Target="https://www.ezhunaonline.com/tamil-coin-of-ellalan/" TargetMode="External" Id="rId351" /><Relationship Type="http://schemas.openxmlformats.org/officeDocument/2006/relationships/hyperlink" Target="https://www.ezhunaonline.com/an-inscription-and-a-ruined-house-in-vanni/" TargetMode="External" Id="rId352" /><Relationship Type="http://schemas.openxmlformats.org/officeDocument/2006/relationships/hyperlink" Target="https://www.ezhunaonline.com/the-other-myths-of-batticaloa-2/" TargetMode="External" Id="rId353" /><Relationship Type="http://schemas.openxmlformats.org/officeDocument/2006/relationships/hyperlink" Target="https://www.ezhunaonline.com/timeline-of-sri-lankan-pre-history/" TargetMode="External" Id="rId354" /><Relationship Type="http://schemas.openxmlformats.org/officeDocument/2006/relationships/hyperlink" Target="https://www.ezhunaonline.com/the-initial-stage-of-sri-lankan-history-period/" TargetMode="External" Id="rId355" /><Relationship Type="http://schemas.openxmlformats.org/officeDocument/2006/relationships/hyperlink" Target="https://www.ezhunaonline.com/%e0%ae%ae%e0%ae%b0%e0%ae%aa%e0%af%81%e0%ae%b0%e0%ae%bf%e0%ae%ae%e0%af%88%e0%ae%95%e0%ae%b3%e0%af%88%e0%ae%aa%e0%af%8d-%e0%ae%aa%e0%ae%b1%e0%af%88%e0%ae%a4%e0%ae%b2%e0%af%8d-%e0%ae%87%e0%ae%b2/" TargetMode="External" Id="rId356" /><Relationship Type="http://schemas.openxmlformats.org/officeDocument/2006/relationships/hyperlink" Target="https://www.ezhunaonline.com/brahmic-inscriptions-on-tamils-in-ceylon-an-introduction/" TargetMode="External" Id="rId357" /><Relationship Type="http://schemas.openxmlformats.org/officeDocument/2006/relationships/hyperlink" Target="https://www.ezhunaonline.com/history-and-culture-of-srilankan-tamils-part-3/" TargetMode="External" Id="rId358" /><Relationship Type="http://schemas.openxmlformats.org/officeDocument/2006/relationships/hyperlink" Target="https://www.ezhunaonline.com/5brahmic-in-icriptions-tamils/" TargetMode="External" Id="rId359" /><Relationship Type="http://schemas.openxmlformats.org/officeDocument/2006/relationships/hyperlink" Target="https://www.ezhunaonline.com/historical-evidence-of-keekhakarai/" TargetMode="External" Id="rId360" /><Relationship Type="http://schemas.openxmlformats.org/officeDocument/2006/relationships/hyperlink" Target="https://www.ezhunaonline.com/tamil-vanikan-puliankulam-inscriptions/" TargetMode="External" Id="rId361" /><Relationship Type="http://schemas.openxmlformats.org/officeDocument/2006/relationships/hyperlink" Target="https://vanakkamlondon.com/stories/featured-story/2022/11/178155/" TargetMode="External" Id="rId362" /><Relationship Type="http://schemas.openxmlformats.org/officeDocument/2006/relationships/hyperlink" Target="https://www.ezhunaonline.com/seruvila-inscription-on-tamil-family-leader-guttan/" TargetMode="External" Id="rId363" /><Relationship Type="http://schemas.openxmlformats.org/officeDocument/2006/relationships/hyperlink" Target="https://www.ezhunaonline.com/tamil-inscription-found-in-the-vanni/" TargetMode="External" Id="rId364" /><Relationship Type="http://schemas.openxmlformats.org/officeDocument/2006/relationships/hyperlink" Target="https://www.ezhunaonline.com/gudvil-inscription-about-a-tamil-merchant-who-was-a-resident-of-dikavapi/" TargetMode="External" Id="rId365" /><Relationship Type="http://schemas.openxmlformats.org/officeDocument/2006/relationships/hyperlink" Target="https://www.ezhunaonline.com/evidence-for-keekhakarai-tamil-literature/" TargetMode="External" Id="rId366" /><Relationship Type="http://schemas.openxmlformats.org/officeDocument/2006/relationships/hyperlink" Target="https://www.ezhunaonline.com/alinthu-varum-maraburimai-sinnangal/" TargetMode="External" Id="rId367" /><Relationship Type="http://schemas.openxmlformats.org/officeDocument/2006/relationships/hyperlink" Target="https://www.ezhunaonline.com/yaalpana-nagarukku-mundhiya-thalainagarangal/" TargetMode="External" Id="rId368" /><Relationship Type="http://schemas.openxmlformats.org/officeDocument/2006/relationships/hyperlink" Target="https://www.his.jfn.ac.lk/?p=791" TargetMode="External" Id="rId369" /><Relationship Type="http://schemas.openxmlformats.org/officeDocument/2006/relationships/hyperlink" Target="https://www.his.jfn.ac.lk/?p=791" TargetMode="External" Id="rId370" /><Relationship Type="http://schemas.openxmlformats.org/officeDocument/2006/relationships/hyperlink" Target="https://www.his.jfn.ac.lk/?p=791" TargetMode="External" Id="rId371" /><Relationship Type="http://schemas.openxmlformats.org/officeDocument/2006/relationships/hyperlink" Target="https://www.worldgenweb.org/lkawgw/tamil-brahmi.htm" TargetMode="External" Id="rId372" /><Relationship Type="http://schemas.openxmlformats.org/officeDocument/2006/relationships/hyperlink" Target="https://www.ezhunaonline.com/article/brahmin-and-brahmatheya-in-sri-lankan-tamil-inscriptions/" TargetMode="External" Id="rId373" /><Relationship Type="http://schemas.openxmlformats.org/officeDocument/2006/relationships/hyperlink" Target="https://www.ezhunaonline.com/sangam-age-in-sri-lankan-brahmic-inscriptions/" TargetMode="External" Id="rId374" /><Relationship Type="http://schemas.openxmlformats.org/officeDocument/2006/relationships/hyperlink" Target="https://www.ezhunaonline.com/how-kannagi-worship-entered-sri-lanka/" TargetMode="External" Id="rId375" /><Relationship Type="http://schemas.openxmlformats.org/officeDocument/2006/relationships/hyperlink" Target="https://www.ezhunaonline.com/the-archaeological-value-of-cheddikulam/" TargetMode="External" Id="rId376" /><Relationship Type="http://schemas.openxmlformats.org/officeDocument/2006/relationships/hyperlink" Target="https://www.ezhunaonline.com/folk-religion-and-hinduism/" TargetMode="External" Id="rId377" /><Relationship Type="http://schemas.openxmlformats.org/officeDocument/2006/relationships/hyperlink" Target="https://www.ezhunaonline.com/kanaki-worship-in-ancient-tamil-culture/" TargetMode="External" Id="rId378" /><Relationship Type="http://schemas.openxmlformats.org/officeDocument/2006/relationships/hyperlink" Target="https://www.ezhunaonline.com/article/brahmi-script-and-early-literacy/" TargetMode="External" Id="rId379" /><Relationship Type="http://schemas.openxmlformats.org/officeDocument/2006/relationships/hyperlink" Target="https://www.ezhunaonline.com/compilation/buddhism-and-tamils-during-megalith-of-srilanka/" TargetMode="External" Id="rId380" /><Relationship Type="http://schemas.openxmlformats.org/officeDocument/2006/relationships/hyperlink" Target="https://www.ezhunaonline.com/history-of-ariya-kulam-jaffna/" TargetMode="External" Id="rId381" /><Relationship Type="http://schemas.openxmlformats.org/officeDocument/2006/relationships/hyperlink" Target="https://www.ezhunaonline.com/tamil-rasathani-in-vanni-kurundankula-temple/" TargetMode="External" Id="rId382" /><Relationship Type="http://schemas.openxmlformats.org/officeDocument/2006/relationships/hyperlink" Target="https://www.ezhunaonline.com/velana-palaeolithic-culture-at-chatti/" TargetMode="External" Id="rId383" /><Relationship Type="http://schemas.openxmlformats.org/officeDocument/2006/relationships/hyperlink" Target="https://ta.wikipedia.org/wiki/%E0%AE%AF%E0%AE%BE%E0%AE%B4%E0%AF%8D%E0%AE%AA%E0%AF%8D%E0%AE%AA%E0%AE%BE%E0%AE%A3_%E0%AE%87%E0%AE%B0%E0%AE%BE%E0%AE%9A%E0%AF%8D%E0%AE%9A%E0%AE%BF%E0%AE%AF%E0%AE%A4%E0%AF%8D%E0%AE%A4%E0%AE%BF%E0%AE%A9%E0%AF%8D_%E0%AE%B5%E0%AE%B0%E0%AE%B2%E0%AE%BE%E0%AE%B1%E0%AF%81" TargetMode="External" Id="rId384" /><Relationship Type="http://schemas.openxmlformats.org/officeDocument/2006/relationships/hyperlink" Target="https://ta.wikipedia.org/wiki/%E0%AE%87%E0%AE%B2%E0%AE%99%E0%AF%8D%E0%AE%95%E0%AF%88%E0%AE%AF%E0%AE%BF%E0%AE%B2%E0%AF%8D_%E0%AE%89%E0%AE%B3%E0%AF%8D%E0%AE%B3_%E0%AE%A4%E0%AE%AE%E0%AE%BF%E0%AE%B4%E0%AF%8D%E0%AE%95%E0%AF%8D_%E0%AE%95%E0%AE%B2%E0%AF%8D%E0%AE%B5%E0%AF%86%E0%AE%9F%E0%AF%8D%E0%AE%9F%E0%AF%81%E0%AE%95%E0%AE%B3%E0%AF%8D" TargetMode="External" Id="rId385" /><Relationship Type="http://schemas.openxmlformats.org/officeDocument/2006/relationships/hyperlink" Target="https://uthayannews.ca/2025/12/19/%E0%AE%AF%E0%AE%BE%E0%AE%B4%E0%AF%8D%E0%AE%AA%E0%AF%8D%E0%AE%AA%E0%AE%BE%E0%AE%A3%E0%AE%AE%E0%AF%8D-%E0%AE%95%E0%AF%8B%E0%AE%9F%E0%AF%8D%E0%AE%9F%E0%AF%88%E0%AE%AF%E0%AF%88-%E0%AE%9A%E0%AF%81/" TargetMode="External" Id="rId386" /><Relationship Type="http://schemas.openxmlformats.org/officeDocument/2006/relationships/hyperlink" Target="https://amazinglanka.com/wp/sankiliyatital/" TargetMode="External" Id="rId387" /><Relationship Type="http://schemas.openxmlformats.org/officeDocument/2006/relationships/hyperlink" Target="https://ta.wikipedia.org/wiki/%E0%AE%A4%E0%AF%87%E0%AE%B5%E0%AE%A9%E0%AE%BE%E0%AE%AE%E0%AF%8D%E0%AE%AA%E0%AE%BF%E0%AE%B0%E0%AE%BF%E0%AE%AF%E0%AE%BE" TargetMode="External" Id="rId388" /><Relationship Type="http://schemas.openxmlformats.org/officeDocument/2006/relationships/hyperlink" Target="https://ta.wikipedia.org/wiki/%E0%AE%95%E0%AF%8B%E0%AE%AE%E0%AE%B0%E0%AE%99%E0%AF%8D%E0%AE%95%E0%AE%9F%E0%AE%B5%E0%AE%B2%E0%AF%88_%E0%AE%95%E0%AE%B2%E0%AF%8D%E0%AE%B5%E0%AF%86%E0%AE%9F%E0%AF%8D%E0%AE%9F%E0%AF%81" TargetMode="External" Id="rId389" /><Relationship Type="http://schemas.openxmlformats.org/officeDocument/2006/relationships/hyperlink" Target="https://www.lankapradeepa.com/2020/04/tamil-inscriptions-in-sri-lanka_16.html" TargetMode="External" Id="rId390" /><Relationship Type="http://schemas.openxmlformats.org/officeDocument/2006/relationships/hyperlink" Target="https://en.wikipedia.org/wiki/Pottery_of_Sri_Lanka" TargetMode="External" Id="rId391" /><Relationship Type="http://schemas.openxmlformats.org/officeDocument/2006/relationships/hyperlink" Target="https://en.wikipedia.org/wiki/Tamil_inscriptions" TargetMode="External" Id="rId392" /><Relationship Type="http://schemas.openxmlformats.org/officeDocument/2006/relationships/hyperlink" Target="https://ta.wikipedia.org/wiki/%E0%AE%B5%E0%AF%86%E0%AE%9F%E0%AF%81%E0%AE%95%E0%AF%8D%E0%AE%95%E0%AF%81%E0%AE%A8%E0%AE%BE%E0%AE%B1%E0%AE%BF%E0%AE%AE%E0%AE%B2%E0%AF%88_%E0%AE%86%E0%AE%A4%E0%AE%BF_%E0%AE%B2%E0%AE%BF%E0%AE%99%E0%AF%8D%E0%AE%95%E0%AF%87%E0%AE%B8%E0%AF%8D%E0%AE%B5%E0%AE%B0%E0%AE%B0%E0%AF%8D_%E0%AE%86%E0%AE%B2%E0%AE%AF%E0%AE%AE%E0%AF%8D" TargetMode="External" Id="rId393" /><Relationship Type="http://schemas.openxmlformats.org/officeDocument/2006/relationships/hyperlink" Target="https://en.wikipedia.org/wiki/Mantri_Manai" TargetMode="External" Id="rId394" /><Relationship Type="http://schemas.openxmlformats.org/officeDocument/2006/relationships/hyperlink" Target="https://ta.wikipedia.org/wiki/%E0%AE%A8%E0%AE%BE%E0%AE%9F%E0%AF%81_%E0%AE%95%E0%AE%BE%E0%AE%9F%E0%AF%8D%E0%AE%9F%E0%AF%81%E0%AE%AA%E0%AF%8D_%E0%AE%AA%E0%AE%B0%E0%AE%B5%E0%AE%A3%E0%AE%BF%E0%AE%95%E0%AF%8D_%E0%AE%95%E0%AE%B2%E0%AF%8D%E0%AE%B5%E0%AF%86%E0%AE%9F%E0%AF%8D%E0%AE%9F%E0%AF%81" TargetMode="External" Id="rId395" /><Relationship Type="http://schemas.openxmlformats.org/officeDocument/2006/relationships/hyperlink" Target="https://en.wikipedia.org/wiki/Velgam_Vehera" TargetMode="External" Id="rId396" /><Relationship Type="http://schemas.openxmlformats.org/officeDocument/2006/relationships/hyperlink" Target="https://en.wikipedia.org/wiki/Kulakkottan" TargetMode="External" Id="rId397" /><Relationship Type="http://schemas.openxmlformats.org/officeDocument/2006/relationships/hyperlink" Target="https://ta.wikipedia.org/wiki/%E0%AE%AF%E0%AE%BE%E0%AE%B4%E0%AF%8D%E0%AE%AA%E0%AF%8D%E0%AE%AA%E0%AE%BE%E0%AE%A3_%E0%AE%AE%E0%AE%BE%E0%AE%B5%E0%AE%9F%E0%AF%8D%E0%AE%9F%E0%AE%A4%E0%AF%8D%E0%AE%A4%E0%AE%BF%E0%AE%B2%E0%AF%8D_%E0%AE%A4%E0%AF%8A%E0%AE%B2%E0%AF%8D%E0%AE%B2%E0%AE%BF%E0%AE%AF%E0%AE%B2%E0%AF%8D_%E0%AE%B0%E0%AF%80%E0%AE%A4%E0%AE%BF%E0%AE%AF%E0%AE%BE%E0%AE%95_%E0%AE%AA%E0%AE%BE%E0%AE%A4%E0%AF%81%E0%AE%95%E0%AE%BE%E0%AE%95%E0%AF%8D%E0%AE%95%E0%AE%AA%E0%AF%8D%E0%AE%AA%E0%AE%9F%E0%AF%8D%E0%AE%9F_%E0%AE%A8%E0%AE%BF%E0%AE%A9%E0%AF%88%E0%AE%B5%E0%AF%81%E0%AE%9A%E0%AF%8D_%E0%AE%9A%E0%AE%BF%E0%AE%A9%E0%AF%8D%E0%AE%A9%E0%AE%99%E0%AF%8D%E0%AE%95%E0%AE%B3%E0%AE%BF%E0%AE%A9%E0%AF%8D_%E0%AE%AA%E0%AE%9F%E0%AF%8D%E0%AE%9F%E0%AE%BF%E0%AE%AF%E0%AE%B2%E0%AF%8D" TargetMode="External" Id="rId398" /><Relationship Type="http://schemas.openxmlformats.org/officeDocument/2006/relationships/hyperlink" Target="https://ta.wikipedia.org/wiki/%E0%AE%95%E0%AE%A8%E0%AF%8D%E0%AE%A4%E0%AE%B0%E0%AF%8B%E0%AE%9F%E0%AF%88_%E0%AE%A4%E0%AF%8A%E0%AE%B2%E0%AF%8D%E0%AE%B2%E0%AE%BF%E0%AE%AF%E0%AE%B2%E0%AF%8D_%E0%AE%95%E0%AE%B3%E0%AE%AE%E0%AF%8D" TargetMode="External" Id="rId399" /><Relationship Type="http://schemas.openxmlformats.org/officeDocument/2006/relationships/hyperlink" Target="https://ta.wikipedia.org/wiki/%E0%AE%86._%E0%AE%B5%E0%AF%87%E0%AE%B2%E0%AF%81%E0%AE%AA%E0%AF%8D%E0%AE%AA%E0%AE%BF%E0%AE%B3%E0%AF%8D%E0%AE%B3%E0%AF%88" TargetMode="External" Id="rId400" /><Relationship Type="http://schemas.openxmlformats.org/officeDocument/2006/relationships/hyperlink" Target="https://ta.wikipedia.org/wiki/%E0%AE%B5%E0%AF%86%E0%AE%B8%E0%AF%8D%E0%AE%B8%E0%AE%95%E0%AE%BF%E0%AE%B0%E0%AE%BF%E0%AE%AF" TargetMode="External" Id="rId401" /><Relationship Type="http://schemas.openxmlformats.org/officeDocument/2006/relationships/hyperlink" Target="https://ta.wikipedia.org/wiki/%E0%AE%85%E0%AE%A9%E0%AF%81%E0%AE%B0%E0%AE%BE%E0%AE%A4%E0%AE%AA%E0%AF%81%E0%AE%B0%E0%AE%AE%E0%AF%8D_%E0%AE%85%E0%AE%B0%E0%AF%81%E0%AE%99%E0%AF%8D%E0%AE%95%E0%AE%BE%E0%AE%9F%E0%AF%8D%E0%AE%9A%E0%AE%BF%E0%AE%AF%E0%AE%95%E0%AE%AE%E0%AF%8D" TargetMode="External" Id="rId402" /><Relationship Type="http://schemas.openxmlformats.org/officeDocument/2006/relationships/hyperlink" Target="https://ta.wikipedia.org/wiki/%E0%AE%9A%E0%AF%87%E0%AE%A9%E0%AE%B0%E0%AE%A4%E0%AF%8D_%E0%AE%AA%E0%AE%B0%E0%AE%A3%E0%AE%B5%E0%AE%BF%E0%AE%A4%E0%AE%BE%E0%AE%A9" TargetMode="External" Id="rId403" /><Relationship Type="http://schemas.openxmlformats.org/officeDocument/2006/relationships/hyperlink" Target="https://ta.wikipedia.org/wiki/%E0%AE%A4%E0%AF%8A%E0%AE%B2%E0%AF%8D%E0%AE%AA%E0%AF%8A%E0%AE%B0%E0%AF%81%E0%AE%B3%E0%AF%8D_%E0%AE%95%E0%AE%BE%E0%AE%9F%E0%AF%8D%E0%AE%9A%E0%AE%BF%E0%AE%9A%E0%AF%8D%E0%AE%9A%E0%AE%BE%E0%AE%B2%E0%AF%88%2C_%E0%AE%B5%E0%AE%B5%E0%AF%81%E0%AE%A9%E0%AE%BF%E0%AE%AF%E0%AE%BE" TargetMode="External" Id="rId404" /><Relationship Type="http://schemas.openxmlformats.org/officeDocument/2006/relationships/hyperlink" Target="https://ta.wikipedia.org/wiki/%E0%AE%9A%E0%AE%BF%E0%AE%B0%E0%AE%BE%E0%AE%A9%E0%AF%8D_%E0%AE%89%E0%AE%AA%E0%AF%87%E0%AE%A8%E0%AF%8D%E0%AE%A4%E0%AE%BF%E0%AE%B0_%E0%AE%A4%E0%AF%86%E0%AE%B0%E0%AE%A3%E0%AE%BF%E0%AE%AF%E0%AE%95%E0%AE%B2" TargetMode="External" Id="rId405" /><Relationship Type="http://schemas.openxmlformats.org/officeDocument/2006/relationships/hyperlink" Target="https://ta.wikipedia.org/wiki/%E0%AE%A4%E0%AF%8A%E0%AE%B2%E0%AF%8D%E0%AE%AA%E0%AF%8A%E0%AE%B0%E0%AF%81%E0%AE%B3%E0%AE%BF%E0%AE%AF%E0%AE%B2%E0%AF%8D_%E0%AE%A4%E0%AE%BF%E0%AE%A3%E0%AF%88%E0%AE%95%E0%AF%8D%E0%AE%95%E0%AE%B3%E0%AE%AE%E0%AF%8D%2C_%E0%AE%87%E0%AE%B2%E0%AE%99%E0%AF%8D%E0%AE%95%E0%AF%88" TargetMode="External" Id="rId406" /><Relationship Type="http://schemas.openxmlformats.org/officeDocument/2006/relationships/hyperlink" Target="https://ta.wikipedia.org/wiki/%E0%AE%85%E0%AE%AA%E0%AE%AF%E0%AE%95%E0%AE%BF%E0%AE%B0%E0%AE%BF%E0%AE%A4%E0%AF%8D_%E0%AE%A4%E0%AE%AE%E0%AE%BF%E0%AE%B4%E0%AF%8D%E0%AE%95%E0%AF%8D_%E0%AE%95%E0%AE%B2%E0%AF%8D%E0%AE%B5%E0%AF%86%E0%AE%9F%E0%AF%8D%E0%AE%9F%E0%AF%81" TargetMode="External" Id="rId407" /><Relationship Type="http://schemas.openxmlformats.org/officeDocument/2006/relationships/hyperlink" Target="https://ta.wikipedia.org/wiki/%E0%AE%87%E0%AE%B2%E0%AE%99%E0%AF%8D%E0%AE%95%E0%AF%88%E0%AE%A4%E0%AF%8D_%E0%AE%A4%E0%AE%AE%E0%AE%BF%E0%AE%B4%E0%AF%8D%E0%AE%95%E0%AF%8D_%E0%AE%95%E0%AE%B2%E0%AF%8D%E0%AE%B5%E0%AF%86%E0%AE%9F%E0%AF%8D%E0%AE%9F%E0%AF%81%E0%AE%95%E0%AF%8D%E0%AE%95%E0%AE%B3%E0%AE%BF%E0%AE%A9%E0%AF%8D_%E0%AE%AA%E0%AE%9F%E0%AF%8D%E0%AE%9F%E0%AE%BF%E0%AE%AF%E0%AE%B2%E0%AF%8D" TargetMode="External" Id="rId408" /><Relationship Type="http://schemas.openxmlformats.org/officeDocument/2006/relationships/hyperlink" Target="https://ta.wikipedia.org/wiki/%E0%AE%85%E0%AE%A9%E0%AF%81%E0%AE%B0%E0%AE%BE%E0%AE%A4%E0%AE%AA%E0%AF%81%E0%AE%B0%E0%AE%AE%E0%AF%8D_%E0%AE%95%E0%AF%81%E0%AE%AE%E0%AE%BE%E0%AE%B0%E0%AE%95%E0%AE%A3%E0%AE%A4%E0%AF%8D%E0%AE%A4%E0%AF%81%E0%AE%AA%E0%AF%8D_%E0%AE%AA%E0%AF%87%E0%AE%B0%E0%AF%82%E0%AE%B0%E0%AE%BE%E0%AE%B0%E0%AF%8D_%E0%AE%95%E0%AE%B2%E0%AF%8D%E0%AE%B5%E0%AF%86%E0%AE%9F%E0%AF%8D%E0%AE%9F%E0%AF%81%E0%AE%95%E0%AF%8D%E0%AE%95%E0%AE%B3%E0%AF%8D" TargetMode="External" Id="rId409" /><Relationship Type="http://schemas.openxmlformats.org/officeDocument/2006/relationships/hyperlink" Target="https://ta.wikipedia.org/wiki/%E0%AE%A4%E0%AE%BE%E0%AE%B4%E0%AE%BF%E0%AE%95%E0%AF%81%E0%AE%AE%E0%AE%BE%E0%AE%B0%E0%AE%A9%E0%AF%8D_%E0%AE%95%E0%AE%B2%E0%AF%8D%E0%AE%B5%E0%AF%86%E0%AE%9F%E0%AF%8D%E0%AE%9F%E0%AF%81_%28%E0%AE%AE%E0%AE%BE%E0%AE%A4%E0%AF%8B%E0%AE%9F%E0%AF%8D%E0%AE%9F%E0%AE%AE%E0%AF%8D%29" TargetMode="External" Id="rId410" /><Relationship Type="http://schemas.openxmlformats.org/officeDocument/2006/relationships/hyperlink" Target="https://ta.wikipedia.org/wiki/%E0%AE%AA%E0%AE%B3%E0%AE%AE%E0%AF%8B%E0%AE%9F%E0%AF%8D%E0%AE%9F%E0%AF%88%E0%AE%95%E0%AF%8D_%E0%AE%95%E0%AE%B2%E0%AF%8D%E0%AE%B5%E0%AF%86%E0%AE%9F%E0%AF%8D%E0%AE%9F%E0%AF%81" TargetMode="External" Id="rId411" /><Relationship Type="http://schemas.openxmlformats.org/officeDocument/2006/relationships/hyperlink" Target="https://ta.wikipedia.org/wiki/%E0%AE%AE%E0%AE%BE%E0%AE%A9%E0%AE%BE%E0%AE%99%E0%AF%8D%E0%AE%95%E0%AF%87%E0%AE%A3%E0%AE%BF%E0%AE%95%E0%AF%8D_%E0%AE%95%E0%AE%B2%E0%AF%8D%E0%AE%B5%E0%AF%86%E0%AE%9F%E0%AF%8D%E0%AE%9F%E0%AF%81" TargetMode="External" Id="rId412" /><Relationship Type="http://schemas.openxmlformats.org/officeDocument/2006/relationships/hyperlink" Target="https://ta.wikipedia.org/wiki/%E0%AE%A8%E0%AE%BF%E0%AE%B2%E0%AE%BE%E0%AE%B5%E0%AF%86%E0%AE%B3%E0%AE%BF%E0%AE%95%E0%AF%8D_%E0%AE%95%E0%AE%B2%E0%AF%8D%E0%AE%B5%E0%AF%86%E0%AE%9F%E0%AF%8D%E0%AE%9F%E0%AF%81" TargetMode="External" Id="rId413" /><Relationship Type="http://schemas.openxmlformats.org/officeDocument/2006/relationships/hyperlink" Target="https://ta.wikipedia.org/wiki/%E0%AE%85%E0%AE%A4%E0%AE%B0%E0%AE%95%E0%AF%81%E0%AE%B3%E0%AE%BF%E0%AE%AF_%E0%AE%95%E0%AE%B2%E0%AF%8D%E0%AE%B5%E0%AF%86%E0%AE%9F%E0%AF%8D%E0%AE%9F%E0%AF%81" TargetMode="External" Id="rId414" /><Relationship Type="http://schemas.openxmlformats.org/officeDocument/2006/relationships/hyperlink" Target="https://ta.wikipedia.org/wiki/%E0%AE%86%E0%AE%A4%E0%AE%95%E0%AE%9F_%E0%AE%95%E0%AE%B2%E0%AF%8D%E0%AE%B5%E0%AF%86%E0%AE%9F%E0%AF%8D%E0%AE%9F%E0%AF%81" TargetMode="External" Id="rId415" /><Relationship Type="http://schemas.openxmlformats.org/officeDocument/2006/relationships/hyperlink" Target="https://ta.wikipedia.org/wiki/%E0%AE%9A%E0%AE%BF%E0%AE%B1%E0%AF%81%E0%AE%95%E0%AF%81%E0%AE%B3%E0%AE%A4%E0%AF%8D%E0%AE%A4%E0%AF%82%E0%AE%B0%E0%AF%8D_%E0%AE%89%E0%AE%9F%E0%AF%88%E0%AE%AF%E0%AE%BE%E0%AE%A9%E0%AF%8D_%E0%AE%95%E0%AE%B2%E0%AF%8D%E0%AE%B5%E0%AF%86%E0%AE%9F%E0%AF%8D%E0%AE%9F%E0%AF%81" TargetMode="External" Id="rId416" /><Relationship Type="http://schemas.openxmlformats.org/officeDocument/2006/relationships/hyperlink" Target="https://ta.wikipedia.org/wiki/%E0%AE%AA%E0%AF%8A%E0%AE%B2%E0%AE%A8%E0%AE%B1%E0%AF%81%E0%AE%B5%E0%AF%88_%E0%AE%B5%E0%AF%87%E0%AE%B3%E0%AF%88%E0%AE%95%E0%AF%8D%E0%AE%95%E0%AE%BE%E0%AE%B0%E0%AE%B0%E0%AF%8D_%E0%AE%95%E0%AE%B2%E0%AF%8D%E0%AE%B5%E0%AF%86%E0%AE%9F%E0%AF%8D%E0%AE%9F%E0%AF%81" TargetMode="External" Id="rId417" /><Relationship Type="http://schemas.openxmlformats.org/officeDocument/2006/relationships/hyperlink" Target="https://ta.wikipedia.org/wiki/%E0%AE%AE%E0%AE%AF%E0%AE%BF%E0%AE%B2%E0%AE%A9%E0%AF%8D_%E0%AE%95%E0%AF%81%E0%AE%B3%E0%AE%AE%E0%AF%8D_%E0%AE%B5%E0%AF%87%E0%AE%B3%E0%AF%88%E0%AE%95%E0%AF%8D%E0%AE%95%E0%AE%BE%E0%AE%B0%E0%AE%B0%E0%AF%8D_%E0%AE%95%E0%AE%B2%E0%AF%8D%E0%AE%B5%E0%AF%86%E0%AE%9F%E0%AF%8D%E0%AE%9F%E0%AF%81" TargetMode="External" Id="rId418" /><Relationship Type="http://schemas.openxmlformats.org/officeDocument/2006/relationships/hyperlink" Target="https://en.wikipedia.org/wiki/Department_of_Archaeology_%28Sri_Lanka%29" TargetMode="External" Id="rId419" /><Relationship Type="http://schemas.openxmlformats.org/officeDocument/2006/relationships/hyperlink" Target="https://en.wikipedia.org/wiki/Megalithic_graffiti_symbols" TargetMode="External" Id="rId420" /><Relationship Type="http://schemas.openxmlformats.org/officeDocument/2006/relationships/hyperlink" Target="https://ta.wikipedia.org/wiki/%E0%AE%AF%E0%AE%BE%E0%AE%B4%E0%AF%8D%E0%AE%AA%E0%AF%8D%E0%AE%AA%E0%AE%BE%E0%AE%A3_%E0%AE%87%E0%AE%B0%E0%AE%BE%E0%AE%9A%E0%AF%8D%E0%AE%9A%E0%AE%BF%E0%AE%AF%E0%AE%AE%E0%AF%8D_%28%E0%AE%9A%E0%AE%BF%E0%AE%B1%E0%AF%8D%E0%AE%B1%E0%AE%AE%E0%AF%8D%E0%AE%AA%E0%AE%B2%E0%AE%AE%E0%AF%8D%29" TargetMode="External" Id="rId421" /><Relationship Type="http://schemas.openxmlformats.org/officeDocument/2006/relationships/hyperlink" Target="https://ta.wikipedia.org/wiki/%E0%AE%95%E0%AE%BE%E0%AE%B2%E0%AE%BF_%E0%AE%AE%E0%AF%81%E0%AE%AE%E0%AF%8D%E0%AE%AE%E0%AF%8A%E0%AE%B4%E0%AE%BF%E0%AE%95%E0%AF%8D_%E0%AE%95%E0%AE%B2%E0%AF%8D%E0%AE%B5%E0%AF%86%E0%AE%9F%E0%AF%8D%E0%AE%9F%E0%AF%81" TargetMode="External" Id="rId422" /><Relationship Type="http://schemas.openxmlformats.org/officeDocument/2006/relationships/hyperlink" Target="https://ta.wikipedia.org/wiki/%E0%AE%AF%E0%AE%BE%E0%AE%B4%E0%AF%8D%E0%AE%AA%E0%AF%8D%E0%AE%AA%E0%AE%BE%E0%AE%A3%E0%AE%A4%E0%AF%8D%E0%AE%A4%E0%AF%81%E0%AE%9A%E0%AF%8D_%E0%AE%9A%E0%AE%BE%E0%AE%9A%E0%AE%A9%E0%AE%99%E0%AF%8D%E0%AE%95%E0%AE%B3%E0%AF%8D" TargetMode="External" Id="rId423" /><Relationship Type="http://schemas.openxmlformats.org/officeDocument/2006/relationships/hyperlink" Target="https://ta.wikipedia.org/wiki/%E0%AE%87%E0%AE%B2%E0%AE%99%E0%AF%8D%E0%AE%95%E0%AF%88%E0%AE%AF%E0%AE%BF%E0%AE%B2%E0%AF%8D_%E0%AE%9A%E0%AE%99%E0%AF%8D%E0%AE%95%E0%AE%95%E0%AE%BE%E0%AE%B2_%E0%AE%A8%E0%AE%BE%E0%AE%A3%E0%AE%AF%E0%AE%99%E0%AF%8D%E0%AE%95%E0%AE%B3%E0%AF%8D" TargetMode="External" Id="rId424" /><Relationship Type="http://schemas.openxmlformats.org/officeDocument/2006/relationships/hyperlink" Target="https://ta.wikipedia.org/wiki/%E0%AE%A8%E0%AE%AF%E0%AE%BF%E0%AE%A9%E0%AE%BE%E0%AE%A4%E0%AF%80%E0%AE%B5%E0%AF%81%E0%AE%95%E0%AF%8D_%E0%AE%95%E0%AE%B2%E0%AF%8D%E0%AE%B5%E0%AF%86%E0%AE%9F%E0%AF%8D%E0%AE%9F%E0%AF%81" TargetMode="External" Id="rId425" /><Relationship Type="http://schemas.openxmlformats.org/officeDocument/2006/relationships/hyperlink" Target="https://ta.wikipedia.org/wiki/%E0%AE%AF%E0%AE%BE%E0%AE%B4%E0%AF%8D%E0%AE%AA%E0%AF%8D%E0%AE%AA%E0%AE%BE%E0%AE%A3%E0%AE%AE%E0%AF%8D_%E0%AE%AA%E0%AE%BF%E0%AE%B0%E0%AE%A4%E0%AE%BE%E0%AE%A9_%E0%AE%B5%E0%AF%80%E0%AE%A4%E0%AE%BF%E0%AE%95%E0%AF%8D_%E0%AE%95%E0%AE%B2%E0%AF%8D%E0%AE%B5%E0%AF%86%E0%AE%9F%E0%AF%8D%E0%AE%9F%E0%AF%81" TargetMode="External" Id="rId426" /><Relationship Type="http://schemas.openxmlformats.org/officeDocument/2006/relationships/hyperlink" Target="https://ta.wikipedia.org/wiki/%E0%AE%95%E0%AE%B0%E0%AF%81%E0%AE%A3%E0%AE%BE%E0%AE%95%E0%AE%B0%E0%AE%AA%E0%AF%8D_%E0%AE%AA%E0%AE%BF%E0%AE%B3%E0%AF%8D%E0%AE%B3%E0%AF%88%E0%AE%AF%E0%AE%BE%E0%AE%B0%E0%AF%8D_%E0%AE%95%E0%AF%8B%E0%AE%AF%E0%AE%BF%E0%AE%B1%E0%AF%8D_%E0%AE%95%E0%AE%B2%E0%AF%8D%E0%AE%B5%E0%AF%86%E0%AE%9F%E0%AF%8D%E0%AE%9F%E0%AF%81" TargetMode="External" Id="rId427" /><Relationship Type="http://schemas.openxmlformats.org/officeDocument/2006/relationships/hyperlink" Target="https://ta.wikipedia.org/wiki/%E0%AE%87%E0%AE%B0%E0%AE%A4%E0%AF%8D%E0%AE%A4%E0%AE%BF%E0%AE%A9%E0%AE%AA%E0%AF%81%E0%AE%B0%E0%AE%BF_%E0%AE%A4%E0%AF%87%E0%AE%9A%E0%AE%BF%E0%AE%AF_%E0%AE%A8%E0%AF%82%E0%AE%A4%E0%AE%A9%E0%AE%9A%E0%AE%BE%E0%AE%B2%E0%AF%88" TargetMode="External" Id="rId428" /><Relationship Type="http://schemas.openxmlformats.org/officeDocument/2006/relationships/hyperlink" Target="https://ta.wikipedia.org/wiki/%E0%AE%9A%E0%AF%80%E0%AE%A9%E0%AE%B0%E0%AF%8D_-_%E0%AE%A4%E0%AE%AE%E0%AE%BF%E0%AE%B4%E0%AE%B0%E0%AF%8D_%E0%AE%A4%E0%AF%8A%E0%AE%9F%E0%AE%B0%E0%AF%8D%E0%AE%AA%E0%AF%81%E0%AE%95%E0%AE%B3%E0%AF%8D" TargetMode="External" Id="rId429" /><Relationship Type="http://schemas.openxmlformats.org/officeDocument/2006/relationships/hyperlink" Target="https://ta.wikipedia.org/wiki/%E0%AE%B5%E0%AF%87%E0%AE%B3%E0%AE%BF%E0%AE%B0%E0%AF%8D_%28%E0%AE%88%E0%AE%B4%E0%AE%AE%E0%AF%8D%29" TargetMode="External" Id="rId430" /><Relationship Type="http://schemas.openxmlformats.org/officeDocument/2006/relationships/hyperlink" Target="https://en.wikipedia.org/wiki/Archaeological_Museum%2C_Jaffna" TargetMode="External" Id="rId431" /><Relationship Type="http://schemas.openxmlformats.org/officeDocument/2006/relationships/hyperlink" Target="https://en.wikipedia.org/wiki/History_of_the_Jaffna_kingdom" TargetMode="External" Id="rId432" /><Relationship Type="http://schemas.openxmlformats.org/officeDocument/2006/relationships/hyperlink" Target="https://southeastasianarchaeology.com/2012/06/27/prehistoric-skeleton-found-in-sri-lanka" TargetMode="External" Id="rId433" /><Relationship Type="http://schemas.openxmlformats.org/officeDocument/2006/relationships/hyperlink" Target="https://en.wikipedia.org/wiki/Anaikoddai_seal" TargetMode="External" Id="rId434" /><Relationship Type="http://schemas.openxmlformats.org/officeDocument/2006/relationships/hyperlink" Target="https://ta.wikipedia.org/wiki/%E0%AE%87%E0%AE%B2%E0%AE%99%E0%AF%8D%E0%AE%95%E0%AF%88%E0%AE%A4%E0%AF%8D_%E0%AE%A4%E0%AE%AE%E0%AE%BF%E0%AE%B4%E0%AE%B0%E0%AF%8D_%E0%AE%B5%E0%AE%B0%E0%AE%B2%E0%AE%BE%E0%AE%B1%E0%AF%81_-_%E0%AE%A4%E0%AE%AE%E0%AE%BF%E0%AE%B4%E0%AF%8D_%E0%AE%A8%E0%AF%82%E0%AE%B2%E0%AF%8D_%E0%AE%AA%E0%AE%9F%E0%AF%8D%E0%AE%9F%E0%AE%BF%E0%AE%AF%E0%AE%B2%E0%AF%8D" TargetMode="External" Id="rId435" /><Relationship Type="http://schemas.openxmlformats.org/officeDocument/2006/relationships/hyperlink" Target="https://ta.wikipedia.org/wiki/%E0%AE%AE%E0%AE%9F%E0%AF%8D%E0%AE%9F%E0%AE%95%E0%AF%8D%E0%AE%95%E0%AE%B3%E0%AE%AA%E0%AF%8D%E0%AE%AA%E0%AF%81_%E0%AE%AE%E0%AE%BE%E0%AE%A9%E0%AF%8D%E0%AE%AE%E0%AE%BF%E0%AE%AF%E0%AE%AE%E0%AF%8D" TargetMode="External" Id="rId436" /><Relationship Type="http://schemas.openxmlformats.org/officeDocument/2006/relationships/hyperlink" Target="https://ta.wikipedia.org/wiki/%E0%AE%A8%E0%AE%BE%E0%AE%AF%E0%AE%A9%E0%AF%8D%E0%AE%AE%E0%AE%BE%E0%AE%B0%E0%AF%8D%E0%AE%95%E0%AE%9F%E0%AF%8D%E0%AE%9F%E0%AF%81%E0%AE%95%E0%AF%8D_%E0%AE%95%E0%AE%B2%E0%AF%8D%E0%AE%B5%E0%AF%86%E0%AE%9F%E0%AF%8D%E0%AE%9F%E0%AF%81" TargetMode="External" Id="rId437" /><Relationship Type="http://schemas.openxmlformats.org/officeDocument/2006/relationships/hyperlink" Target="https://en.wikipedia.org/wiki/Tissamaharama_inscription_No._53" TargetMode="External" Id="rId438" /><Relationship Type="http://schemas.openxmlformats.org/officeDocument/2006/relationships/hyperlink" Target="https://en.wikipedia.org/wiki/Prehistory_of_Sri_Lanka" TargetMode="External" Id="rId439" /><Relationship Type="http://schemas.openxmlformats.org/officeDocument/2006/relationships/hyperlink" Target="https://ta.wikipedia.org/wiki/%E0%AE%95%E0%AE%BE._%E0%AE%87%E0%AE%A8%E0%AF%8D%E0%AE%A4%E0%AE%BF%E0%AE%B0%E0%AE%AA%E0%AE%BE%E0%AE%B2%E0%AE%BE" TargetMode="External" Id="rId440" /><Relationship Type="http://schemas.openxmlformats.org/officeDocument/2006/relationships/hyperlink" Target="https://en.wikipedia.org/wiki/Kandarodai" TargetMode="External" Id="rId441" /><Relationship Type="http://schemas.openxmlformats.org/officeDocument/2006/relationships/hyperlink" Target="https://ta.wikipedia.org/wiki/%E0%AE%A4%E0%AE%AE%E0%AE%BF%E0%AE%B4%E0%AE%BF" TargetMode="External" Id="rId442" /><Relationship Type="http://schemas.openxmlformats.org/officeDocument/2006/relationships/hyperlink" Target="https://en.wikipedia.org/wiki/Naga_people_%28Lanka%29" TargetMode="External" Id="rId443" /><Relationship Type="http://schemas.openxmlformats.org/officeDocument/2006/relationships/hyperlink" Target="https://ta.wikipedia.org/wiki/%E0%AE%AA%E0%AF%8A._%E0%AE%AA%E0%AF%82%E0%AE%B2%E0%AF%8B%E0%AE%95%E0%AE%9A%E0%AE%BF%E0%AE%99%E0%AF%8D%E0%AE%95%E0%AE%AE%E0%AF%8D" TargetMode="External" Id="rId444" /><Relationship Type="http://schemas.openxmlformats.org/officeDocument/2006/relationships/hyperlink" Target="https://en.wikipedia.org/wiki/Velanai" TargetMode="External" Id="rId445" /><Relationship Type="http://schemas.openxmlformats.org/officeDocument/2006/relationships/hyperlink" Target="https://ta.wikipedia.org/wiki/%E0%AE%A8%E0%AE%BE%E0%AE%9F%E0%AF%81%E0%AE%95%E0%AE%B3%E0%AF%8D_%E0%AE%85%E0%AE%9F%E0%AE%BF%E0%AE%AA%E0%AF%8D%E0%AE%AA%E0%AE%9F%E0%AF%88%E0%AE%AF%E0%AE%BF%E0%AE%B2%E0%AF%8D_%E0%AE%A4%E0%AF%8A%E0%AE%B2%E0%AF%8D%E0%AE%B2%E0%AE%BF%E0%AE%AF%E0%AE%B2%E0%AF%8D_%E0%AE%95%E0%AE%B3%E0%AE%99%E0%AF%8D%E0%AE%95%E0%AE%B3%E0%AE%BF%E0%AE%A9%E0%AF%8D_%E0%AE%AA%E0%AE%9F%E0%AF%8D%E0%AE%9F%E0%AE%BF%E0%AE%AF%E0%AE%B2%E0%AF%8D" TargetMode="External" Id="rId446" /><Relationship Type="http://schemas.openxmlformats.org/officeDocument/2006/relationships/hyperlink" Target="https://en.wikipedia.org/wiki/Tamil-Brahmi" TargetMode="External" Id="rId447" /><Relationship Type="http://schemas.openxmlformats.org/officeDocument/2006/relationships/hyperlink" Target="https://amazinglanka.com/wp/buddhist-shrines-in-batticaloa-and-ampara/" TargetMode="External" Id="rId448" /><Relationship Type="http://schemas.openxmlformats.org/officeDocument/2006/relationships/hyperlink" Target="https://en.wikipedia.org/wiki/Buddhism_amongst_Tamils_in_Sri_Lanka" TargetMode="External" Id="rId449" /><Relationship Type="http://schemas.openxmlformats.org/officeDocument/2006/relationships/hyperlink" Target="https://amazinglanka.com/wp/jaffna/" TargetMode="External" Id="rId450" /><Relationship Type="http://schemas.openxmlformats.org/officeDocument/2006/relationships/hyperlink" Target="https://amazinglanka.com/wp/tikali/" TargetMode="External" Id="rId451" /><Relationship Type="http://schemas.openxmlformats.org/officeDocument/2006/relationships/hyperlink" Target="https://en.wikipedia.org/wiki/Cankilian_Thoppu" TargetMode="External" Id="rId452" /><Relationship Type="http://schemas.openxmlformats.org/officeDocument/2006/relationships/hyperlink" Target="https://en.wikipedia.org/wiki/List_of_Archaeological_Protected_Monuments_in_Jaffna_District" TargetMode="External" Id="rId453" /><Relationship Type="http://schemas.openxmlformats.org/officeDocument/2006/relationships/hyperlink" Target="https://amazinglanka.com/wp/manniththalai-settlements/" TargetMode="External" Id="rId454" /><Relationship Type="http://schemas.openxmlformats.org/officeDocument/2006/relationships/hyperlink" Target="https://en.wikipedia.org/wiki/Sources_of_ancient_Tamil_history" TargetMode="External" Id="rId455" /><Relationship Type="http://schemas.openxmlformats.org/officeDocument/2006/relationships/hyperlink" Target="https://en.wikipedia.org/wiki/Vallipuram" TargetMode="External" Id="rId456" /><Relationship Type="http://schemas.openxmlformats.org/officeDocument/2006/relationships/hyperlink" Target="https://amazinglanka.com/wp/vanni-bandara-en/" TargetMode="External" Id="rId457" /><Relationship Type="http://schemas.openxmlformats.org/officeDocument/2006/relationships/hyperlink" Target="https://ta.wikipedia.org/wiki/%E0%AE%85%E0%AE%A9%E0%AF%81%E0%AE%B0%E0%AE%BE%E0%AE%A4%E0%AE%AA%E0%AF%81%E0%AE%B0%E0%AE%AE%E0%AF%8D_%E0%AE%A8%E0%AE%BE%E0%AE%A9%E0%AF%8D%E0%AE%95%E0%AF%81_%E0%AE%A8%E0%AE%BE%E0%AE%9F%E0%AF%8D%E0%AE%9F%E0%AE%BE%E0%AE%B0%E0%AF%8D_%E0%AE%95%E0%AE%B2%E0%AF%8D%E0%AE%B5%E0%AF%86%E0%AE%9F%E0%AF%8D%E0%AE%9F%E0%AF%81" TargetMode="External" Id="rId458" /><Relationship Type="http://schemas.openxmlformats.org/officeDocument/2006/relationships/hyperlink" Target="https://ta.wikipedia.org/wiki/%E0%AE%95%E0%AF%8B%E0%AE%AA%E0%AF%8D%E0%AE%AA%E0%AE%BE%E0%AE%AF%E0%AF%8D_%E0%AE%9A%E0%AE%99%E0%AF%8D%E0%AE%95%E0%AE%BF%E0%AE%B2%E0%AE%BF%E0%AE%AF%E0%AE%A9%E0%AF%8D_%E0%AE%95%E0%AF%8B%E0%AE%9F%E0%AF%8D%E0%AE%9F%E0%AF%88" TargetMode="External" Id="rId459" /><Relationship Type="http://schemas.openxmlformats.org/officeDocument/2006/relationships/hyperlink" Target="https://ta.wikipedia.org/wiki/%E0%AE%A4%E0%AE%AE%E0%AE%BF%E0%AE%B4%E0%AF%8D%E0%AE%95%E0%AF%8D_%E0%AE%95%E0%AE%B2%E0%AF%8D%E0%AE%B5%E0%AF%86%E0%AE%9F%E0%AF%8D%E0%AE%9F%E0%AF%81%E0%AE%95%E0%AE%B3%E0%AF%8D" TargetMode="External" Id="rId460" /><Relationship Type="http://schemas.openxmlformats.org/officeDocument/2006/relationships/hyperlink" Target="https://ta.wikipedia.org/wiki/%E0%AE%A4%E0%AE%AE%E0%AF%8D%E0%AE%AA%E0%AE%BF%E0%AE%B2%E0%AF%81%E0%AE%B5%E0%AE%BF%E0%AE%B2%E0%AF%8D_%E0%AE%95%E0%AE%B2%E0%AF%8D%E0%AE%B5%E0%AF%86%E0%AE%9F%E0%AF%8D%E0%AE%9F%E0%AF%81" TargetMode="External" Id="rId461" /><Relationship Type="http://schemas.openxmlformats.org/officeDocument/2006/relationships/hyperlink" Target="https://telibrary.com/category/history/%E0%AE%AF%E0%AE%BE%E0%AE%B4%E0%AF%8D%E0%AE%AA%E0%AF%8D%E0%AE%AA%E0%AE%BE%E0%AE%A3-%E0%AE%87%E0%AE%B0%E0%AE%BE%E0%AE%9A%E0%AF%8D%E0%AE%9A%E0%AE%BF%E0%AE%AF%E0%AE%AE%E0%AF%8D/" TargetMode="External" Id="rId462" /><Relationship Type="http://schemas.openxmlformats.org/officeDocument/2006/relationships/hyperlink" Target="https://treasurehouseofjaffna.com/%E0%AE%AF%E0%AE%BE%E0%AE%B4%E0%AF%8D%E0%AE%AA%E0%AF%8D%E0%AE%AA%E0%AE%BE%E0%AE%A3-%E0%AE%B5%E0%AE%B0%E0%AE%B2%E0%AE%BE%E0%AE%B1%E0%AF%81/" TargetMode="External" Id="rId463" /><Relationship Type="http://schemas.openxmlformats.org/officeDocument/2006/relationships/hyperlink" Target="https://shritharan.com/parliamentary-work/%E0%AE%AF%E0%AE%BE%E0%AE%B4%E0%AF%8D%E0%AE%AA%E0%AF%8D%E0%AE%AA%E0%AE%BE%E0%AE%A3%E0%AE%AE%E0%AF%8D-%E0%AE%86%E0%AE%A9%E0%AF%88%E0%AE%95%E0%AF%8D%E0%AE%95%E0%AF%8B%E0%AE%9F%E0%AF%8D%E0%AE%9F%E0%AF%88/" TargetMode="External" Id="rId464" /></Relationships>
</file>

<file path=xl/worksheets/_rels/sheet8.xml.rels><Relationships xmlns="http://schemas.openxmlformats.org/package/2006/relationships"><Relationship Type="http://schemas.openxmlformats.org/officeDocument/2006/relationships/hyperlink" Target="https://noolaham.org" TargetMode="External" Id="rId1" /><Relationship Type="http://schemas.openxmlformats.org/officeDocument/2006/relationships/hyperlink" Target="https://www.ezhunaonline.com" TargetMode="External" Id="rId2" /><Relationship Type="http://schemas.openxmlformats.org/officeDocument/2006/relationships/hyperlink" Target="https://www.his.jfn.ac.lk" TargetMode="External" Id="rId3" /><Relationship Type="http://schemas.openxmlformats.org/officeDocument/2006/relationships/hyperlink" Target="https://jfn.ac.lk/prof-s-pathmanathan/" TargetMode="External" Id="rId4" /><Relationship Type="http://schemas.openxmlformats.org/officeDocument/2006/relationships/hyperlink" Target="https://rer.jfn.ac.lk" TargetMode="External" Id="rId5" /><Relationship Type="http://schemas.openxmlformats.org/officeDocument/2006/relationships/hyperlink" Target="https://www.tamilnet.com" TargetMode="External" Id="rId6" /><Relationship Type="http://schemas.openxmlformats.org/officeDocument/2006/relationships/hyperlink" Target="https://www.virakesari.lk" TargetMode="External" Id="rId7" /><Relationship Type="http://schemas.openxmlformats.org/officeDocument/2006/relationships/hyperlink" Target="https://www.sundaytimes.lk" TargetMode="External" Id="rId8" /><Relationship Type="http://schemas.openxmlformats.org/officeDocument/2006/relationships/hyperlink" Target="https://www.lankapradeepa.com/2020/04/tamil-inscriptions-in-sri-lanka_16.html" TargetMode="External" Id="rId9" /></Relationships>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Sri Lankan Tamil Inscriptions, Archaeology, Hero Stones &amp; Rock Art: Bibliography</t>
        </is>
      </c>
    </row>
    <row r="2">
      <c r="A2" s="2" t="inlineStr">
        <is>
          <t>Books, research papers, newspaper and magazine articles, 1996-2026 (plus key earlier references). Compiled 2026-10-14. Counts below are live formulas over the 'All Records' sheet.</t>
        </is>
      </c>
    </row>
    <row r="3">
      <c r="A3" s="2" t="inlineStr">
        <is>
          <t>Keywords: கல்வெட்டு, கல்வெட்டுகள், தமிழ், தொல்லியல், நடுகல், பாறை ஓவியம் / inscription, epigraphy, Tamil, archaeology, hero stone, rock art, Brahmi, coins</t>
        </is>
      </c>
    </row>
    <row r="5">
      <c r="A5" s="3" t="inlineStr">
        <is>
          <t>Category</t>
        </is>
      </c>
      <c r="B5" s="3" t="inlineStr">
        <is>
          <t>Records</t>
        </is>
      </c>
      <c r="C5" s="3" t="inlineStr">
        <is>
          <t>Within 1996-2026</t>
        </is>
      </c>
    </row>
    <row r="6">
      <c r="A6" s="2" t="inlineStr">
        <is>
          <t>Books</t>
        </is>
      </c>
      <c r="B6" s="2">
        <f>COUNTIF('All Records'!$B$2:$B$465,A6)</f>
        <v/>
      </c>
      <c r="C6" s="2">
        <f>COUNTIFS('All Records'!$B$2:$B$465,A6,'All Records'!$L$2:$L$465,"Yes")</f>
        <v/>
      </c>
    </row>
    <row r="7">
      <c r="A7" s="2" t="inlineStr">
        <is>
          <t>Research Papers</t>
        </is>
      </c>
      <c r="B7" s="2">
        <f>COUNTIF('All Records'!$B$2:$B$465,A7)</f>
        <v/>
      </c>
      <c r="C7" s="2">
        <f>COUNTIFS('All Records'!$B$2:$B$465,A7,'All Records'!$L$2:$L$465,"Yes")</f>
        <v/>
      </c>
    </row>
    <row r="8">
      <c r="A8" s="2" t="inlineStr">
        <is>
          <t>Newspaper Articles</t>
        </is>
      </c>
      <c r="B8" s="2">
        <f>COUNTIF('All Records'!$B$2:$B$465,A8)</f>
        <v/>
      </c>
      <c r="C8" s="2">
        <f>COUNTIFS('All Records'!$B$2:$B$465,A8,'All Records'!$L$2:$L$465,"Yes")</f>
        <v/>
      </c>
    </row>
    <row r="9">
      <c r="A9" s="2" t="inlineStr">
        <is>
          <t>Magazines/Journals</t>
        </is>
      </c>
      <c r="B9" s="2">
        <f>COUNTIF('All Records'!$B$2:$B$465,A9)</f>
        <v/>
      </c>
      <c r="C9" s="2">
        <f>COUNTIFS('All Records'!$B$2:$B$465,A9,'All Records'!$L$2:$L$465,"Yes")</f>
        <v/>
      </c>
    </row>
    <row r="10">
      <c r="A10" s="2" t="inlineStr">
        <is>
          <t>Web Articles</t>
        </is>
      </c>
      <c r="B10" s="2">
        <f>COUNTIF('All Records'!$B$2:$B$465,A10)</f>
        <v/>
      </c>
      <c r="C10" s="2">
        <f>COUNTIFS('All Records'!$B$2:$B$465,A10,'All Records'!$L$2:$L$465,"Yes")</f>
        <v/>
      </c>
    </row>
    <row r="11">
      <c r="A11" s="4" t="inlineStr">
        <is>
          <t>Total</t>
        </is>
      </c>
      <c r="B11" s="4">
        <f>SUM(B6:B10)</f>
        <v/>
      </c>
      <c r="C11" s="4">
        <f>SUM(C6:C10)</f>
        <v/>
      </c>
    </row>
    <row r="13">
      <c r="A13" s="3" t="inlineStr">
        <is>
          <t>Theme</t>
        </is>
      </c>
      <c r="B13" s="3" t="inlineStr">
        <is>
          <t>Records</t>
        </is>
      </c>
    </row>
    <row r="14">
      <c r="A14" s="2" t="inlineStr">
        <is>
          <t>Inscriptions / கல்வெட்டு</t>
        </is>
      </c>
      <c r="B14" s="2">
        <f>COUNTIF('All Records'!$J$2:$J$465,"*"&amp;A14&amp;"*")</f>
        <v/>
      </c>
    </row>
    <row r="15">
      <c r="A15" s="2" t="inlineStr">
        <is>
          <t>Brahmi / பிராமி</t>
        </is>
      </c>
      <c r="B15" s="2">
        <f>COUNTIF('All Records'!$J$2:$J$465,"*"&amp;A15&amp;"*")</f>
        <v/>
      </c>
    </row>
    <row r="16">
      <c r="A16" s="2" t="inlineStr">
        <is>
          <t>Archaeology / தொல்லியல்</t>
        </is>
      </c>
      <c r="B16" s="2">
        <f>COUNTIF('All Records'!$J$2:$J$465,"*"&amp;A16&amp;"*")</f>
        <v/>
      </c>
    </row>
    <row r="17">
      <c r="A17" s="2" t="inlineStr">
        <is>
          <t>Hero stones / நடுகல்</t>
        </is>
      </c>
      <c r="B17" s="2">
        <f>COUNTIF('All Records'!$J$2:$J$465,"*"&amp;A17&amp;"*")</f>
        <v/>
      </c>
    </row>
    <row r="18">
      <c r="A18" s="2" t="inlineStr">
        <is>
          <t>Rock art / பாறை ஓவியம்</t>
        </is>
      </c>
      <c r="B18" s="2">
        <f>COUNTIF('All Records'!$J$2:$J$465,"*"&amp;A18&amp;"*")</f>
        <v/>
      </c>
    </row>
    <row r="19">
      <c r="A19" s="2" t="inlineStr">
        <is>
          <t>Coins / நாணயம்</t>
        </is>
      </c>
      <c r="B19" s="2">
        <f>COUNTIF('All Records'!$J$2:$J$465,"*"&amp;A19&amp;"*")</f>
        <v/>
      </c>
    </row>
    <row r="20">
      <c r="A20" s="5" t="inlineStr">
        <is>
          <t>A record can carry several themes, so theme counts add up to more than the total.</t>
        </is>
      </c>
    </row>
    <row r="22">
      <c r="A22" s="3" t="inlineStr">
        <is>
          <t>Period</t>
        </is>
      </c>
      <c r="B22" s="3" t="inlineStr">
        <is>
          <t>Books</t>
        </is>
      </c>
      <c r="C22" s="3" t="inlineStr">
        <is>
          <t>Research Papers</t>
        </is>
      </c>
      <c r="D22" s="3" t="inlineStr">
        <is>
          <t>Newspaper Articles</t>
        </is>
      </c>
      <c r="E22" s="3" t="inlineStr">
        <is>
          <t>Magazines/Journals</t>
        </is>
      </c>
      <c r="F22" s="3" t="inlineStr">
        <is>
          <t>Web Articles</t>
        </is>
      </c>
      <c r="G22" s="3" t="inlineStr">
        <is>
          <t>All</t>
        </is>
      </c>
    </row>
    <row r="23">
      <c r="A23" s="2" t="inlineStr">
        <is>
          <t>1996-2000</t>
        </is>
      </c>
      <c r="B23" s="2">
        <f>SUMPRODUCT(('All Records'!$B$2:$B$465="Books")*(IFERROR(VALUE(LEFT('All Records'!$C$2:$C$465,4)),0)&gt;=1996)*(IFERROR(VALUE(LEFT('All Records'!$C$2:$C$465,4)),0)&lt;=2000))</f>
        <v/>
      </c>
      <c r="C23" s="2">
        <f>SUMPRODUCT(('All Records'!$B$2:$B$465="Research Papers")*(IFERROR(VALUE(LEFT('All Records'!$C$2:$C$465,4)),0)&gt;=1996)*(IFERROR(VALUE(LEFT('All Records'!$C$2:$C$465,4)),0)&lt;=2000))</f>
        <v/>
      </c>
      <c r="D23" s="2">
        <f>SUMPRODUCT(('All Records'!$B$2:$B$465="Newspaper Articles")*(IFERROR(VALUE(LEFT('All Records'!$C$2:$C$465,4)),0)&gt;=1996)*(IFERROR(VALUE(LEFT('All Records'!$C$2:$C$465,4)),0)&lt;=2000))</f>
        <v/>
      </c>
      <c r="E23" s="2">
        <f>SUMPRODUCT(('All Records'!$B$2:$B$465="Magazines/Journals")*(IFERROR(VALUE(LEFT('All Records'!$C$2:$C$465,4)),0)&gt;=1996)*(IFERROR(VALUE(LEFT('All Records'!$C$2:$C$465,4)),0)&lt;=2000))</f>
        <v/>
      </c>
      <c r="F23" s="2">
        <f>SUMPRODUCT(('All Records'!$B$2:$B$465="Web Articles")*(IFERROR(VALUE(LEFT('All Records'!$C$2:$C$465,4)),0)&gt;=1996)*(IFERROR(VALUE(LEFT('All Records'!$C$2:$C$465,4)),0)&lt;=2000))</f>
        <v/>
      </c>
      <c r="G23" s="4">
        <f>SUM(B23:F23)</f>
        <v/>
      </c>
    </row>
    <row r="24">
      <c r="A24" s="2" t="inlineStr">
        <is>
          <t>2001-2005</t>
        </is>
      </c>
      <c r="B24" s="2">
        <f>SUMPRODUCT(('All Records'!$B$2:$B$465="Books")*(IFERROR(VALUE(LEFT('All Records'!$C$2:$C$465,4)),0)&gt;=2001)*(IFERROR(VALUE(LEFT('All Records'!$C$2:$C$465,4)),0)&lt;=2005))</f>
        <v/>
      </c>
      <c r="C24" s="2">
        <f>SUMPRODUCT(('All Records'!$B$2:$B$465="Research Papers")*(IFERROR(VALUE(LEFT('All Records'!$C$2:$C$465,4)),0)&gt;=2001)*(IFERROR(VALUE(LEFT('All Records'!$C$2:$C$465,4)),0)&lt;=2005))</f>
        <v/>
      </c>
      <c r="D24" s="2">
        <f>SUMPRODUCT(('All Records'!$B$2:$B$465="Newspaper Articles")*(IFERROR(VALUE(LEFT('All Records'!$C$2:$C$465,4)),0)&gt;=2001)*(IFERROR(VALUE(LEFT('All Records'!$C$2:$C$465,4)),0)&lt;=2005))</f>
        <v/>
      </c>
      <c r="E24" s="2">
        <f>SUMPRODUCT(('All Records'!$B$2:$B$465="Magazines/Journals")*(IFERROR(VALUE(LEFT('All Records'!$C$2:$C$465,4)),0)&gt;=2001)*(IFERROR(VALUE(LEFT('All Records'!$C$2:$C$465,4)),0)&lt;=2005))</f>
        <v/>
      </c>
      <c r="F24" s="2">
        <f>SUMPRODUCT(('All Records'!$B$2:$B$465="Web Articles")*(IFERROR(VALUE(LEFT('All Records'!$C$2:$C$465,4)),0)&gt;=2001)*(IFERROR(VALUE(LEFT('All Records'!$C$2:$C$465,4)),0)&lt;=2005))</f>
        <v/>
      </c>
      <c r="G24" s="4">
        <f>SUM(B24:F24)</f>
        <v/>
      </c>
    </row>
    <row r="25">
      <c r="A25" s="2" t="inlineStr">
        <is>
          <t>2006-2010</t>
        </is>
      </c>
      <c r="B25" s="2">
        <f>SUMPRODUCT(('All Records'!$B$2:$B$465="Books")*(IFERROR(VALUE(LEFT('All Records'!$C$2:$C$465,4)),0)&gt;=2006)*(IFERROR(VALUE(LEFT('All Records'!$C$2:$C$465,4)),0)&lt;=2010))</f>
        <v/>
      </c>
      <c r="C25" s="2">
        <f>SUMPRODUCT(('All Records'!$B$2:$B$465="Research Papers")*(IFERROR(VALUE(LEFT('All Records'!$C$2:$C$465,4)),0)&gt;=2006)*(IFERROR(VALUE(LEFT('All Records'!$C$2:$C$465,4)),0)&lt;=2010))</f>
        <v/>
      </c>
      <c r="D25" s="2">
        <f>SUMPRODUCT(('All Records'!$B$2:$B$465="Newspaper Articles")*(IFERROR(VALUE(LEFT('All Records'!$C$2:$C$465,4)),0)&gt;=2006)*(IFERROR(VALUE(LEFT('All Records'!$C$2:$C$465,4)),0)&lt;=2010))</f>
        <v/>
      </c>
      <c r="E25" s="2">
        <f>SUMPRODUCT(('All Records'!$B$2:$B$465="Magazines/Journals")*(IFERROR(VALUE(LEFT('All Records'!$C$2:$C$465,4)),0)&gt;=2006)*(IFERROR(VALUE(LEFT('All Records'!$C$2:$C$465,4)),0)&lt;=2010))</f>
        <v/>
      </c>
      <c r="F25" s="2">
        <f>SUMPRODUCT(('All Records'!$B$2:$B$465="Web Articles")*(IFERROR(VALUE(LEFT('All Records'!$C$2:$C$465,4)),0)&gt;=2006)*(IFERROR(VALUE(LEFT('All Records'!$C$2:$C$465,4)),0)&lt;=2010))</f>
        <v/>
      </c>
      <c r="G25" s="4">
        <f>SUM(B25:F25)</f>
        <v/>
      </c>
    </row>
    <row r="26">
      <c r="A26" s="2" t="inlineStr">
        <is>
          <t>2011-2015</t>
        </is>
      </c>
      <c r="B26" s="2">
        <f>SUMPRODUCT(('All Records'!$B$2:$B$465="Books")*(IFERROR(VALUE(LEFT('All Records'!$C$2:$C$465,4)),0)&gt;=2011)*(IFERROR(VALUE(LEFT('All Records'!$C$2:$C$465,4)),0)&lt;=2015))</f>
        <v/>
      </c>
      <c r="C26" s="2">
        <f>SUMPRODUCT(('All Records'!$B$2:$B$465="Research Papers")*(IFERROR(VALUE(LEFT('All Records'!$C$2:$C$465,4)),0)&gt;=2011)*(IFERROR(VALUE(LEFT('All Records'!$C$2:$C$465,4)),0)&lt;=2015))</f>
        <v/>
      </c>
      <c r="D26" s="2">
        <f>SUMPRODUCT(('All Records'!$B$2:$B$465="Newspaper Articles")*(IFERROR(VALUE(LEFT('All Records'!$C$2:$C$465,4)),0)&gt;=2011)*(IFERROR(VALUE(LEFT('All Records'!$C$2:$C$465,4)),0)&lt;=2015))</f>
        <v/>
      </c>
      <c r="E26" s="2">
        <f>SUMPRODUCT(('All Records'!$B$2:$B$465="Magazines/Journals")*(IFERROR(VALUE(LEFT('All Records'!$C$2:$C$465,4)),0)&gt;=2011)*(IFERROR(VALUE(LEFT('All Records'!$C$2:$C$465,4)),0)&lt;=2015))</f>
        <v/>
      </c>
      <c r="F26" s="2">
        <f>SUMPRODUCT(('All Records'!$B$2:$B$465="Web Articles")*(IFERROR(VALUE(LEFT('All Records'!$C$2:$C$465,4)),0)&gt;=2011)*(IFERROR(VALUE(LEFT('All Records'!$C$2:$C$465,4)),0)&lt;=2015))</f>
        <v/>
      </c>
      <c r="G26" s="4">
        <f>SUM(B26:F26)</f>
        <v/>
      </c>
    </row>
    <row r="27">
      <c r="A27" s="2" t="inlineStr">
        <is>
          <t>2016-2020</t>
        </is>
      </c>
      <c r="B27" s="2">
        <f>SUMPRODUCT(('All Records'!$B$2:$B$465="Books")*(IFERROR(VALUE(LEFT('All Records'!$C$2:$C$465,4)),0)&gt;=2016)*(IFERROR(VALUE(LEFT('All Records'!$C$2:$C$465,4)),0)&lt;=2020))</f>
        <v/>
      </c>
      <c r="C27" s="2">
        <f>SUMPRODUCT(('All Records'!$B$2:$B$465="Research Papers")*(IFERROR(VALUE(LEFT('All Records'!$C$2:$C$465,4)),0)&gt;=2016)*(IFERROR(VALUE(LEFT('All Records'!$C$2:$C$465,4)),0)&lt;=2020))</f>
        <v/>
      </c>
      <c r="D27" s="2">
        <f>SUMPRODUCT(('All Records'!$B$2:$B$465="Newspaper Articles")*(IFERROR(VALUE(LEFT('All Records'!$C$2:$C$465,4)),0)&gt;=2016)*(IFERROR(VALUE(LEFT('All Records'!$C$2:$C$465,4)),0)&lt;=2020))</f>
        <v/>
      </c>
      <c r="E27" s="2">
        <f>SUMPRODUCT(('All Records'!$B$2:$B$465="Magazines/Journals")*(IFERROR(VALUE(LEFT('All Records'!$C$2:$C$465,4)),0)&gt;=2016)*(IFERROR(VALUE(LEFT('All Records'!$C$2:$C$465,4)),0)&lt;=2020))</f>
        <v/>
      </c>
      <c r="F27" s="2">
        <f>SUMPRODUCT(('All Records'!$B$2:$B$465="Web Articles")*(IFERROR(VALUE(LEFT('All Records'!$C$2:$C$465,4)),0)&gt;=2016)*(IFERROR(VALUE(LEFT('All Records'!$C$2:$C$465,4)),0)&lt;=2020))</f>
        <v/>
      </c>
      <c r="G27" s="4">
        <f>SUM(B27:F27)</f>
        <v/>
      </c>
    </row>
    <row r="28">
      <c r="A28" s="2" t="inlineStr">
        <is>
          <t>2021-2026</t>
        </is>
      </c>
      <c r="B28" s="2">
        <f>SUMPRODUCT(('All Records'!$B$2:$B$465="Books")*(IFERROR(VALUE(LEFT('All Records'!$C$2:$C$465,4)),0)&gt;=2021)*(IFERROR(VALUE(LEFT('All Records'!$C$2:$C$465,4)),0)&lt;=2026))</f>
        <v/>
      </c>
      <c r="C28" s="2">
        <f>SUMPRODUCT(('All Records'!$B$2:$B$465="Research Papers")*(IFERROR(VALUE(LEFT('All Records'!$C$2:$C$465,4)),0)&gt;=2021)*(IFERROR(VALUE(LEFT('All Records'!$C$2:$C$465,4)),0)&lt;=2026))</f>
        <v/>
      </c>
      <c r="D28" s="2">
        <f>SUMPRODUCT(('All Records'!$B$2:$B$465="Newspaper Articles")*(IFERROR(VALUE(LEFT('All Records'!$C$2:$C$465,4)),0)&gt;=2021)*(IFERROR(VALUE(LEFT('All Records'!$C$2:$C$465,4)),0)&lt;=2026))</f>
        <v/>
      </c>
      <c r="E28" s="2">
        <f>SUMPRODUCT(('All Records'!$B$2:$B$465="Magazines/Journals")*(IFERROR(VALUE(LEFT('All Records'!$C$2:$C$465,4)),0)&gt;=2021)*(IFERROR(VALUE(LEFT('All Records'!$C$2:$C$465,4)),0)&lt;=2026))</f>
        <v/>
      </c>
      <c r="F28" s="2">
        <f>SUMPRODUCT(('All Records'!$B$2:$B$465="Web Articles")*(IFERROR(VALUE(LEFT('All Records'!$C$2:$C$465,4)),0)&gt;=2021)*(IFERROR(VALUE(LEFT('All Records'!$C$2:$C$465,4)),0)&lt;=2026))</f>
        <v/>
      </c>
      <c r="G28" s="4">
        <f>SUM(B28:F28)</f>
        <v/>
      </c>
    </row>
    <row r="29">
      <c r="A29" s="5" t="inlineStr">
        <is>
          <t>Records with no year yet are counted in the category totals but not in this period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1" customWidth="1" min="3" max="3"/>
    <col width="60" customWidth="1" min="4" max="4"/>
    <col width="28" customWidth="1" min="5" max="5"/>
    <col width="34" customWidth="1" min="6" max="6"/>
    <col width="18" customWidth="1" min="7" max="7"/>
    <col width="10" customWidth="1" min="8" max="8"/>
    <col width="30" customWidth="1" min="9" max="9"/>
    <col width="30" customWidth="1" min="10" max="10"/>
    <col width="14" customWidth="1" min="11" max="11"/>
    <col width="30" customWidth="1" min="12" max="12"/>
    <col width="45" customWidth="1" min="13" max="13"/>
  </cols>
  <sheetData>
    <row r="1" ht="30" customHeight="1">
      <c r="A1" s="6" t="inlineStr">
        <is>
          <t>ID</t>
        </is>
      </c>
      <c r="B1" s="6" t="inlineStr">
        <is>
          <t>Year</t>
        </is>
      </c>
      <c r="C1" s="6" t="inlineStr">
        <is>
          <t>Date</t>
        </is>
      </c>
      <c r="D1" s="6" t="inlineStr">
        <is>
          <t>Title</t>
        </is>
      </c>
      <c r="E1" s="6" t="inlineStr">
        <is>
          <t>Author / Editor</t>
        </is>
      </c>
      <c r="F1" s="6" t="inlineStr">
        <is>
          <t>Publisher / Source</t>
        </is>
      </c>
      <c r="G1" s="6" t="inlineStr">
        <is>
          <t>Type</t>
        </is>
      </c>
      <c r="H1" s="6" t="inlineStr">
        <is>
          <t>Language</t>
        </is>
      </c>
      <c r="I1" s="6" t="inlineStr">
        <is>
          <t>Themes</t>
        </is>
      </c>
      <c r="J1" s="6" t="inlineStr">
        <is>
          <t>Keywords</t>
        </is>
      </c>
      <c r="K1" s="6" t="inlineStr">
        <is>
          <t>Within 1996-2026</t>
        </is>
      </c>
      <c r="L1" s="6" t="inlineStr">
        <is>
          <t>Notes</t>
        </is>
      </c>
      <c r="M1" s="6" t="inlineStr">
        <is>
          <t>URL</t>
        </is>
      </c>
    </row>
    <row r="2">
      <c r="A2" s="7" t="inlineStr">
        <is>
          <t>BK-0001</t>
        </is>
      </c>
      <c r="B2" s="8" t="inlineStr">
        <is>
          <t>2026</t>
        </is>
      </c>
      <c r="C2" s="7" t="inlineStr">
        <is>
          <t>2026-02-15</t>
        </is>
      </c>
      <c r="D2" s="9" t="inlineStr">
        <is>
          <t>Religion, Gender, and Politics in Medieval Sri Lanka: The Reconstruction of Buddhist Kingship, ca. 1070–1215</t>
        </is>
      </c>
      <c r="E2" s="9" t="inlineStr">
        <is>
          <t>Bruno M. Shirley</t>
        </is>
      </c>
      <c r="F2" s="9" t="n"/>
      <c r="G2" s="7" t="inlineStr">
        <is>
          <t>Book</t>
        </is>
      </c>
      <c r="H2" s="7" t="inlineStr">
        <is>
          <t>English</t>
        </is>
      </c>
      <c r="I2" s="9" t="n"/>
      <c r="J2" s="9" t="n"/>
      <c r="K2" s="7" t="inlineStr">
        <is>
          <t>Yes</t>
        </is>
      </c>
      <c r="L2" s="9" t="inlineStr">
        <is>
          <t>OpenAlex query: Tamil Brahmi Sri Lanka. Auto-collected 2026-10-14 (openalex); review.</t>
        </is>
      </c>
      <c r="M2" s="10" t="inlineStr">
        <is>
          <t>https://doi.org/10.17302/kshl2567</t>
        </is>
      </c>
    </row>
    <row r="3">
      <c r="A3" s="11" t="inlineStr">
        <is>
          <t>BK-0002</t>
        </is>
      </c>
      <c r="B3" s="12" t="inlineStr">
        <is>
          <t>2026</t>
        </is>
      </c>
      <c r="C3" s="11" t="inlineStr">
        <is>
          <t>2026-04-11</t>
        </is>
      </c>
      <c r="D3" s="13" t="inlineStr">
        <is>
          <t>Glimpses of an Ancient Civilisation: Society and Culture in Jaffna (300 BC to AD 500)</t>
        </is>
      </c>
      <c r="E3" s="13" t="inlineStr">
        <is>
          <t>S. Pathmanathan</t>
        </is>
      </c>
      <c r="F3" s="13" t="n"/>
      <c r="G3" s="11" t="inlineStr">
        <is>
          <t>Book</t>
        </is>
      </c>
      <c r="H3" s="11" t="inlineStr">
        <is>
          <t>English</t>
        </is>
      </c>
      <c r="I3" s="13" t="inlineStr">
        <is>
          <t>Brahmi / பிராமி; Archaeology / தொல்லியல்; Coins / நாணயம்</t>
        </is>
      </c>
      <c r="J3" s="13" t="inlineStr">
        <is>
          <t>Tamil-Brahmi; Vallipuram gold plate; Roman coins; archaeology</t>
        </is>
      </c>
      <c r="K3" s="11" t="inlineStr">
        <is>
          <t>Yes</t>
        </is>
      </c>
      <c r="L3" s="13" t="inlineStr">
        <is>
          <t>Launched 11 Apr 2026</t>
        </is>
      </c>
      <c r="M3" s="14" t="inlineStr">
        <is>
          <t>https://www.tamilguardian.com/content/prof-pathmanathans-new-book-sheds-light-early-jaffna-civilisation</t>
        </is>
      </c>
    </row>
    <row r="4">
      <c r="A4" s="7" t="inlineStr">
        <is>
          <t>BK-0003</t>
        </is>
      </c>
      <c r="B4" s="8" t="inlineStr">
        <is>
          <t>2025</t>
        </is>
      </c>
      <c r="C4" s="7" t="n"/>
      <c r="D4" s="9" t="inlineStr">
        <is>
          <t>இலங்கையின் பிராமி மற்றும் சிங்களக் கல்வெட்டுகளில் தமிழர் (Tamils in the Brahmi and Sinhala Inscriptions of Sri Lanka)</t>
        </is>
      </c>
      <c r="E4" s="9" t="inlineStr">
        <is>
          <t>N. K. S. Thiruchelvam</t>
        </is>
      </c>
      <c r="F4" s="9" t="inlineStr">
        <is>
          <t>Ezhuna</t>
        </is>
      </c>
      <c r="G4" s="7" t="inlineStr">
        <is>
          <t>Book</t>
        </is>
      </c>
      <c r="H4" s="7" t="inlineStr">
        <is>
          <t>Tamil</t>
        </is>
      </c>
      <c r="I4" s="9" t="inlineStr">
        <is>
          <t>Inscriptions / கல்வெட்டு; Brahmi / பிராமி</t>
        </is>
      </c>
      <c r="J4" s="9" t="inlineStr">
        <is>
          <t>Brahmi; கல்வெட்டு; Tamils</t>
        </is>
      </c>
      <c r="K4" s="7" t="inlineStr">
        <is>
          <t>Yes</t>
        </is>
      </c>
      <c r="L4" s="9" t="inlineStr">
        <is>
          <t>Book launch 26 Jul 2025, Trincomalee</t>
        </is>
      </c>
      <c r="M4" s="10" t="inlineStr">
        <is>
          <t>https://www.ezhunaonline.com/books/tamils-in-the-inscriptions-of-brahmi-and-sinhala/</t>
        </is>
      </c>
    </row>
    <row r="5">
      <c r="A5" s="11" t="inlineStr">
        <is>
          <t>BK-0004</t>
        </is>
      </c>
      <c r="B5" s="12" t="inlineStr">
        <is>
          <t>2022</t>
        </is>
      </c>
      <c r="C5" s="11" t="n"/>
      <c r="D5" s="13" t="inlineStr">
        <is>
          <t>Ancient Sri Lanka: Glimpses of the Past</t>
        </is>
      </c>
      <c r="E5" s="13" t="inlineStr">
        <is>
          <t>K. Indrapala</t>
        </is>
      </c>
      <c r="F5" s="13" t="inlineStr">
        <is>
          <t>Ohm Books Publishing</t>
        </is>
      </c>
      <c r="G5" s="11" t="inlineStr">
        <is>
          <t>Book</t>
        </is>
      </c>
      <c r="H5" s="11" t="inlineStr">
        <is>
          <t>English</t>
        </is>
      </c>
      <c r="I5" s="13" t="inlineStr">
        <is>
          <t>Archaeology / தொல்லியல்</t>
        </is>
      </c>
      <c r="J5" s="13" t="inlineStr">
        <is>
          <t>archaeology; history</t>
        </is>
      </c>
      <c r="K5" s="11" t="inlineStr">
        <is>
          <t>Yes</t>
        </is>
      </c>
      <c r="L5" s="13" t="n"/>
      <c r="M5" s="14" t="inlineStr">
        <is>
          <t>https://en.wikipedia.org/wiki/K._Indrapala</t>
        </is>
      </c>
    </row>
    <row r="6">
      <c r="A6" s="7" t="inlineStr">
        <is>
          <t>BK-0005</t>
        </is>
      </c>
      <c r="B6" s="8" t="inlineStr">
        <is>
          <t>2017</t>
        </is>
      </c>
      <c r="C6" s="7" t="n"/>
      <c r="D6" s="9" t="inlineStr">
        <is>
          <t>இலங்கைத் தமிழர்: ஒரு சுருக்க வரலாறு (Sri Lankan Tamils: A Brief History)</t>
        </is>
      </c>
      <c r="E6" s="9" t="inlineStr">
        <is>
          <t>P. Pushparatnam</t>
        </is>
      </c>
      <c r="F6" s="9" t="inlineStr">
        <is>
          <t>Tamil Education Service, Switzerland</t>
        </is>
      </c>
      <c r="G6" s="7" t="inlineStr">
        <is>
          <t>Book</t>
        </is>
      </c>
      <c r="H6" s="7" t="inlineStr">
        <is>
          <t>Tamil</t>
        </is>
      </c>
      <c r="I6" s="9" t="inlineStr">
        <is>
          <t>Archaeology / தொல்லியல்</t>
        </is>
      </c>
      <c r="J6" s="9" t="inlineStr">
        <is>
          <t>history; archaeology</t>
        </is>
      </c>
      <c r="K6" s="7" t="inlineStr">
        <is>
          <t>Yes</t>
        </is>
      </c>
      <c r="L6" s="9" t="inlineStr">
        <is>
          <t>Noolaham No. 75615; 248 pp.</t>
        </is>
      </c>
      <c r="M6" s="10" t="inlineStr">
        <is>
          <t>https://noolaham.org/wiki/index.php/இலங்கைத்_தமிழர்:_ஒரு_சுருக்க_வரலாறு</t>
        </is>
      </c>
    </row>
    <row r="7">
      <c r="A7" s="11" t="inlineStr">
        <is>
          <t>BK-0006</t>
        </is>
      </c>
      <c r="B7" s="12" t="inlineStr">
        <is>
          <t>2017</t>
        </is>
      </c>
      <c r="C7" s="11" t="n"/>
      <c r="D7" s="13" t="inlineStr">
        <is>
          <t>ஈழத் தமிழர் மரபுரிமை அடையாளங்கள் (Heritage Symbols of Eelam Tamils)</t>
        </is>
      </c>
      <c r="E7" s="13" t="inlineStr">
        <is>
          <t>P. Pushparatnam</t>
        </is>
      </c>
      <c r="F7" s="13" t="inlineStr">
        <is>
          <t>Tamil Education Service, Switzerland</t>
        </is>
      </c>
      <c r="G7" s="11" t="inlineStr">
        <is>
          <t>Book</t>
        </is>
      </c>
      <c r="H7" s="11" t="inlineStr">
        <is>
          <t>Tamil</t>
        </is>
      </c>
      <c r="I7" s="13" t="inlineStr">
        <is>
          <t>Archaeology / தொல்லியல்</t>
        </is>
      </c>
      <c r="J7" s="13" t="inlineStr">
        <is>
          <t>heritage; தொல்லியல்</t>
        </is>
      </c>
      <c r="K7" s="11" t="inlineStr">
        <is>
          <t>Yes</t>
        </is>
      </c>
      <c r="L7" s="13" t="inlineStr">
        <is>
          <t>Noolaham No. 75614; 240 pp.</t>
        </is>
      </c>
      <c r="M7" s="14" t="inlineStr">
        <is>
          <t>https://noolaham.org/wiki/index.php/ஈழத்_தமிழர்_மரபுரிமை_அடையாளங்கள்</t>
        </is>
      </c>
    </row>
    <row r="8">
      <c r="A8" s="7" t="inlineStr">
        <is>
          <t>BK-0007</t>
        </is>
      </c>
      <c r="B8" s="8" t="inlineStr">
        <is>
          <t>2017</t>
        </is>
      </c>
      <c r="C8" s="7" t="inlineStr">
        <is>
          <t>2017-06-06</t>
        </is>
      </c>
      <c r="D8" s="9" t="inlineStr">
        <is>
          <t>Sri Lanka at the Crossroads of History</t>
        </is>
      </c>
      <c r="E8" s="9" t="inlineStr">
        <is>
          <t>Coningham,  R.A.E., Manuel,  M.J., Davis,  C.E., Gunawardhana,  P.</t>
        </is>
      </c>
      <c r="F8" s="9" t="inlineStr">
        <is>
          <t>Noolaham digital library</t>
        </is>
      </c>
      <c r="G8" s="7" t="inlineStr">
        <is>
          <t>Book</t>
        </is>
      </c>
      <c r="H8" s="7" t="inlineStr">
        <is>
          <t>English</t>
        </is>
      </c>
      <c r="I8" s="9" t="inlineStr">
        <is>
          <t>Archaeology / தொல்லியல்</t>
        </is>
      </c>
      <c r="J8" s="9" t="inlineStr">
        <is>
          <t>history; archaeology</t>
        </is>
      </c>
      <c r="K8" s="7" t="inlineStr">
        <is>
          <t>Yes</t>
        </is>
      </c>
      <c r="L8" s="9" t="inlineStr">
        <is>
          <t>Details to verify</t>
        </is>
      </c>
      <c r="M8" s="10" t="inlineStr">
        <is>
          <t>https://noolaham.net/project/810/80954/80954.pdf</t>
        </is>
      </c>
    </row>
    <row r="9">
      <c r="A9" s="11" t="inlineStr">
        <is>
          <t>BK-0008</t>
        </is>
      </c>
      <c r="B9" s="12" t="inlineStr">
        <is>
          <t>2014</t>
        </is>
      </c>
      <c r="C9" s="11" t="n"/>
      <c r="D9" s="13" t="inlineStr">
        <is>
          <t>Collection of Historical Articles of Prof. V. Sivasamy</t>
        </is>
      </c>
      <c r="E9" s="13" t="inlineStr">
        <is>
          <t>K. Arunthavarajah (ed.)</t>
        </is>
      </c>
      <c r="F9" s="13" t="inlineStr">
        <is>
          <t>Anchu Publication, Nallur</t>
        </is>
      </c>
      <c r="G9" s="11" t="inlineStr">
        <is>
          <t>Edited volume</t>
        </is>
      </c>
      <c r="H9" s="11" t="inlineStr">
        <is>
          <t>Tamil</t>
        </is>
      </c>
      <c r="I9" s="13" t="inlineStr">
        <is>
          <t>Inscriptions / கல்வெட்டு</t>
        </is>
      </c>
      <c r="J9" s="13" t="inlineStr">
        <is>
          <t>history; epigraphy</t>
        </is>
      </c>
      <c r="K9" s="11" t="inlineStr">
        <is>
          <t>Yes</t>
        </is>
      </c>
      <c r="L9" s="13" t="n"/>
      <c r="M9" s="14" t="inlineStr">
        <is>
          <t>https://www.his.jfn.ac.lk/index.php/profkarunthavarajah/</t>
        </is>
      </c>
    </row>
    <row r="10">
      <c r="A10" s="7" t="inlineStr">
        <is>
          <t>BK-0009</t>
        </is>
      </c>
      <c r="B10" s="8" t="inlineStr">
        <is>
          <t>2014</t>
        </is>
      </c>
      <c r="C10" s="7" t="inlineStr">
        <is>
          <t>2014-02-17</t>
        </is>
      </c>
      <c r="D10" s="9" t="inlineStr">
        <is>
          <t>இலங்கையில் தமிழர்: ஓர் இனக்குழு ஆக்கம் பெற்ற வரலாறு</t>
        </is>
      </c>
      <c r="E10" s="9" t="inlineStr">
        <is>
          <t>K. Indrapala (Tamil edition)</t>
        </is>
      </c>
      <c r="F10" s="9" t="inlineStr">
        <is>
          <t>Wikipedia (ta)</t>
        </is>
      </c>
      <c r="G10" s="7" t="inlineStr">
        <is>
          <t>Book</t>
        </is>
      </c>
      <c r="H10" s="7" t="inlineStr">
        <is>
          <t>Tamil</t>
        </is>
      </c>
      <c r="I10" s="9" t="inlineStr">
        <is>
          <t>Inscriptions / கல்வெட்டு; Brahmi / பிராமி</t>
        </is>
      </c>
      <c r="J10" s="9" t="inlineStr">
        <is>
          <t>Brahmi; inscriptions; ethnic history</t>
        </is>
      </c>
      <c r="K10" s="7" t="inlineStr">
        <is>
          <t>Yes</t>
        </is>
      </c>
      <c r="L10" s="9" t="inlineStr">
        <is>
          <t>Tamil version of Evolution of an Ethnic Identity; details to verify (Noolaham rate-limited)</t>
        </is>
      </c>
      <c r="M10" s="10" t="inlineStr">
        <is>
          <t>https://noolaham.org/wiki/index.php/இலங்கையில்_தமிழர்:_ஓர்_இனக்குழு_ஆக்கம்_பெற்ற_வரலாறு</t>
        </is>
      </c>
    </row>
    <row r="11">
      <c r="A11" s="11" t="inlineStr">
        <is>
          <t>BK-0010</t>
        </is>
      </c>
      <c r="B11" s="12" t="inlineStr">
        <is>
          <t>2013</t>
        </is>
      </c>
      <c r="C11" s="11" t="n"/>
      <c r="D11" s="13" t="inlineStr">
        <is>
          <t>நல்லூர் இராஜதானியும் யாழ்ப்பாணக் கோட்டையும் - மீள்வாசிப்பு</t>
        </is>
      </c>
      <c r="E11" s="13" t="inlineStr">
        <is>
          <t>P. Pushparatnam</t>
        </is>
      </c>
      <c r="F11" s="13" t="inlineStr">
        <is>
          <t>Colombo Tamil Sangam</t>
        </is>
      </c>
      <c r="G11" s="11" t="inlineStr">
        <is>
          <t>Book</t>
        </is>
      </c>
      <c r="H11" s="11" t="inlineStr">
        <is>
          <t>Tamil</t>
        </is>
      </c>
      <c r="I11" s="13" t="inlineStr">
        <is>
          <t>Archaeology / தொல்லியல்</t>
        </is>
      </c>
      <c r="J11" s="13" t="inlineStr">
        <is>
          <t>தொல்லியல்; Nallur; Jaffna Fort</t>
        </is>
      </c>
      <c r="K11" s="11" t="inlineStr">
        <is>
          <t>Yes</t>
        </is>
      </c>
      <c r="L11" s="13" t="inlineStr">
        <is>
          <t>Noolaham No. 97925; 48 pp.</t>
        </is>
      </c>
      <c r="M11" s="14" t="inlineStr">
        <is>
          <t>https://noolaham.org/wiki/index.php/நல்லூர்_இராஜதானியும்_யாழ்ப்பாணக்_கோட்டையும்_-_மீள்வாசிப்பு</t>
        </is>
      </c>
    </row>
    <row r="12">
      <c r="A12" s="7" t="inlineStr">
        <is>
          <t>BK-0011</t>
        </is>
      </c>
      <c r="B12" s="8" t="inlineStr">
        <is>
          <t>2012</t>
        </is>
      </c>
      <c r="C12" s="7" t="n"/>
      <c r="D12" s="9" t="inlineStr">
        <is>
          <t>Life Style of Jaffna</t>
        </is>
      </c>
      <c r="E12" s="9" t="inlineStr">
        <is>
          <t>K. Arunthavarajah (managing ed.)</t>
        </is>
      </c>
      <c r="F12" s="9" t="inlineStr">
        <is>
          <t>Department of History, University of Jaffna, with Veerakesari</t>
        </is>
      </c>
      <c r="G12" s="7" t="inlineStr">
        <is>
          <t>Edited volume</t>
        </is>
      </c>
      <c r="H12" s="7" t="inlineStr">
        <is>
          <t>English</t>
        </is>
      </c>
      <c r="I12" s="9" t="inlineStr">
        <is>
          <t>Archaeology / தொல்லியல்</t>
        </is>
      </c>
      <c r="J12" s="9" t="inlineStr">
        <is>
          <t>material culture; heritage</t>
        </is>
      </c>
      <c r="K12" s="7" t="inlineStr">
        <is>
          <t>Yes</t>
        </is>
      </c>
      <c r="L12" s="9" t="n"/>
      <c r="M12" s="10" t="inlineStr">
        <is>
          <t>https://www.his.jfn.ac.lk/index.php/profkarunthavarajah/</t>
        </is>
      </c>
    </row>
    <row r="13">
      <c r="A13" s="11" t="inlineStr">
        <is>
          <t>BK-0012</t>
        </is>
      </c>
      <c r="B13" s="12" t="inlineStr">
        <is>
          <t>2010</t>
        </is>
      </c>
      <c r="C13" s="11" t="n"/>
      <c r="D13" s="13" t="inlineStr">
        <is>
          <t>Spolia Zeylanica Vol. 47: Tamil Inscriptions in the Colombo National Museum</t>
        </is>
      </c>
      <c r="E13" s="13" t="inlineStr">
        <is>
          <t>Department of National Museums</t>
        </is>
      </c>
      <c r="F13" s="13" t="inlineStr">
        <is>
          <t>Department of National Museums, Colombo</t>
        </is>
      </c>
      <c r="G13" s="11" t="inlineStr">
        <is>
          <t>Book</t>
        </is>
      </c>
      <c r="H13" s="11" t="inlineStr">
        <is>
          <t>English</t>
        </is>
      </c>
      <c r="I13" s="13" t="inlineStr">
        <is>
          <t>Inscriptions / கல்வெட்டு</t>
        </is>
      </c>
      <c r="J13" s="13" t="inlineStr">
        <is>
          <t>Tamil inscriptions; museum catalogue</t>
        </is>
      </c>
      <c r="K13" s="11" t="inlineStr">
        <is>
          <t>Yes</t>
        </is>
      </c>
      <c r="L13" s="13" t="inlineStr">
        <is>
          <t>ISBN 9789555780278</t>
        </is>
      </c>
      <c r="M13" s="14" t="inlineStr">
        <is>
          <t>https://opac.busl.ac.lk/bib/14671</t>
        </is>
      </c>
    </row>
    <row r="14">
      <c r="A14" s="7" t="inlineStr">
        <is>
          <t>BK-0013</t>
        </is>
      </c>
      <c r="B14" s="8" t="inlineStr">
        <is>
          <t>2008</t>
        </is>
      </c>
      <c r="C14" s="7" t="n"/>
      <c r="D14" s="9" t="inlineStr">
        <is>
          <t>Rock and Wall Paintings of Sri Lanka (facsimile edition)</t>
        </is>
      </c>
      <c r="E14" s="9" t="inlineStr">
        <is>
          <t>Senaka Bandaranayake</t>
        </is>
      </c>
      <c r="F14" s="9" t="inlineStr">
        <is>
          <t>Stamford Lake</t>
        </is>
      </c>
      <c r="G14" s="7" t="inlineStr">
        <is>
          <t>Book</t>
        </is>
      </c>
      <c r="H14" s="7" t="inlineStr">
        <is>
          <t>English</t>
        </is>
      </c>
      <c r="I14" s="9" t="inlineStr">
        <is>
          <t>Rock art / பாறை ஓவியம்</t>
        </is>
      </c>
      <c r="J14" s="9" t="inlineStr">
        <is>
          <t>பாறை ஓவியம்; rock art; wall paintings</t>
        </is>
      </c>
      <c r="K14" s="7" t="inlineStr">
        <is>
          <t>Yes</t>
        </is>
      </c>
      <c r="L14" s="9" t="inlineStr">
        <is>
          <t>Publisher to verify</t>
        </is>
      </c>
      <c r="M14" s="10" t="inlineStr">
        <is>
          <t>https://www.sundaytimes.lk/080504/Plus/plus000025.html</t>
        </is>
      </c>
    </row>
    <row r="15">
      <c r="A15" s="11" t="inlineStr">
        <is>
          <t>BK-0014</t>
        </is>
      </c>
      <c r="B15" s="12" t="inlineStr">
        <is>
          <t>2006</t>
        </is>
      </c>
      <c r="C15" s="11" t="n"/>
      <c r="D15" s="13" t="inlineStr">
        <is>
          <t>Ilankait Tamilc Cacanankal c. AD 800-1300 (Tamil Inscriptions of Sri Lanka)</t>
        </is>
      </c>
      <c r="E15" s="13" t="inlineStr">
        <is>
          <t>S. Pathmanathan</t>
        </is>
      </c>
      <c r="F15" s="13" t="inlineStr">
        <is>
          <t>Department of Hindu Religious and Cultural Affairs</t>
        </is>
      </c>
      <c r="G15" s="11" t="inlineStr">
        <is>
          <t>Book</t>
        </is>
      </c>
      <c r="H15" s="11" t="inlineStr">
        <is>
          <t>Tamil</t>
        </is>
      </c>
      <c r="I15" s="13" t="inlineStr">
        <is>
          <t>Inscriptions / கல்வெட்டு</t>
        </is>
      </c>
      <c r="J15" s="13" t="inlineStr">
        <is>
          <t>கல்வெட்டு; inscriptions corpus</t>
        </is>
      </c>
      <c r="K15" s="11" t="inlineStr">
        <is>
          <t>Yes</t>
        </is>
      </c>
      <c r="L15" s="13" t="inlineStr">
        <is>
          <t>Same as entry from Wikipedia; fuller title</t>
        </is>
      </c>
      <c r="M15" s="14" t="inlineStr">
        <is>
          <t>https://jfn.ac.lk/prof-s-pathmanathan/</t>
        </is>
      </c>
    </row>
    <row r="16">
      <c r="A16" s="7" t="inlineStr">
        <is>
          <t>BK-0015</t>
        </is>
      </c>
      <c r="B16" s="8" t="inlineStr">
        <is>
          <t>2006</t>
        </is>
      </c>
      <c r="C16" s="7" t="n"/>
      <c r="D16" s="9" t="inlineStr">
        <is>
          <t>இலங்கைத் தமிழ்ச் சாசனங்கள் (Tamil Inscriptions in Sri Lanka)</t>
        </is>
      </c>
      <c r="E16" s="9" t="inlineStr">
        <is>
          <t>S. Pathmanathan</t>
        </is>
      </c>
      <c r="F16" s="9" t="inlineStr">
        <is>
          <t>Department of Hindu Religious &amp; Cultural Affairs, Colombo</t>
        </is>
      </c>
      <c r="G16" s="7" t="inlineStr">
        <is>
          <t>Book</t>
        </is>
      </c>
      <c r="H16" s="7" t="inlineStr">
        <is>
          <t>Tamil</t>
        </is>
      </c>
      <c r="I16" s="9" t="inlineStr">
        <is>
          <t>Inscriptions / கல்வெட்டு</t>
        </is>
      </c>
      <c r="J16" s="9" t="inlineStr">
        <is>
          <t>inscriptions; கல்வெட்டு</t>
        </is>
      </c>
      <c r="K16" s="7" t="inlineStr">
        <is>
          <t>Yes</t>
        </is>
      </c>
      <c r="L16" s="9" t="n"/>
      <c r="M16" s="10" t="inlineStr">
        <is>
          <t>https://en.wikipedia.org/wiki/S._Pathmanathan</t>
        </is>
      </c>
    </row>
    <row r="17">
      <c r="A17" s="11" t="inlineStr">
        <is>
          <t>BK-0016</t>
        </is>
      </c>
      <c r="B17" s="12" t="inlineStr">
        <is>
          <t>2005</t>
        </is>
      </c>
      <c r="C17" s="11" t="n"/>
      <c r="D17" s="13" t="inlineStr">
        <is>
          <t>Hindu Encyclopaedia (Tamil), Parts I-IX (1992-2008)</t>
        </is>
      </c>
      <c r="E17" s="13" t="inlineStr">
        <is>
          <t>S. Pathmanathan (ed.-in-chief)</t>
        </is>
      </c>
      <c r="F17" s="13" t="inlineStr">
        <is>
          <t>Department of Hindu Religious and Cultural Affairs</t>
        </is>
      </c>
      <c r="G17" s="11" t="inlineStr">
        <is>
          <t>Encyclopaedia</t>
        </is>
      </c>
      <c r="H17" s="11" t="inlineStr">
        <is>
          <t>Tamil</t>
        </is>
      </c>
      <c r="I17" s="13" t="n"/>
      <c r="J17" s="13" t="inlineStr">
        <is>
          <t>encyclopaedia; temples</t>
        </is>
      </c>
      <c r="K17" s="11" t="inlineStr">
        <is>
          <t>Yes</t>
        </is>
      </c>
      <c r="L17" s="13" t="inlineStr">
        <is>
          <t>Parts: III 1996, IV 1998, V 2001, VI 2003, VII 2005, VIII 2006, IX 2008</t>
        </is>
      </c>
      <c r="M17" s="14" t="inlineStr">
        <is>
          <t>https://jfn.ac.lk/prof-s-pathmanathan/</t>
        </is>
      </c>
    </row>
    <row r="18">
      <c r="A18" s="7" t="inlineStr">
        <is>
          <t>BK-0017</t>
        </is>
      </c>
      <c r="B18" s="8" t="inlineStr">
        <is>
          <t>2005</t>
        </is>
      </c>
      <c r="C18" s="7" t="n"/>
      <c r="D18" s="9" t="inlineStr">
        <is>
          <t>The Evolution of an Ethnic Identity: The Tamils of Sri Lanka c. 300 BCE to c. 1200 CE</t>
        </is>
      </c>
      <c r="E18" s="9" t="inlineStr">
        <is>
          <t>K. Indrapala</t>
        </is>
      </c>
      <c r="F18" s="9" t="inlineStr">
        <is>
          <t>MV Publications (Sydney); reissued Vijitha Yapa 2007, Ohm Books 2015</t>
        </is>
      </c>
      <c r="G18" s="7" t="inlineStr">
        <is>
          <t>Book</t>
        </is>
      </c>
      <c r="H18" s="7" t="inlineStr">
        <is>
          <t>English</t>
        </is>
      </c>
      <c r="I18" s="9" t="inlineStr">
        <is>
          <t>Inscriptions / கல்வெட்டு; Brahmi / பிராமி</t>
        </is>
      </c>
      <c r="J18" s="9" t="inlineStr">
        <is>
          <t>Tamil Brahmi; inscriptions; ethnic history</t>
        </is>
      </c>
      <c r="K18" s="7" t="inlineStr">
        <is>
          <t>Yes</t>
        </is>
      </c>
      <c r="L18" s="9" t="n"/>
      <c r="M18" s="10" t="inlineStr">
        <is>
          <t>https://en.wikipedia.org/wiki/K._Indrapala</t>
        </is>
      </c>
    </row>
    <row r="19">
      <c r="A19" s="11" t="inlineStr">
        <is>
          <t>BK-0018</t>
        </is>
      </c>
      <c r="B19" s="12" t="inlineStr">
        <is>
          <t>2004</t>
        </is>
      </c>
      <c r="C19" s="11" t="n"/>
      <c r="D19" s="13" t="inlineStr">
        <is>
          <t>A Study of the Language of the Tamil Inscriptions of the 7th and 8th Centuries A.D.</t>
        </is>
      </c>
      <c r="E19" s="13" t="inlineStr">
        <is>
          <t>K. Kanapathypillai</t>
        </is>
      </c>
      <c r="F19" s="13" t="inlineStr">
        <is>
          <t>Kumaran Book House, Colombo-Chennai</t>
        </is>
      </c>
      <c r="G19" s="11" t="inlineStr">
        <is>
          <t>Book</t>
        </is>
      </c>
      <c r="H19" s="11" t="inlineStr">
        <is>
          <t>English</t>
        </is>
      </c>
      <c r="I19" s="13" t="inlineStr">
        <is>
          <t>Inscriptions / கல்வெட்டு</t>
        </is>
      </c>
      <c r="J19" s="13" t="inlineStr">
        <is>
          <t>Tamil inscriptions; epigraphy</t>
        </is>
      </c>
      <c r="K19" s="11" t="inlineStr">
        <is>
          <t>Yes</t>
        </is>
      </c>
      <c r="L19" s="13" t="inlineStr">
        <is>
          <t>1st edition 2004 (reprint)</t>
        </is>
      </c>
      <c r="M19" s="14" t="inlineStr">
        <is>
          <t>https://unioncatalogue.dlp.gov.lk/Record/batt.35119/Similar</t>
        </is>
      </c>
    </row>
    <row r="20">
      <c r="A20" s="7" t="inlineStr">
        <is>
          <t>BK-0019</t>
        </is>
      </c>
      <c r="B20" s="8" t="inlineStr">
        <is>
          <t>2004</t>
        </is>
      </c>
      <c r="C20" s="7" t="n"/>
      <c r="D20" s="9" t="inlineStr">
        <is>
          <t>Ilankaiyil Intu Camayam (Hinduism in Sri Lanka)</t>
        </is>
      </c>
      <c r="E20" s="9" t="inlineStr">
        <is>
          <t>S. Pathmanathan</t>
        </is>
      </c>
      <c r="F20" s="9" t="inlineStr">
        <is>
          <t>Kumaran Book House, Colombo-Chennai</t>
        </is>
      </c>
      <c r="G20" s="7" t="inlineStr">
        <is>
          <t>Book</t>
        </is>
      </c>
      <c r="H20" s="7" t="inlineStr">
        <is>
          <t>Tamil</t>
        </is>
      </c>
      <c r="I20" s="9" t="n"/>
      <c r="J20" s="9" t="inlineStr">
        <is>
          <t>Hinduism; history</t>
        </is>
      </c>
      <c r="K20" s="7" t="inlineStr">
        <is>
          <t>Yes</t>
        </is>
      </c>
      <c r="L20" s="9" t="n"/>
      <c r="M20" s="10" t="inlineStr">
        <is>
          <t>https://jfn.ac.lk/prof-s-pathmanathan/</t>
        </is>
      </c>
    </row>
    <row r="21">
      <c r="A21" s="11" t="inlineStr">
        <is>
          <t>BK-0020</t>
        </is>
      </c>
      <c r="B21" s="12" t="inlineStr">
        <is>
          <t>2004</t>
        </is>
      </c>
      <c r="C21" s="11" t="n"/>
      <c r="D21" s="13" t="inlineStr">
        <is>
          <t>Tamil Literature and Historical Traditions in Sri Lanka</t>
        </is>
      </c>
      <c r="E21" s="13" t="inlineStr">
        <is>
          <t>S. Pathmanathan</t>
        </is>
      </c>
      <c r="F21" s="13" t="inlineStr">
        <is>
          <t>Kumaran Press</t>
        </is>
      </c>
      <c r="G21" s="11" t="inlineStr">
        <is>
          <t>Book</t>
        </is>
      </c>
      <c r="H21" s="11" t="inlineStr">
        <is>
          <t>Tamil</t>
        </is>
      </c>
      <c r="I21" s="13" t="n"/>
      <c r="J21" s="13" t="inlineStr">
        <is>
          <t>history</t>
        </is>
      </c>
      <c r="K21" s="11" t="inlineStr">
        <is>
          <t>Yes</t>
        </is>
      </c>
      <c r="L21" s="13" t="n"/>
      <c r="M21" s="14" t="inlineStr">
        <is>
          <t>https://en.wikipedia.org/wiki/S._Pathmanathan</t>
        </is>
      </c>
    </row>
    <row r="22">
      <c r="A22" s="7" t="inlineStr">
        <is>
          <t>BK-0021</t>
        </is>
      </c>
      <c r="B22" s="8" t="inlineStr">
        <is>
          <t>2004</t>
        </is>
      </c>
      <c r="C22" s="7" t="n"/>
      <c r="D22" s="9" t="inlineStr">
        <is>
          <t>தமிழ் எழுத்தின் தோற்றம் (Origin of the Tamil Script)</t>
        </is>
      </c>
      <c r="E22" s="9" t="inlineStr">
        <is>
          <t>P. Pushparatnam</t>
        </is>
      </c>
      <c r="F22" s="9" t="inlineStr">
        <is>
          <t>District Secretariat, Jaffna</t>
        </is>
      </c>
      <c r="G22" s="7" t="inlineStr">
        <is>
          <t>Book</t>
        </is>
      </c>
      <c r="H22" s="7" t="inlineStr">
        <is>
          <t>Tamil</t>
        </is>
      </c>
      <c r="I22" s="9" t="inlineStr">
        <is>
          <t>Inscriptions / கல்வெட்டு; Brahmi / பிராமி</t>
        </is>
      </c>
      <c r="J22" s="9" t="inlineStr">
        <is>
          <t>பிராமி; script; epigraphy</t>
        </is>
      </c>
      <c r="K22" s="7" t="inlineStr">
        <is>
          <t>Yes</t>
        </is>
      </c>
      <c r="L22" s="9" t="inlineStr">
        <is>
          <t>Noolaham No. 4788; 126 pp.</t>
        </is>
      </c>
      <c r="M22" s="10" t="inlineStr">
        <is>
          <t>https://noolaham.org/wiki/index.php/தமிழ்_எழுத்தின்_தோற்றம்</t>
        </is>
      </c>
    </row>
    <row r="23">
      <c r="A23" s="11" t="inlineStr">
        <is>
          <t>BK-0022</t>
        </is>
      </c>
      <c r="B23" s="12" t="inlineStr">
        <is>
          <t>2003</t>
        </is>
      </c>
      <c r="C23" s="11" t="n"/>
      <c r="D23" s="13" t="inlineStr">
        <is>
          <t>Early Tamil Epigraphy: From the Earliest Times to the Sixth Century A.D.</t>
        </is>
      </c>
      <c r="E23" s="13" t="inlineStr">
        <is>
          <t>Iravatham Mahadevan</t>
        </is>
      </c>
      <c r="F23" s="13" t="inlineStr">
        <is>
          <t>Cre-A, Chennai &amp; Harvard University</t>
        </is>
      </c>
      <c r="G23" s="11" t="inlineStr">
        <is>
          <t>Book</t>
        </is>
      </c>
      <c r="H23" s="11" t="inlineStr">
        <is>
          <t>English</t>
        </is>
      </c>
      <c r="I23" s="13" t="inlineStr">
        <is>
          <t>Inscriptions / கல்வெட்டு; Brahmi / பிராமி</t>
        </is>
      </c>
      <c r="J23" s="13" t="inlineStr">
        <is>
          <t>Tamil Brahmi; epigraphy; Sri Lanka parallels</t>
        </is>
      </c>
      <c r="K23" s="11" t="inlineStr">
        <is>
          <t>Yes</t>
        </is>
      </c>
      <c r="L23" s="13" t="inlineStr">
        <is>
          <t>Discusses Sri Lankan Brahmi</t>
        </is>
      </c>
      <c r="M23" s="14" t="inlineStr">
        <is>
          <t>https://vedamsbooks.com/books/early_tamil_epigraphy_from_the_earliest_times_to_the_sixth_century_c_e_volume_1_tamil_brahmi_inscriptions</t>
        </is>
      </c>
    </row>
    <row r="24">
      <c r="A24" s="7" t="inlineStr">
        <is>
          <t>BK-0023</t>
        </is>
      </c>
      <c r="B24" s="8" t="inlineStr">
        <is>
          <t>2003</t>
        </is>
      </c>
      <c r="C24" s="7" t="n"/>
      <c r="D24" s="9" t="inlineStr">
        <is>
          <t>Glimpses of Hindu Heritage</t>
        </is>
      </c>
      <c r="E24" s="9" t="inlineStr">
        <is>
          <t>S. Pathmanathan (joint ed.)</t>
        </is>
      </c>
      <c r="F24" s="9" t="inlineStr">
        <is>
          <t>Ministry of Hindu Religious Affairs</t>
        </is>
      </c>
      <c r="G24" s="7" t="inlineStr">
        <is>
          <t>Edited volume</t>
        </is>
      </c>
      <c r="H24" s="7" t="inlineStr">
        <is>
          <t>English</t>
        </is>
      </c>
      <c r="I24" s="9" t="inlineStr">
        <is>
          <t>Archaeology / தொல்லியல்</t>
        </is>
      </c>
      <c r="J24" s="9" t="inlineStr">
        <is>
          <t>heritage; bronzes</t>
        </is>
      </c>
      <c r="K24" s="7" t="inlineStr">
        <is>
          <t>Yes</t>
        </is>
      </c>
      <c r="L24" s="9" t="n"/>
      <c r="M24" s="10" t="inlineStr">
        <is>
          <t>https://jfn.ac.lk/prof-s-pathmanathan/</t>
        </is>
      </c>
    </row>
    <row r="25">
      <c r="A25" s="11" t="inlineStr">
        <is>
          <t>BK-0024</t>
        </is>
      </c>
      <c r="B25" s="12" t="inlineStr">
        <is>
          <t>2003</t>
        </is>
      </c>
      <c r="C25" s="11" t="inlineStr">
        <is>
          <t>2014-02-21</t>
        </is>
      </c>
      <c r="D25" s="13" t="inlineStr">
        <is>
          <t>தொல்லியல் நோக்கில் இலங்கைத் தமிழர் பண்பாடு (Sri Lankan Tamil Culture from an Archaeological Perspective)</t>
        </is>
      </c>
      <c r="E25" s="13" t="inlineStr">
        <is>
          <t>P. Pushparatnam</t>
        </is>
      </c>
      <c r="F25" s="13" t="inlineStr">
        <is>
          <t>Bhavani Pathippagam</t>
        </is>
      </c>
      <c r="G25" s="11" t="inlineStr">
        <is>
          <t>Book</t>
        </is>
      </c>
      <c r="H25" s="11" t="inlineStr">
        <is>
          <t>Tamil</t>
        </is>
      </c>
      <c r="I25" s="13" t="inlineStr">
        <is>
          <t>Archaeology / தொல்லியல்</t>
        </is>
      </c>
      <c r="J25" s="13" t="inlineStr">
        <is>
          <t>தொல்லியல்; culture</t>
        </is>
      </c>
      <c r="K25" s="11" t="inlineStr">
        <is>
          <t>Yes</t>
        </is>
      </c>
      <c r="L25" s="13" t="inlineStr">
        <is>
          <t>Noolaham No. 4461; 240 pp.</t>
        </is>
      </c>
      <c r="M25" s="14" t="inlineStr">
        <is>
          <t>https://noolaham.org/wiki/index.php/தொல்லியல்_நோக்கில்_இலங்கைத்_தமிழர்_பண்பாடு</t>
        </is>
      </c>
    </row>
    <row r="26">
      <c r="A26" s="7" t="inlineStr">
        <is>
          <t>BK-0025</t>
        </is>
      </c>
      <c r="B26" s="8" t="inlineStr">
        <is>
          <t>2002</t>
        </is>
      </c>
      <c r="C26" s="7" t="n"/>
      <c r="D26" s="9" t="inlineStr">
        <is>
          <t>Ancient Coins of Sri Lankan Tamil Rulers</t>
        </is>
      </c>
      <c r="E26" s="9" t="inlineStr">
        <is>
          <t>P. Pushparatnam</t>
        </is>
      </c>
      <c r="F26" s="9" t="inlineStr">
        <is>
          <t>Bavani Patippakam, Jaffna</t>
        </is>
      </c>
      <c r="G26" s="7" t="inlineStr">
        <is>
          <t>Book</t>
        </is>
      </c>
      <c r="H26" s="7" t="inlineStr">
        <is>
          <t>English</t>
        </is>
      </c>
      <c r="I26" s="9" t="inlineStr">
        <is>
          <t>Brahmi / பிராமி; Archaeology / தொல்லியல்; Coins / நாணயம்</t>
        </is>
      </c>
      <c r="J26" s="9" t="inlineStr">
        <is>
          <t>coins; Tamil Brahmi; archaeology</t>
        </is>
      </c>
      <c r="K26" s="7" t="inlineStr">
        <is>
          <t>Yes</t>
        </is>
      </c>
      <c r="L26" s="9" t="inlineStr">
        <is>
          <t>192 pp.</t>
        </is>
      </c>
      <c r="M26" s="10" t="inlineStr">
        <is>
          <t>https://mannar.dlp.gov.lk/bib/9820</t>
        </is>
      </c>
    </row>
    <row r="27">
      <c r="A27" s="11" t="inlineStr">
        <is>
          <t>BK-0026</t>
        </is>
      </c>
      <c r="B27" s="12" t="inlineStr">
        <is>
          <t>2002</t>
        </is>
      </c>
      <c r="C27" s="11" t="n"/>
      <c r="D27" s="13" t="inlineStr">
        <is>
          <t>Naka Dynasty as Gleaned from the Archaeological Evidences in Sri Lanka</t>
        </is>
      </c>
      <c r="E27" s="13" t="inlineStr">
        <is>
          <t>P. Pushparatnam</t>
        </is>
      </c>
      <c r="F27" s="13" t="n"/>
      <c r="G27" s="11" t="inlineStr">
        <is>
          <t>Book</t>
        </is>
      </c>
      <c r="H27" s="11" t="inlineStr">
        <is>
          <t>English</t>
        </is>
      </c>
      <c r="I27" s="13" t="inlineStr">
        <is>
          <t>Inscriptions / கல்வெட்டு; Archaeology / தொல்லியல்; Coins / நாணயம்</t>
        </is>
      </c>
      <c r="J27" s="13" t="inlineStr">
        <is>
          <t>Naga; தொல்லியல்; coins; inscriptions</t>
        </is>
      </c>
      <c r="K27" s="11" t="inlineStr">
        <is>
          <t>Yes</t>
        </is>
      </c>
      <c r="L27" s="13" t="inlineStr">
        <is>
          <t>Noolaham No. 126188; 44 pp.</t>
        </is>
      </c>
      <c r="M27" s="14" t="inlineStr">
        <is>
          <t>https://noolaham.org/wiki/index.php/Naka_Dynasty_as_Gleaned_from_the_Archaeological_Evidences_in_Sri_Lanka</t>
        </is>
      </c>
    </row>
    <row r="28">
      <c r="A28" s="7" t="inlineStr">
        <is>
          <t>BK-0027</t>
        </is>
      </c>
      <c r="B28" s="8" t="inlineStr">
        <is>
          <t>2002</t>
        </is>
      </c>
      <c r="C28" s="7" t="n"/>
      <c r="D28" s="9" t="inlineStr">
        <is>
          <t>தொல்லியல் நோக்கில் ஈழத்தமிழரின் பண்டையகால மதமும் கலையும் (Ancient Religion and Art of Eelam Tamils: An Archaeological Perspective)</t>
        </is>
      </c>
      <c r="E28" s="9" t="inlineStr">
        <is>
          <t>P. Pushparatnam</t>
        </is>
      </c>
      <c r="F28" s="9" t="inlineStr">
        <is>
          <t>Kumaran Book House</t>
        </is>
      </c>
      <c r="G28" s="7" t="inlineStr">
        <is>
          <t>Book</t>
        </is>
      </c>
      <c r="H28" s="7" t="inlineStr">
        <is>
          <t>Tamil</t>
        </is>
      </c>
      <c r="I28" s="9" t="inlineStr">
        <is>
          <t>Archaeology / தொல்லியல்</t>
        </is>
      </c>
      <c r="J28" s="9" t="inlineStr">
        <is>
          <t>தொல்லியல்; religion; art</t>
        </is>
      </c>
      <c r="K28" s="7" t="inlineStr">
        <is>
          <t>Yes</t>
        </is>
      </c>
      <c r="L28" s="9" t="inlineStr">
        <is>
          <t>Noolaham No. 4500; 177 pp.</t>
        </is>
      </c>
      <c r="M28" s="10" t="inlineStr">
        <is>
          <t>https://noolaham.org/wiki/index.php/தொல்லியல்_நோக்கில்_ஈழத்தமிழரின்_பண்டையகால_மதமும்_கலையும்</t>
        </is>
      </c>
    </row>
    <row r="29">
      <c r="A29" s="11" t="inlineStr">
        <is>
          <t>BK-0028</t>
        </is>
      </c>
      <c r="B29" s="12" t="inlineStr">
        <is>
          <t>2001</t>
        </is>
      </c>
      <c r="C29" s="11" t="n"/>
      <c r="D29" s="13" t="inlineStr">
        <is>
          <t>Hindu Culture in Sri Lanka, Vol. 1: Temple Art &amp; Architecture (ed.)</t>
        </is>
      </c>
      <c r="E29" s="13" t="inlineStr">
        <is>
          <t>S. Pathmanathan (ed.)</t>
        </is>
      </c>
      <c r="F29" s="13" t="inlineStr">
        <is>
          <t>Department of Hindu Religious &amp; Cultural Affairs</t>
        </is>
      </c>
      <c r="G29" s="11" t="inlineStr">
        <is>
          <t>Book</t>
        </is>
      </c>
      <c r="H29" s="11" t="inlineStr">
        <is>
          <t>Tamil</t>
        </is>
      </c>
      <c r="I29" s="13" t="inlineStr">
        <is>
          <t>Archaeology / தொல்லியல்</t>
        </is>
      </c>
      <c r="J29" s="13" t="inlineStr">
        <is>
          <t>temple architecture; archaeology</t>
        </is>
      </c>
      <c r="K29" s="11" t="inlineStr">
        <is>
          <t>Yes</t>
        </is>
      </c>
      <c r="L29" s="13" t="n"/>
      <c r="M29" s="14" t="inlineStr">
        <is>
          <t>https://en.wikipedia.org/wiki/S._Pathmanathan</t>
        </is>
      </c>
    </row>
    <row r="30">
      <c r="A30" s="7" t="inlineStr">
        <is>
          <t>BK-0029</t>
        </is>
      </c>
      <c r="B30" s="8" t="inlineStr">
        <is>
          <t>2001</t>
        </is>
      </c>
      <c r="C30" s="7" t="n"/>
      <c r="D30" s="9" t="inlineStr">
        <is>
          <t>இலங்கைத் தமிழரின் பண்டைய கால நாணயங்கள் (Ancient Coins of Sri Lankan Tamils)</t>
        </is>
      </c>
      <c r="E30" s="9" t="inlineStr">
        <is>
          <t>P. Pushparatnam</t>
        </is>
      </c>
      <c r="F30" s="9" t="inlineStr">
        <is>
          <t>Bhavani Pathippagam</t>
        </is>
      </c>
      <c r="G30" s="7" t="inlineStr">
        <is>
          <t>Book</t>
        </is>
      </c>
      <c r="H30" s="7" t="inlineStr">
        <is>
          <t>Tamil</t>
        </is>
      </c>
      <c r="I30" s="9" t="inlineStr">
        <is>
          <t>Brahmi / பிராமி; Coins / நாணயம்</t>
        </is>
      </c>
      <c r="J30" s="9" t="inlineStr">
        <is>
          <t>நாணயம்; coins; Tamil Brahmi</t>
        </is>
      </c>
      <c r="K30" s="7" t="inlineStr">
        <is>
          <t>Yes</t>
        </is>
      </c>
      <c r="L30" s="9" t="inlineStr">
        <is>
          <t>Noolaham No. 4470; 219 pp.</t>
        </is>
      </c>
      <c r="M30" s="10" t="inlineStr">
        <is>
          <t>https://noolaham.org/wiki/index.php/இலங்கைத்_தமிழரின்_பண்டைய_கால_நாணயங்கள்</t>
        </is>
      </c>
    </row>
    <row r="31">
      <c r="A31" s="11" t="inlineStr">
        <is>
          <t>BK-0030</t>
        </is>
      </c>
      <c r="B31" s="12" t="inlineStr">
        <is>
          <t>2001</t>
        </is>
      </c>
      <c r="C31" s="11" t="n"/>
      <c r="D31" s="13" t="inlineStr">
        <is>
          <t>பண்டைய இலங்கையில் தமிழும் தமிழரும் (Tamil and Tamils in Ancient Sri Lanka)</t>
        </is>
      </c>
      <c r="E31" s="13" t="inlineStr">
        <is>
          <t>P. Pushparatnam</t>
        </is>
      </c>
      <c r="F31" s="13" t="inlineStr">
        <is>
          <t>Colombo Tamil Sangam</t>
        </is>
      </c>
      <c r="G31" s="11" t="inlineStr">
        <is>
          <t>Book</t>
        </is>
      </c>
      <c r="H31" s="11" t="inlineStr">
        <is>
          <t>Tamil</t>
        </is>
      </c>
      <c r="I31" s="13" t="inlineStr">
        <is>
          <t>Inscriptions / கல்வெட்டு; Brahmi / பிராமி; Archaeology / தொல்லியல்</t>
        </is>
      </c>
      <c r="J31" s="13" t="inlineStr">
        <is>
          <t>பிராமி; கல்வெட்டு; தொல்லியல்</t>
        </is>
      </c>
      <c r="K31" s="11" t="inlineStr">
        <is>
          <t>Yes</t>
        </is>
      </c>
      <c r="L31" s="13" t="inlineStr">
        <is>
          <t>Noolaham No. 430; xiii+120 pp.</t>
        </is>
      </c>
      <c r="M31" s="14" t="inlineStr">
        <is>
          <t>https://noolaham.org/wiki/index.php/பண்டைய_இலங்கையில்_தமிழும்_தமிழரும்</t>
        </is>
      </c>
    </row>
    <row r="32">
      <c r="A32" s="7" t="inlineStr">
        <is>
          <t>BK-0031</t>
        </is>
      </c>
      <c r="B32" s="8" t="inlineStr">
        <is>
          <t>2000</t>
        </is>
      </c>
      <c r="C32" s="7" t="n"/>
      <c r="D32" s="9" t="inlineStr">
        <is>
          <t>History and Archaeology of Sri Lanka, Vol. I: Reflections on a Heritage</t>
        </is>
      </c>
      <c r="E32" s="9" t="inlineStr">
        <is>
          <t>R.A.L.H. Gunawardana, S. Pathmanathan, M. Rohanadheera (eds.)</t>
        </is>
      </c>
      <c r="F32" s="9" t="inlineStr">
        <is>
          <t>Central Cultural Fund, Colombo</t>
        </is>
      </c>
      <c r="G32" s="7" t="inlineStr">
        <is>
          <t>Edited volume</t>
        </is>
      </c>
      <c r="H32" s="7" t="inlineStr">
        <is>
          <t>English</t>
        </is>
      </c>
      <c r="I32" s="9" t="inlineStr">
        <is>
          <t>Archaeology / தொல்லியல்</t>
        </is>
      </c>
      <c r="J32" s="9" t="inlineStr">
        <is>
          <t>archaeology; history</t>
        </is>
      </c>
      <c r="K32" s="7" t="inlineStr">
        <is>
          <t>Yes</t>
        </is>
      </c>
      <c r="L32" s="9" t="n"/>
      <c r="M32" s="10" t="inlineStr">
        <is>
          <t>https://jfn.ac.lk/prof-s-pathmanathan/</t>
        </is>
      </c>
    </row>
    <row r="33">
      <c r="A33" s="11" t="inlineStr">
        <is>
          <t>BK-0032</t>
        </is>
      </c>
      <c r="B33" s="12" t="inlineStr">
        <is>
          <t>2000</t>
        </is>
      </c>
      <c r="C33" s="11" t="n"/>
      <c r="D33" s="13" t="inlineStr">
        <is>
          <t>Temples of Siva in Sri Lanka</t>
        </is>
      </c>
      <c r="E33" s="13" t="inlineStr">
        <is>
          <t>S. Pathmanathan (chief ed.)</t>
        </is>
      </c>
      <c r="F33" s="13" t="inlineStr">
        <is>
          <t>Chinmaya Mission of Sri Lanka</t>
        </is>
      </c>
      <c r="G33" s="11" t="inlineStr">
        <is>
          <t>Edited volume</t>
        </is>
      </c>
      <c r="H33" s="11" t="inlineStr">
        <is>
          <t>English</t>
        </is>
      </c>
      <c r="I33" s="13" t="inlineStr">
        <is>
          <t>Inscriptions / கல்வெட்டு</t>
        </is>
      </c>
      <c r="J33" s="13" t="inlineStr">
        <is>
          <t>temples; inscriptions</t>
        </is>
      </c>
      <c r="K33" s="11" t="inlineStr">
        <is>
          <t>Yes</t>
        </is>
      </c>
      <c r="L33" s="13" t="inlineStr">
        <is>
          <t>Page gives 1999/2000</t>
        </is>
      </c>
      <c r="M33" s="14" t="inlineStr">
        <is>
          <t>https://jfn.ac.lk/prof-s-pathmanathan/</t>
        </is>
      </c>
    </row>
    <row r="34">
      <c r="A34" s="7" t="inlineStr">
        <is>
          <t>BK-0033</t>
        </is>
      </c>
      <c r="B34" s="8" t="inlineStr">
        <is>
          <t>1999</t>
        </is>
      </c>
      <c r="C34" s="7" t="n"/>
      <c r="D34" s="9" t="inlineStr">
        <is>
          <t>Ancient Sri Lankan coins / trade at Tissamaharama (Bopearachchi &amp; Wickremesinhe)</t>
        </is>
      </c>
      <c r="E34" s="9" t="inlineStr">
        <is>
          <t>O. Bopearachchi, R. Wickremesinhe</t>
        </is>
      </c>
      <c r="F34" s="9" t="inlineStr">
        <is>
          <t>(Ruhuna: an ancient civilisation revisited)</t>
        </is>
      </c>
      <c r="G34" s="7" t="inlineStr">
        <is>
          <t>Book</t>
        </is>
      </c>
      <c r="H34" s="7" t="inlineStr">
        <is>
          <t>English</t>
        </is>
      </c>
      <c r="I34" s="9" t="inlineStr">
        <is>
          <t>Coins / நாணயம்</t>
        </is>
      </c>
      <c r="J34" s="9" t="inlineStr">
        <is>
          <t>coins; Tissamaharama; trade</t>
        </is>
      </c>
      <c r="K34" s="7" t="inlineStr">
        <is>
          <t>Yes</t>
        </is>
      </c>
      <c r="L34" s="9" t="inlineStr">
        <is>
          <t>Title to verify; reviewed Apr 2000</t>
        </is>
      </c>
      <c r="M34" s="10" t="inlineStr">
        <is>
          <t>https://www.sundaytimes.lk/000423/plus3.html</t>
        </is>
      </c>
    </row>
    <row r="35">
      <c r="A35" s="11" t="inlineStr">
        <is>
          <t>BK-0034</t>
        </is>
      </c>
      <c r="B35" s="12" t="inlineStr">
        <is>
          <t>1999</t>
        </is>
      </c>
      <c r="C35" s="11" t="n"/>
      <c r="D35" s="13" t="inlineStr">
        <is>
          <t>Studies in Sri Lankan Tamil Linguistics and Culture</t>
        </is>
      </c>
      <c r="E35" s="13" t="inlineStr">
        <is>
          <t>K. Balasubramaniyam, K. Ratnamalar, R. Subathini (eds.)</t>
        </is>
      </c>
      <c r="F35" s="13" t="inlineStr">
        <is>
          <t>Sri Lanka Offset Service, Chennai</t>
        </is>
      </c>
      <c r="G35" s="11" t="inlineStr">
        <is>
          <t>Book</t>
        </is>
      </c>
      <c r="H35" s="11" t="inlineStr">
        <is>
          <t>English</t>
        </is>
      </c>
      <c r="I35" s="13" t="n"/>
      <c r="J35" s="13" t="inlineStr">
        <is>
          <t>culture; linguistics</t>
        </is>
      </c>
      <c r="K35" s="11" t="inlineStr">
        <is>
          <t>Yes</t>
        </is>
      </c>
      <c r="L35" s="13" t="inlineStr">
        <is>
          <t>454 pp.</t>
        </is>
      </c>
      <c r="M35" s="14" t="inlineStr">
        <is>
          <t>https://unioncatalogue.dlp.gov.lk/Record/poin.4050/Description</t>
        </is>
      </c>
    </row>
    <row r="36">
      <c r="A36" s="7" t="inlineStr">
        <is>
          <t>BK-0035</t>
        </is>
      </c>
      <c r="B36" s="8" t="inlineStr">
        <is>
          <t>1994</t>
        </is>
      </c>
      <c r="C36" s="7" t="n"/>
      <c r="D36" s="9" t="inlineStr">
        <is>
          <t>Epigraphia Zeylanica Vol. 3 (reprint)</t>
        </is>
      </c>
      <c r="E36" s="9" t="inlineStr">
        <is>
          <t>H. W. Codrington, S. Paranavitana</t>
        </is>
      </c>
      <c r="F36" s="9" t="inlineStr">
        <is>
          <t>Asian Educational Services</t>
        </is>
      </c>
      <c r="G36" s="7" t="inlineStr">
        <is>
          <t>Book</t>
        </is>
      </c>
      <c r="H36" s="7" t="inlineStr">
        <is>
          <t>English</t>
        </is>
      </c>
      <c r="I36" s="9" t="inlineStr">
        <is>
          <t>Inscriptions / கல்வெட்டு</t>
        </is>
      </c>
      <c r="J36" s="9" t="inlineStr">
        <is>
          <t>inscriptions; epigraphy</t>
        </is>
      </c>
      <c r="K36" s="7" t="inlineStr">
        <is>
          <t>No (earlier reference)</t>
        </is>
      </c>
      <c r="L36" s="9" t="inlineStr">
        <is>
          <t>Noolaham No. 4227; reprint (outside 30-year window, kept as reference)</t>
        </is>
      </c>
      <c r="M36" s="10" t="inlineStr">
        <is>
          <t>https://noolaham.org/wiki/index.php/Epigraphia_Zeylanica_3</t>
        </is>
      </c>
    </row>
    <row r="37">
      <c r="A37" s="11" t="inlineStr">
        <is>
          <t>BK-0036</t>
        </is>
      </c>
      <c r="B37" s="12" t="inlineStr">
        <is>
          <t>1993</t>
        </is>
      </c>
      <c r="C37" s="11" t="n"/>
      <c r="D37" s="13" t="inlineStr">
        <is>
          <t>கோணேசர் கல்வெட்டு (Koneswara Inscription)</t>
        </is>
      </c>
      <c r="E37" s="13" t="inlineStr">
        <is>
          <t>I. Vadivel</t>
        </is>
      </c>
      <c r="F37" s="13" t="inlineStr">
        <is>
          <t>Department of Hindu Religious and Cultural Affairs</t>
        </is>
      </c>
      <c r="G37" s="11" t="inlineStr">
        <is>
          <t>Book</t>
        </is>
      </c>
      <c r="H37" s="11" t="inlineStr">
        <is>
          <t>Tamil</t>
        </is>
      </c>
      <c r="I37" s="13" t="inlineStr">
        <is>
          <t>Inscriptions / கல்வெட்டு</t>
        </is>
      </c>
      <c r="J37" s="13" t="inlineStr">
        <is>
          <t>கல்வெட்டு; Koneswaram; Trincomalee</t>
        </is>
      </c>
      <c r="K37" s="11" t="inlineStr">
        <is>
          <t>No (earlier reference)</t>
        </is>
      </c>
      <c r="L37" s="13" t="inlineStr">
        <is>
          <t>Noolaham No. 4824; 136 pp.</t>
        </is>
      </c>
      <c r="M37" s="14" t="inlineStr">
        <is>
          <t>https://noolaham.org/wiki/index.php/%E0%AE%95%E0%AF%8B%E0%AE%A3%E0%AF%87%E0%AE%9A%E0%AE%B0%E0%AF%8D_%E0%AE%95%E0%AE%B2%E0%AF%8D%E0%AE%B5%E0%AF%86%E0%AE%9F%E0%AF%8D%E0%AE%9F%E0%AF%81</t>
        </is>
      </c>
    </row>
    <row r="38">
      <c r="A38" s="7" t="inlineStr">
        <is>
          <t>BK-0037</t>
        </is>
      </c>
      <c r="B38" s="8" t="inlineStr">
        <is>
          <t>1993</t>
        </is>
      </c>
      <c r="C38" s="7" t="n"/>
      <c r="D38" s="9" t="inlineStr">
        <is>
          <t>பூநகரி தொல்பொருளாய்வு (Poonakary Archaeological Survey)</t>
        </is>
      </c>
      <c r="E38" s="9" t="inlineStr">
        <is>
          <t>P. Pushparatnam</t>
        </is>
      </c>
      <c r="F38" s="9" t="inlineStr">
        <is>
          <t>University of Jaffna</t>
        </is>
      </c>
      <c r="G38" s="7" t="inlineStr">
        <is>
          <t>Book</t>
        </is>
      </c>
      <c r="H38" s="7" t="inlineStr">
        <is>
          <t>Tamil</t>
        </is>
      </c>
      <c r="I38" s="9" t="inlineStr">
        <is>
          <t>Brahmi / பிராமி; Archaeology / தொல்லியல்</t>
        </is>
      </c>
      <c r="J38" s="9" t="inlineStr">
        <is>
          <t>தொல்லியல்; Poonakari; Tamil Brahmi; potsherds</t>
        </is>
      </c>
      <c r="K38" s="7" t="inlineStr">
        <is>
          <t>No (earlier reference)</t>
        </is>
      </c>
      <c r="L38" s="9" t="inlineStr">
        <is>
          <t>Noolaham No. 67260; 238 pp.</t>
        </is>
      </c>
      <c r="M38" s="10" t="inlineStr">
        <is>
          <t>https://noolaham.org/wiki/index.php/%E0%AE%AA%E0%AF%82%E0%AE%A8%E0%AE%95%E0%AE%B0%E0%AE%BF_%E0%AE%A4%E0%AF%8A%E0%AE%B2%E0%AF%8D%E0%AE%AA%E0%AF%8A%E0%AE%B0%E0%AF%81%E0%AE%B3%E0%AE%BE%E0%AE%AF%E0%AF%8D%E0%AE%B5%E0%AF%81</t>
        </is>
      </c>
    </row>
    <row r="39">
      <c r="A39" s="11" t="inlineStr">
        <is>
          <t>BK-0038</t>
        </is>
      </c>
      <c r="B39" s="12" t="inlineStr">
        <is>
          <t>1993</t>
        </is>
      </c>
      <c r="C39" s="11" t="n"/>
      <c r="D39" s="13" t="inlineStr">
        <is>
          <t>வட இலங்கையில் சிங்கைநகர்</t>
        </is>
      </c>
      <c r="E39" s="13" t="inlineStr">
        <is>
          <t>P. Pushparatnam</t>
        </is>
      </c>
      <c r="F39" s="13" t="inlineStr">
        <is>
          <t>Fr. G. A. Francis Joseph Manivila Committee</t>
        </is>
      </c>
      <c r="G39" s="11" t="inlineStr">
        <is>
          <t>Book</t>
        </is>
      </c>
      <c r="H39" s="11" t="inlineStr">
        <is>
          <t>Tamil</t>
        </is>
      </c>
      <c r="I39" s="13" t="inlineStr">
        <is>
          <t>Archaeology / தொல்லியல்</t>
        </is>
      </c>
      <c r="J39" s="13" t="inlineStr">
        <is>
          <t>Singai Nagar; archaeology</t>
        </is>
      </c>
      <c r="K39" s="11" t="inlineStr">
        <is>
          <t>No (earlier reference)</t>
        </is>
      </c>
      <c r="L39" s="13" t="inlineStr">
        <is>
          <t>Noolaham No. 38966; 56 pp.</t>
        </is>
      </c>
      <c r="M39" s="14" t="inlineStr">
        <is>
          <t>https://noolaham.org/wiki/index.php/வட_இலங்கையில்_சிங்கைநகர்</t>
        </is>
      </c>
    </row>
    <row r="40">
      <c r="A40" s="7" t="inlineStr">
        <is>
          <t>BK-0039</t>
        </is>
      </c>
      <c r="B40" s="8" t="inlineStr">
        <is>
          <t>1992</t>
        </is>
      </c>
      <c r="C40" s="7" t="n"/>
      <c r="D40" s="9" t="inlineStr">
        <is>
          <t>தமிழர் வரலாறும் இலங்கை இடப்பெயர் ஆய்வும்</t>
        </is>
      </c>
      <c r="E40" s="9" t="inlineStr">
        <is>
          <t>Kathir Thanikasalam</t>
        </is>
      </c>
      <c r="F40" s="9" t="inlineStr">
        <is>
          <t>Saravana Pathippagam</t>
        </is>
      </c>
      <c r="G40" s="7" t="inlineStr">
        <is>
          <t>Book</t>
        </is>
      </c>
      <c r="H40" s="7" t="inlineStr">
        <is>
          <t>Tamil</t>
        </is>
      </c>
      <c r="I40" s="9" t="n"/>
      <c r="J40" s="9" t="inlineStr">
        <is>
          <t>place names; history</t>
        </is>
      </c>
      <c r="K40" s="7" t="inlineStr">
        <is>
          <t>No (earlier reference)</t>
        </is>
      </c>
      <c r="L40" s="9" t="inlineStr">
        <is>
          <t>Noolaham No. 4510; 267 pp.</t>
        </is>
      </c>
      <c r="M40" s="10" t="inlineStr">
        <is>
          <t>https://noolaham.org/wiki/index.php/தமிழர்_வரலாறும்_இலங்கை_இடப்பெயர்_ஆய்வும்</t>
        </is>
      </c>
    </row>
    <row r="41">
      <c r="A41" s="11" t="inlineStr">
        <is>
          <t>BK-0040</t>
        </is>
      </c>
      <c r="B41" s="12" t="inlineStr">
        <is>
          <t>1987</t>
        </is>
      </c>
      <c r="C41" s="11" t="n"/>
      <c r="D41" s="13" t="inlineStr">
        <is>
          <t>Early Settlements in Jaffna: An Archaeological Survey</t>
        </is>
      </c>
      <c r="E41" s="13" t="inlineStr">
        <is>
          <t>P. Ragupathy</t>
        </is>
      </c>
      <c r="F41" s="13" t="inlineStr">
        <is>
          <t>Thillimalar Ragupathy, Madras</t>
        </is>
      </c>
      <c r="G41" s="11" t="inlineStr">
        <is>
          <t>Book</t>
        </is>
      </c>
      <c r="H41" s="11" t="inlineStr">
        <is>
          <t>English</t>
        </is>
      </c>
      <c r="I41" s="13" t="inlineStr">
        <is>
          <t>Archaeology / தொல்லியல்</t>
        </is>
      </c>
      <c r="J41" s="13" t="inlineStr">
        <is>
          <t>தொல்லியல்; Jaffna; settlements</t>
        </is>
      </c>
      <c r="K41" s="11" t="inlineStr">
        <is>
          <t>No (earlier reference)</t>
        </is>
      </c>
      <c r="L41" s="13" t="inlineStr">
        <is>
          <t>Pre-1996 reference</t>
        </is>
      </c>
      <c r="M41" s="14" t="inlineStr">
        <is>
          <t>https://noolaham.net/project/18/1733/1733.html</t>
        </is>
      </c>
    </row>
    <row r="42">
      <c r="A42" s="7" t="inlineStr">
        <is>
          <t>BK-0041</t>
        </is>
      </c>
      <c r="B42" s="8" t="inlineStr">
        <is>
          <t>1971</t>
        </is>
      </c>
      <c r="C42" s="7" t="n"/>
      <c r="D42" s="9" t="inlineStr">
        <is>
          <t>Ceylon Tamil Inscriptions, Parts I-II (1971-1972)</t>
        </is>
      </c>
      <c r="E42" s="9" t="inlineStr">
        <is>
          <t>A. Veluppillai</t>
        </is>
      </c>
      <c r="F42" s="9" t="inlineStr">
        <is>
          <t>Author, Peradeniya</t>
        </is>
      </c>
      <c r="G42" s="7" t="inlineStr">
        <is>
          <t>Book</t>
        </is>
      </c>
      <c r="H42" s="7" t="inlineStr">
        <is>
          <t>English</t>
        </is>
      </c>
      <c r="I42" s="9" t="inlineStr">
        <is>
          <t>Inscriptions / கல்வெட்டு</t>
        </is>
      </c>
      <c r="J42" s="9" t="inlineStr">
        <is>
          <t>கல்வெட்டு; corpus</t>
        </is>
      </c>
      <c r="K42" s="7" t="inlineStr">
        <is>
          <t>No (earlier reference)</t>
        </is>
      </c>
      <c r="L42" s="9" t="inlineStr">
        <is>
          <t>Pre-1996 reference</t>
        </is>
      </c>
      <c r="M42" s="10" t="inlineStr">
        <is>
          <t>https://find.library.upenn.edu/catalog/997779313503681</t>
        </is>
      </c>
    </row>
    <row r="43">
      <c r="A43" s="11" t="inlineStr">
        <is>
          <t>BK-0042</t>
        </is>
      </c>
      <c r="B43" s="12" t="inlineStr">
        <is>
          <t>1971</t>
        </is>
      </c>
      <c r="C43" s="11" t="n"/>
      <c r="D43" s="13" t="inlineStr">
        <is>
          <t>Epigraphia Tamilica, Vol. I, Part I</t>
        </is>
      </c>
      <c r="E43" s="13" t="inlineStr">
        <is>
          <t>K. Indrapala (ed.)</t>
        </is>
      </c>
      <c r="F43" s="13" t="inlineStr">
        <is>
          <t>Jaffna Archaeological Society</t>
        </is>
      </c>
      <c r="G43" s="11" t="inlineStr">
        <is>
          <t>Book</t>
        </is>
      </c>
      <c r="H43" s="11" t="inlineStr">
        <is>
          <t>English</t>
        </is>
      </c>
      <c r="I43" s="13" t="inlineStr">
        <is>
          <t>Inscriptions / கல்வெட்டு</t>
        </is>
      </c>
      <c r="J43" s="13" t="inlineStr">
        <is>
          <t>கல்வெட்டு; corpus</t>
        </is>
      </c>
      <c r="K43" s="11" t="inlineStr">
        <is>
          <t>No (earlier reference)</t>
        </is>
      </c>
      <c r="L43" s="13" t="inlineStr">
        <is>
          <t>Pre-1996 reference</t>
        </is>
      </c>
      <c r="M43" s="14" t="inlineStr">
        <is>
          <t>https://www.lankapradeepa.com/2020/04/tamil-inscriptions-in-sri-lanka_16.html</t>
        </is>
      </c>
    </row>
    <row r="44">
      <c r="A44" s="7" t="inlineStr">
        <is>
          <t>BK-0043</t>
        </is>
      </c>
      <c r="B44" s="8" t="n"/>
      <c r="C44" s="7" t="n"/>
      <c r="D44" s="9" t="inlineStr">
        <is>
          <t>Culture and Heritage of the Tamils</t>
        </is>
      </c>
      <c r="E44" s="9" t="n"/>
      <c r="F44" s="9" t="inlineStr">
        <is>
          <t>Noolaham digital library</t>
        </is>
      </c>
      <c r="G44" s="7" t="inlineStr">
        <is>
          <t>Book</t>
        </is>
      </c>
      <c r="H44" s="7" t="inlineStr">
        <is>
          <t>English</t>
        </is>
      </c>
      <c r="I44" s="9" t="inlineStr">
        <is>
          <t>Archaeology / தொல்லியல்</t>
        </is>
      </c>
      <c r="J44" s="9" t="inlineStr">
        <is>
          <t>heritage</t>
        </is>
      </c>
      <c r="K44" s="7" t="inlineStr">
        <is>
          <t>Unknown</t>
        </is>
      </c>
      <c r="L44" s="9" t="inlineStr">
        <is>
          <t>Details to verify</t>
        </is>
      </c>
      <c r="M44" s="10" t="inlineStr">
        <is>
          <t>https://noolaham.net/project/977/97628/97628.pdf</t>
        </is>
      </c>
    </row>
    <row r="45">
      <c r="A45" s="11" t="inlineStr">
        <is>
          <t>BK-0044</t>
        </is>
      </c>
      <c r="B45" s="12" t="n"/>
      <c r="C45" s="11" t="n"/>
      <c r="D45" s="13" t="inlineStr">
        <is>
          <t>Nallur Rajadhani: City Layout</t>
        </is>
      </c>
      <c r="E45" s="13" t="inlineStr">
        <is>
          <t>V. N. Giritharan</t>
        </is>
      </c>
      <c r="F45" s="13" t="inlineStr">
        <is>
          <t>Noolaham digital library</t>
        </is>
      </c>
      <c r="G45" s="11" t="inlineStr">
        <is>
          <t>Book</t>
        </is>
      </c>
      <c r="H45" s="11" t="inlineStr">
        <is>
          <t>English</t>
        </is>
      </c>
      <c r="I45" s="13" t="inlineStr">
        <is>
          <t>Archaeology / தொல்லியல்</t>
        </is>
      </c>
      <c r="J45" s="13" t="inlineStr">
        <is>
          <t>Nallur; Jaffna kingdom; archaeology</t>
        </is>
      </c>
      <c r="K45" s="11" t="inlineStr">
        <is>
          <t>Unknown</t>
        </is>
      </c>
      <c r="L45" s="13" t="inlineStr">
        <is>
          <t>Year to verify</t>
        </is>
      </c>
      <c r="M45" s="14" t="inlineStr">
        <is>
          <t>https://noolaham.net/project/1316/131542/131542.pdf</t>
        </is>
      </c>
    </row>
    <row r="46">
      <c r="A46" s="7" t="inlineStr">
        <is>
          <t>BK-0045</t>
        </is>
      </c>
      <c r="B46" s="8" t="n"/>
      <c r="C46" s="7" t="n"/>
      <c r="D46" s="9" t="inlineStr">
        <is>
          <t>Tamil Place Names as Gleaned from the Brahmi Inscriptions of Sri Lanka</t>
        </is>
      </c>
      <c r="E46" s="9" t="inlineStr">
        <is>
          <t>P. Pushparatnam</t>
        </is>
      </c>
      <c r="F46" s="9" t="n"/>
      <c r="G46" s="7" t="inlineStr">
        <is>
          <t>Book</t>
        </is>
      </c>
      <c r="H46" s="7" t="inlineStr">
        <is>
          <t>English</t>
        </is>
      </c>
      <c r="I46" s="9" t="inlineStr">
        <is>
          <t>Inscriptions / கல்வெட்டு; Brahmi / பிராமி</t>
        </is>
      </c>
      <c r="J46" s="9" t="inlineStr">
        <is>
          <t>பிராமி; place names; inscriptions</t>
        </is>
      </c>
      <c r="K46" s="7" t="inlineStr">
        <is>
          <t>Unknown</t>
        </is>
      </c>
      <c r="L46" s="9" t="inlineStr">
        <is>
          <t>Noolaham No. 4137; 64 pp.; year unknown (to verify)</t>
        </is>
      </c>
      <c r="M46" s="10" t="inlineStr">
        <is>
          <t>https://noolaham.org/wiki/index.php/Tamil_Place_Names_as_Gleaned_from_the_Brahmi_Inscriptions_of_Sri_Lanka</t>
        </is>
      </c>
    </row>
    <row r="47">
      <c r="A47" s="11" t="inlineStr">
        <is>
          <t>BK-0046</t>
        </is>
      </c>
      <c r="B47" s="12" t="n"/>
      <c r="C47" s="11" t="n"/>
      <c r="D47" s="13" t="inlineStr">
        <is>
          <t>The Untold Story of Ancient Tamils in Sri Lanka</t>
        </is>
      </c>
      <c r="E47" s="13" t="n"/>
      <c r="F47" s="13" t="inlineStr">
        <is>
          <t>University of Vavuniya library catalogue</t>
        </is>
      </c>
      <c r="G47" s="11" t="inlineStr">
        <is>
          <t>Book</t>
        </is>
      </c>
      <c r="H47" s="11" t="inlineStr">
        <is>
          <t>English</t>
        </is>
      </c>
      <c r="I47" s="13" t="inlineStr">
        <is>
          <t>Archaeology / தொல்லியல்</t>
        </is>
      </c>
      <c r="J47" s="13" t="inlineStr">
        <is>
          <t>ancient Tamils; archaeology</t>
        </is>
      </c>
      <c r="K47" s="11" t="inlineStr">
        <is>
          <t>Unknown</t>
        </is>
      </c>
      <c r="L47" s="13" t="inlineStr">
        <is>
          <t>Author/year to verify (K. Arunthavarajah?)</t>
        </is>
      </c>
      <c r="M47" s="14" t="inlineStr">
        <is>
          <t>http://lib.vau.jfn.ac.lk/cgi-bin/koha/opac-detail.pl?biblionumber=44042&amp;shelfbrowse_itemnumber=55269</t>
        </is>
      </c>
    </row>
    <row r="48">
      <c r="A48" s="7" t="inlineStr">
        <is>
          <t>BK-0047</t>
        </is>
      </c>
      <c r="B48" s="8" t="n"/>
      <c r="C48" s="7" t="n"/>
      <c r="D48" s="9" t="inlineStr">
        <is>
          <t>இலங்கைத் தமிழரும் நாகநாட்டு அரச மரமும்</t>
        </is>
      </c>
      <c r="E48" s="9" t="inlineStr">
        <is>
          <t>P. Pushparatnam</t>
        </is>
      </c>
      <c r="F48" s="9" t="n"/>
      <c r="G48" s="7" t="inlineStr">
        <is>
          <t>Book</t>
        </is>
      </c>
      <c r="H48" s="7" t="inlineStr">
        <is>
          <t>Tamil</t>
        </is>
      </c>
      <c r="I48" s="9" t="inlineStr">
        <is>
          <t>Archaeology / தொல்லியல்</t>
        </is>
      </c>
      <c r="J48" s="9" t="inlineStr">
        <is>
          <t>Naga; archaeology</t>
        </is>
      </c>
      <c r="K48" s="7" t="inlineStr">
        <is>
          <t>Unknown</t>
        </is>
      </c>
      <c r="L48" s="9" t="inlineStr">
        <is>
          <t>Details to verify (Noolaham rate-limited)</t>
        </is>
      </c>
      <c r="M48" s="10" t="inlineStr">
        <is>
          <t>https://noolaham.org/wiki/index.php/பகுப்பு:புஷ்பரட்ணம்,_பரமு</t>
        </is>
      </c>
    </row>
  </sheetData>
  <autoFilter ref="A1:M48"/>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1" customWidth="1" min="3" max="3"/>
    <col width="60" customWidth="1" min="4" max="4"/>
    <col width="28" customWidth="1" min="5" max="5"/>
    <col width="34" customWidth="1" min="6" max="6"/>
    <col width="18" customWidth="1" min="7" max="7"/>
    <col width="10" customWidth="1" min="8" max="8"/>
    <col width="30" customWidth="1" min="9" max="9"/>
    <col width="30" customWidth="1" min="10" max="10"/>
    <col width="14" customWidth="1" min="11" max="11"/>
    <col width="30" customWidth="1" min="12" max="12"/>
    <col width="45" customWidth="1" min="13" max="13"/>
  </cols>
  <sheetData>
    <row r="1" ht="30" customHeight="1">
      <c r="A1" s="6" t="inlineStr">
        <is>
          <t>ID</t>
        </is>
      </c>
      <c r="B1" s="6" t="inlineStr">
        <is>
          <t>Year</t>
        </is>
      </c>
      <c r="C1" s="6" t="inlineStr">
        <is>
          <t>Date</t>
        </is>
      </c>
      <c r="D1" s="6" t="inlineStr">
        <is>
          <t>Title</t>
        </is>
      </c>
      <c r="E1" s="6" t="inlineStr">
        <is>
          <t>Author / Editor</t>
        </is>
      </c>
      <c r="F1" s="6" t="inlineStr">
        <is>
          <t>Publisher / Source</t>
        </is>
      </c>
      <c r="G1" s="6" t="inlineStr">
        <is>
          <t>Type</t>
        </is>
      </c>
      <c r="H1" s="6" t="inlineStr">
        <is>
          <t>Language</t>
        </is>
      </c>
      <c r="I1" s="6" t="inlineStr">
        <is>
          <t>Themes</t>
        </is>
      </c>
      <c r="J1" s="6" t="inlineStr">
        <is>
          <t>Keywords</t>
        </is>
      </c>
      <c r="K1" s="6" t="inlineStr">
        <is>
          <t>Within 1996-2026</t>
        </is>
      </c>
      <c r="L1" s="6" t="inlineStr">
        <is>
          <t>Notes</t>
        </is>
      </c>
      <c r="M1" s="6" t="inlineStr">
        <is>
          <t>URL</t>
        </is>
      </c>
    </row>
    <row r="2">
      <c r="A2" s="7" t="inlineStr">
        <is>
          <t>RP-0001</t>
        </is>
      </c>
      <c r="B2" s="8" t="inlineStr">
        <is>
          <t>2026</t>
        </is>
      </c>
      <c r="C2" s="7" t="n"/>
      <c r="D2" s="9" t="inlineStr">
        <is>
          <t>Hindu Idols Revealing the Cultural Connections between Northern Sri Lanka and South India</t>
        </is>
      </c>
      <c r="E2" s="9" t="inlineStr">
        <is>
          <t>S. Aniththa, Ushanthy Arunpirasanth</t>
        </is>
      </c>
      <c r="F2" s="9" t="inlineStr">
        <is>
          <t>First International Conference in Saiva Siddhanta, University of Jaffna</t>
        </is>
      </c>
      <c r="G2" s="7" t="inlineStr">
        <is>
          <t>Conference paper</t>
        </is>
      </c>
      <c r="H2" s="7" t="inlineStr">
        <is>
          <t>English</t>
        </is>
      </c>
      <c r="I2" s="9" t="inlineStr">
        <is>
          <t>Archaeology / தொல்லியல்</t>
        </is>
      </c>
      <c r="J2" s="9" t="inlineStr">
        <is>
          <t>sculpture; archaeology</t>
        </is>
      </c>
      <c r="K2" s="7" t="inlineStr">
        <is>
          <t>Yes</t>
        </is>
      </c>
      <c r="L2" s="9" t="n"/>
      <c r="M2" s="10" t="inlineStr">
        <is>
          <t>https://www.his.jfn.ac.lk/index.php/__trashed/</t>
        </is>
      </c>
    </row>
    <row r="3">
      <c r="A3" s="11" t="inlineStr">
        <is>
          <t>RP-0002</t>
        </is>
      </c>
      <c r="B3" s="12" t="inlineStr">
        <is>
          <t>2026</t>
        </is>
      </c>
      <c r="C3" s="11" t="inlineStr">
        <is>
          <t>2026-01-01</t>
        </is>
      </c>
      <c r="D3" s="13" t="inlineStr">
        <is>
          <t>Human Skeleton of Kithulgala Beli-lena rockshelter in Sri Lanka</t>
        </is>
      </c>
      <c r="E3" s="13" t="inlineStr">
        <is>
          <t>Pahiyangala Sumangala, Nimal Perera</t>
        </is>
      </c>
      <c r="F3" s="13" t="inlineStr">
        <is>
          <t>Social Science and Humanities Journal</t>
        </is>
      </c>
      <c r="G3" s="11" t="inlineStr">
        <is>
          <t>Article</t>
        </is>
      </c>
      <c r="H3" s="11" t="inlineStr">
        <is>
          <t>English</t>
        </is>
      </c>
      <c r="I3" s="13" t="n"/>
      <c r="J3" s="13" t="n"/>
      <c r="K3" s="11" t="inlineStr">
        <is>
          <t>Yes</t>
        </is>
      </c>
      <c r="L3" s="13" t="inlineStr">
        <is>
          <t>OpenAlex query: rock art Sri Lanka. Auto-collected 2026-10-14 (openalex); review.</t>
        </is>
      </c>
      <c r="M3" s="14" t="inlineStr">
        <is>
          <t>https://doi.org/10.18535/sshj.v10i08.2489</t>
        </is>
      </c>
    </row>
    <row r="4">
      <c r="A4" s="7" t="inlineStr">
        <is>
          <t>RP-0003</t>
        </is>
      </c>
      <c r="B4" s="8" t="inlineStr">
        <is>
          <t>2026</t>
        </is>
      </c>
      <c r="C4" s="7" t="inlineStr">
        <is>
          <t>2026-01-01</t>
        </is>
      </c>
      <c r="D4" s="9" t="inlineStr">
        <is>
          <t>Tamil Words in Early Prakrit Inscriptions in Sri Lanka</t>
        </is>
      </c>
      <c r="E4" s="9" t="inlineStr">
        <is>
          <t>Karan Damodaram Pillai</t>
        </is>
      </c>
      <c r="F4" s="9" t="inlineStr">
        <is>
          <t>SSRN Electronic Journal</t>
        </is>
      </c>
      <c r="G4" s="7" t="inlineStr">
        <is>
          <t>Preprint</t>
        </is>
      </c>
      <c r="H4" s="7" t="inlineStr">
        <is>
          <t>English</t>
        </is>
      </c>
      <c r="I4" s="9" t="inlineStr">
        <is>
          <t>Inscriptions / கல்வெட்டு</t>
        </is>
      </c>
      <c r="J4" s="9" t="inlineStr">
        <is>
          <t>inscription; inscriptions</t>
        </is>
      </c>
      <c r="K4" s="7" t="inlineStr">
        <is>
          <t>Yes</t>
        </is>
      </c>
      <c r="L4" s="9" t="inlineStr">
        <is>
          <t>OpenAlex query: Tamil inscription Sri Lanka. Auto-collected 2026-10-14 (openalex); review.</t>
        </is>
      </c>
      <c r="M4" s="10" t="inlineStr">
        <is>
          <t>https://doi.org/10.2139/ssrn.6422478</t>
        </is>
      </c>
    </row>
    <row r="5">
      <c r="A5" s="11" t="inlineStr">
        <is>
          <t>RP-0004</t>
        </is>
      </c>
      <c r="B5" s="12" t="inlineStr">
        <is>
          <t>2026</t>
        </is>
      </c>
      <c r="C5" s="11" t="inlineStr">
        <is>
          <t>2026-02-01</t>
        </is>
      </c>
      <c r="D5" s="13" t="inlineStr">
        <is>
          <t>Reinterpreting encounters: comparative study of William of Rubruck's travelogue and Sri Lankan inscriptions in medieval road contexts</t>
        </is>
      </c>
      <c r="E5" s="13" t="inlineStr">
        <is>
          <t>Madhavi Madhushani Kahapala Arachchi</t>
        </is>
      </c>
      <c r="F5" s="13" t="n"/>
      <c r="G5" s="11" t="inlineStr">
        <is>
          <t>Dissertation</t>
        </is>
      </c>
      <c r="H5" s="11" t="inlineStr">
        <is>
          <t>English</t>
        </is>
      </c>
      <c r="I5" s="13" t="inlineStr">
        <is>
          <t>Inscriptions / கல்வெட்டு</t>
        </is>
      </c>
      <c r="J5" s="13" t="inlineStr">
        <is>
          <t>inscription; inscriptions</t>
        </is>
      </c>
      <c r="K5" s="11" t="inlineStr">
        <is>
          <t>Yes</t>
        </is>
      </c>
      <c r="L5" s="13" t="inlineStr">
        <is>
          <t>OpenAlex query: Tamil inscription Sri Lanka. Auto-collected 2026-10-14 (openalex); review.</t>
        </is>
      </c>
      <c r="M5" s="14" t="inlineStr">
        <is>
          <t>https://doi.org/10.48336/247</t>
        </is>
      </c>
    </row>
    <row r="6">
      <c r="A6" s="7" t="inlineStr">
        <is>
          <t>RP-0005</t>
        </is>
      </c>
      <c r="B6" s="8" t="inlineStr">
        <is>
          <t>2026</t>
        </is>
      </c>
      <c r="C6" s="7" t="inlineStr">
        <is>
          <t>2026-04-01</t>
        </is>
      </c>
      <c r="D6" s="9" t="inlineStr">
        <is>
          <t>Coastal foragers beyond the mainland: Seafaring and early island settlement on Velanai, Jaffna, Sri Lanka, ca. 3460 cal BP</t>
        </is>
      </c>
      <c r="E6" s="9" t="inlineStr">
        <is>
          <t>Thilanka M. Siriwardana, Indika Ruwan Jayasekara, Janeena Nonis, Nadeera H. Dissanayake, Jude Perera</t>
        </is>
      </c>
      <c r="F6" s="9" t="inlineStr">
        <is>
          <t>The Journal of Island and Coastal Archaeology</t>
        </is>
      </c>
      <c r="G6" s="7" t="inlineStr">
        <is>
          <t>Article</t>
        </is>
      </c>
      <c r="H6" s="7" t="inlineStr">
        <is>
          <t>English</t>
        </is>
      </c>
      <c r="I6" s="9" t="inlineStr">
        <is>
          <t>Archaeology / தொல்லியல்</t>
        </is>
      </c>
      <c r="J6" s="9" t="n"/>
      <c r="K6" s="7" t="inlineStr">
        <is>
          <t>Yes</t>
        </is>
      </c>
      <c r="L6" s="9" t="inlineStr">
        <is>
          <t>OpenAlex query: Jaffna archaeology. Auto-collected 2026-10-14 (openalex); review.</t>
        </is>
      </c>
      <c r="M6" s="10" t="inlineStr">
        <is>
          <t>https://doi.org/10.1080/15564894.2026.2624853</t>
        </is>
      </c>
    </row>
    <row r="7">
      <c r="A7" s="11" t="inlineStr">
        <is>
          <t>RP-0006</t>
        </is>
      </c>
      <c r="B7" s="12" t="inlineStr">
        <is>
          <t>2026</t>
        </is>
      </c>
      <c r="C7" s="11" t="inlineStr">
        <is>
          <t>2026-04-04</t>
        </is>
      </c>
      <c r="D7" s="13" t="inlineStr">
        <is>
          <t>Late quaternary shell deposits in Northwestern Sri Lanka: New data on chronology, stratigraphy, and contents</t>
        </is>
      </c>
      <c r="E7" s="13" t="inlineStr">
        <is>
          <t>Thilanka M. Siriwardana, Indika Ruwan Jayasekara, Nadeera H. Dissanayake</t>
        </is>
      </c>
      <c r="F7" s="13" t="inlineStr">
        <is>
          <t>Quaternary International</t>
        </is>
      </c>
      <c r="G7" s="11" t="inlineStr">
        <is>
          <t>Article</t>
        </is>
      </c>
      <c r="H7" s="11" t="inlineStr">
        <is>
          <t>English</t>
        </is>
      </c>
      <c r="I7" s="13" t="n"/>
      <c r="J7" s="13" t="n"/>
      <c r="K7" s="11" t="inlineStr">
        <is>
          <t>Yes</t>
        </is>
      </c>
      <c r="L7" s="13" t="inlineStr">
        <is>
          <t>OpenAlex query: Jaffna archaeology. Auto-collected 2026-10-14 (openalex); review.</t>
        </is>
      </c>
      <c r="M7" s="14" t="inlineStr">
        <is>
          <t>https://doi.org/10.1016/j.quaint.2026.110251</t>
        </is>
      </c>
    </row>
    <row r="8">
      <c r="A8" s="7" t="inlineStr">
        <is>
          <t>RP-0007</t>
        </is>
      </c>
      <c r="B8" s="8" t="inlineStr">
        <is>
          <t>2026</t>
        </is>
      </c>
      <c r="C8" s="7" t="inlineStr">
        <is>
          <t>2026-04-14</t>
        </is>
      </c>
      <c r="D8" s="9" t="inlineStr">
        <is>
          <t>Myanmar’s Prehistoric Rock Art: a Comparative Study with Assam and Sri Lanka</t>
        </is>
      </c>
      <c r="E8" s="9" t="inlineStr">
        <is>
          <t>Win Pa Pa Lwin, Pyiet Phyo Kyaw</t>
        </is>
      </c>
      <c r="F8" s="9" t="inlineStr">
        <is>
          <t>The South East Asian Review</t>
        </is>
      </c>
      <c r="G8" s="7" t="inlineStr">
        <is>
          <t>Journal article</t>
        </is>
      </c>
      <c r="H8" s="7" t="inlineStr">
        <is>
          <t>English</t>
        </is>
      </c>
      <c r="I8" s="9" t="inlineStr">
        <is>
          <t>Rock art / பாறை ஓவியம்</t>
        </is>
      </c>
      <c r="J8" s="9" t="inlineStr">
        <is>
          <t>rock art</t>
        </is>
      </c>
      <c r="K8" s="7" t="inlineStr">
        <is>
          <t>Yes</t>
        </is>
      </c>
      <c r="L8" s="9" t="inlineStr">
        <is>
          <t>Crossref query: rock art Sri Lanka. Auto-collected 2026-10-14 (crossref); review.</t>
        </is>
      </c>
      <c r="M8" s="10" t="inlineStr">
        <is>
          <t>https://doi.org/10.32381/sear.2025.50.9</t>
        </is>
      </c>
    </row>
    <row r="9">
      <c r="A9" s="11" t="inlineStr">
        <is>
          <t>RP-0008</t>
        </is>
      </c>
      <c r="B9" s="12" t="inlineStr">
        <is>
          <t>2026</t>
        </is>
      </c>
      <c r="C9" s="11" t="inlineStr">
        <is>
          <t>2026-07-01</t>
        </is>
      </c>
      <c r="D9" s="13" t="inlineStr">
        <is>
          <t>Communicative Practices and Societal Structures: Insights from Early Brahmi Inscriptions in Sri Lanka (3rd Century BCE–1st Century CE)</t>
        </is>
      </c>
      <c r="E9" s="13" t="inlineStr">
        <is>
          <t>J. D. A. Kumara</t>
        </is>
      </c>
      <c r="F9" s="13" t="inlineStr">
        <is>
          <t>KDU Journal of Multidisciplinary Studies</t>
        </is>
      </c>
      <c r="G9" s="11" t="inlineStr">
        <is>
          <t>Article</t>
        </is>
      </c>
      <c r="H9" s="11" t="inlineStr">
        <is>
          <t>English</t>
        </is>
      </c>
      <c r="I9" s="13" t="inlineStr">
        <is>
          <t>Inscriptions / கல்வெட்டு; Brahmi / பிராமி</t>
        </is>
      </c>
      <c r="J9" s="13" t="inlineStr">
        <is>
          <t>inscription; inscriptions; brahmi</t>
        </is>
      </c>
      <c r="K9" s="11" t="inlineStr">
        <is>
          <t>Yes</t>
        </is>
      </c>
      <c r="L9" s="13" t="inlineStr">
        <is>
          <t>OpenAlex query: Tamil inscription Sri Lanka. Auto-collected 2026-10-14 (openalex); review.</t>
        </is>
      </c>
      <c r="M9" s="14" t="inlineStr">
        <is>
          <t>https://doi.org/10.4038/kjms.v8i1.183</t>
        </is>
      </c>
    </row>
    <row r="10">
      <c r="A10" s="7" t="inlineStr">
        <is>
          <t>RP-0009</t>
        </is>
      </c>
      <c r="B10" s="8" t="inlineStr">
        <is>
          <t>2026</t>
        </is>
      </c>
      <c r="C10" s="7" t="inlineStr">
        <is>
          <t>2026-07-06</t>
        </is>
      </c>
      <c r="D10" s="9" t="inlineStr">
        <is>
          <t>Ornaments of Microlithic Period in Sri Lanka: Based on Cultural Deposit in Rock Shelters</t>
        </is>
      </c>
      <c r="E10" s="9" t="inlineStr">
        <is>
          <t>Pahiyangala Sumangala</t>
        </is>
      </c>
      <c r="F10" s="9" t="inlineStr">
        <is>
          <t>Pravacana</t>
        </is>
      </c>
      <c r="G10" s="7" t="inlineStr">
        <is>
          <t>Article</t>
        </is>
      </c>
      <c r="H10" s="7" t="inlineStr">
        <is>
          <t>English</t>
        </is>
      </c>
      <c r="I10" s="9" t="n"/>
      <c r="J10" s="9" t="n"/>
      <c r="K10" s="7" t="inlineStr">
        <is>
          <t>Yes</t>
        </is>
      </c>
      <c r="L10" s="9" t="inlineStr">
        <is>
          <t>OpenAlex query: rock art Sri Lanka. Auto-collected 2026-10-14 (openalex); review.</t>
        </is>
      </c>
      <c r="M10" s="10" t="inlineStr">
        <is>
          <t>https://doi.org/10.4038/p.v16i1.58</t>
        </is>
      </c>
    </row>
    <row r="11">
      <c r="A11" s="11" t="inlineStr">
        <is>
          <t>RP-0010</t>
        </is>
      </c>
      <c r="B11" s="12" t="inlineStr">
        <is>
          <t>2026</t>
        </is>
      </c>
      <c r="C11" s="11" t="inlineStr">
        <is>
          <t>2026-07-07</t>
        </is>
      </c>
      <c r="D11" s="13" t="inlineStr">
        <is>
          <t>Localizing Heritage: Archaeologies of the Recent Past in Postwar Jaffna, Sri Lanka</t>
        </is>
      </c>
      <c r="E11" s="13" t="inlineStr">
        <is>
          <t>Gill Juleff, Thamotharampillai Sanathanan, Ruth Young, John P. Cooper, Emma Dwyer, Adrián Oyaneder</t>
        </is>
      </c>
      <c r="F11" s="13" t="inlineStr">
        <is>
          <t>Historical Archaeology</t>
        </is>
      </c>
      <c r="G11" s="11" t="inlineStr">
        <is>
          <t>Journal article</t>
        </is>
      </c>
      <c r="H11" s="11" t="inlineStr">
        <is>
          <t>English</t>
        </is>
      </c>
      <c r="I11" s="13" t="inlineStr">
        <is>
          <t>Archaeology / தொல்லியல்</t>
        </is>
      </c>
      <c r="J11" s="13" t="n"/>
      <c r="K11" s="11" t="inlineStr">
        <is>
          <t>Yes</t>
        </is>
      </c>
      <c r="L11" s="13" t="inlineStr">
        <is>
          <t>Crossref query: Jaffna archaeology. Auto-collected 2026-10-14 (crossref); review.</t>
        </is>
      </c>
      <c r="M11" s="14" t="inlineStr">
        <is>
          <t>https://doi.org/10.1007/s41636-026-00636-0</t>
        </is>
      </c>
    </row>
    <row r="12">
      <c r="A12" s="7" t="inlineStr">
        <is>
          <t>RP-0011</t>
        </is>
      </c>
      <c r="B12" s="8" t="inlineStr">
        <is>
          <t>2026</t>
        </is>
      </c>
      <c r="C12" s="7" t="inlineStr">
        <is>
          <t>2026-09-21</t>
        </is>
      </c>
      <c r="D12" s="9" t="inlineStr">
        <is>
          <t>A Historical Study of the Tamil Inscriptions Discovered at the Buddhist Heritage Site of Velgam Vehera</t>
        </is>
      </c>
      <c r="E12" s="9" t="inlineStr">
        <is>
          <t>U.S.Y. Sahan Mahesh Senarath yapa</t>
        </is>
      </c>
      <c r="F12" s="9" t="inlineStr">
        <is>
          <t>Zenodo (CERN European Organization for Nuclear Research)</t>
        </is>
      </c>
      <c r="G12" s="7" t="inlineStr">
        <is>
          <t>Conference paper</t>
        </is>
      </c>
      <c r="H12" s="7" t="inlineStr">
        <is>
          <t>English</t>
        </is>
      </c>
      <c r="I12" s="9" t="inlineStr">
        <is>
          <t>Inscriptions / கல்வெட்டு; Archaeology / தொல்லியல்</t>
        </is>
      </c>
      <c r="J12" s="9" t="inlineStr">
        <is>
          <t>inscription; inscriptions</t>
        </is>
      </c>
      <c r="K12" s="7" t="inlineStr">
        <is>
          <t>Yes</t>
        </is>
      </c>
      <c r="L12" s="9" t="inlineStr">
        <is>
          <t>OpenAlex query: Tamil inscription Sri Lanka. Auto-collected 2026-10-14 (openalex); review.</t>
        </is>
      </c>
      <c r="M12" s="10" t="inlineStr">
        <is>
          <t>https://doi.org/10.5281/zenodo.22870959</t>
        </is>
      </c>
    </row>
    <row r="13">
      <c r="A13" s="11" t="inlineStr">
        <is>
          <t>RP-0012</t>
        </is>
      </c>
      <c r="B13" s="12" t="inlineStr">
        <is>
          <t>2025</t>
        </is>
      </c>
      <c r="C13" s="11" t="n"/>
      <c r="D13" s="13" t="inlineStr">
        <is>
          <t>Investigation of Ancient Pre-colonial Monuments in Jaffna, Sri Lanka</t>
        </is>
      </c>
      <c r="E13" s="13" t="n"/>
      <c r="F13" s="13" t="inlineStr">
        <is>
          <t>NIIBS Faculty of Humanities &amp; Social Sciences</t>
        </is>
      </c>
      <c r="G13" s="11" t="inlineStr">
        <is>
          <t>Journal article</t>
        </is>
      </c>
      <c r="H13" s="11" t="inlineStr">
        <is>
          <t>English</t>
        </is>
      </c>
      <c r="I13" s="13" t="inlineStr">
        <is>
          <t>Archaeology / தொல்லியல்</t>
        </is>
      </c>
      <c r="J13" s="13" t="inlineStr">
        <is>
          <t>monuments; Jaffna</t>
        </is>
      </c>
      <c r="K13" s="11" t="inlineStr">
        <is>
          <t>Yes</t>
        </is>
      </c>
      <c r="L13" s="13" t="inlineStr">
        <is>
          <t>Upload Feb 2025</t>
        </is>
      </c>
      <c r="M13" s="14" t="inlineStr">
        <is>
          <t>https://fhss.niibs.lk/wp-content/uploads/2025/02/Investigation-of-Ancient-Pre-colonial-Monuments-in-Jaffna-Sri-Lanka.pdf</t>
        </is>
      </c>
    </row>
    <row r="14">
      <c r="A14" s="7" t="inlineStr">
        <is>
          <t>RP-0013</t>
        </is>
      </c>
      <c r="B14" s="8" t="inlineStr">
        <is>
          <t>2025</t>
        </is>
      </c>
      <c r="C14" s="7" t="n"/>
      <c r="D14" s="9" t="inlineStr">
        <is>
          <t>The Chola Rule that Shed Light on the History of Sri Lankan Tamils: A Historical Perspective</t>
        </is>
      </c>
      <c r="E14" s="9" t="inlineStr">
        <is>
          <t>S. Aniththa</t>
        </is>
      </c>
      <c r="F14" s="9" t="inlineStr">
        <is>
          <t>International Archaeological Conference 2025, International Tamizhkkalvi Research Institute, Tamil Nadu</t>
        </is>
      </c>
      <c r="G14" s="7" t="inlineStr">
        <is>
          <t>Conference paper</t>
        </is>
      </c>
      <c r="H14" s="7" t="inlineStr">
        <is>
          <t>Tamil</t>
        </is>
      </c>
      <c r="I14" s="9" t="inlineStr">
        <is>
          <t>Inscriptions / கல்வெட்டு</t>
        </is>
      </c>
      <c r="J14" s="9" t="inlineStr">
        <is>
          <t>Chola; inscriptions</t>
        </is>
      </c>
      <c r="K14" s="7" t="inlineStr">
        <is>
          <t>Yes</t>
        </is>
      </c>
      <c r="L14" s="9" t="n"/>
      <c r="M14" s="10" t="inlineStr">
        <is>
          <t>https://www.his.jfn.ac.lk/index.php/__trashed/</t>
        </is>
      </c>
    </row>
    <row r="15">
      <c r="A15" s="11" t="inlineStr">
        <is>
          <t>RP-0014</t>
        </is>
      </c>
      <c r="B15" s="12" t="inlineStr">
        <is>
          <t>2025</t>
        </is>
      </c>
      <c r="C15" s="11" t="inlineStr">
        <is>
          <t>2025-03-08</t>
        </is>
      </c>
      <c r="D15" s="13" t="inlineStr">
        <is>
          <t>Palimpsests: Material Religion and Political Archaeology at Kurunthaloor Vihara, Sri Lanka</t>
        </is>
      </c>
      <c r="E15" s="13" t="inlineStr">
        <is>
          <t>A. Suganthan</t>
        </is>
      </c>
      <c r="F15" s="13" t="inlineStr">
        <is>
          <t>AAR Southeast Regional Conference (AARSE 2025), Florida</t>
        </is>
      </c>
      <c r="G15" s="11" t="inlineStr">
        <is>
          <t>Conference paper</t>
        </is>
      </c>
      <c r="H15" s="11" t="inlineStr">
        <is>
          <t>English</t>
        </is>
      </c>
      <c r="I15" s="13" t="inlineStr">
        <is>
          <t>Archaeology / தொல்லியல்</t>
        </is>
      </c>
      <c r="J15" s="13" t="inlineStr">
        <is>
          <t>Kurunthurmalai; political archaeology</t>
        </is>
      </c>
      <c r="K15" s="11" t="inlineStr">
        <is>
          <t>Yes</t>
        </is>
      </c>
      <c r="L15" s="13" t="n"/>
      <c r="M15" s="14" t="inlineStr">
        <is>
          <t>https://www.his.jfn.ac.lk/index.php/mrs-ajiththa-suganthan/</t>
        </is>
      </c>
    </row>
    <row r="16">
      <c r="A16" s="7" t="inlineStr">
        <is>
          <t>RP-0015</t>
        </is>
      </c>
      <c r="B16" s="8" t="inlineStr">
        <is>
          <t>2025</t>
        </is>
      </c>
      <c r="C16" s="7" t="inlineStr">
        <is>
          <t>2025-05-15</t>
        </is>
      </c>
      <c r="D16" s="9" t="inlineStr">
        <is>
          <t>පලනනර අවධය මරට අභයනතර වළඳ නගරවල කරයකරතවය සහ වදශ වළඳ ශරණවල භමකව [The Operation of the Country's Internal Trading Hubs and the Role of Foreign Trade Guilds During the Polonnaruwa Period]</t>
        </is>
      </c>
      <c r="E16" s="9" t="inlineStr">
        <is>
          <t>M. K. L. Irangani</t>
        </is>
      </c>
      <c r="F16" s="9" t="inlineStr">
        <is>
          <t>Pravacana</t>
        </is>
      </c>
      <c r="G16" s="7" t="inlineStr">
        <is>
          <t>Article</t>
        </is>
      </c>
      <c r="H16" s="7" t="inlineStr">
        <is>
          <t>English</t>
        </is>
      </c>
      <c r="I16" s="9" t="n"/>
      <c r="J16" s="9" t="n"/>
      <c r="K16" s="7" t="inlineStr">
        <is>
          <t>Yes</t>
        </is>
      </c>
      <c r="L16" s="9" t="inlineStr">
        <is>
          <t>OpenAlex query: Jaffna archaeology. Auto-collected 2026-10-14 (openalex); review.</t>
        </is>
      </c>
      <c r="M16" s="10" t="inlineStr">
        <is>
          <t>https://doi.org/10.4038/p.v15i2.21</t>
        </is>
      </c>
    </row>
    <row r="17">
      <c r="A17" s="11" t="inlineStr">
        <is>
          <t>RP-0016</t>
        </is>
      </c>
      <c r="B17" s="12" t="inlineStr">
        <is>
          <t>2025</t>
        </is>
      </c>
      <c r="C17" s="11" t="inlineStr">
        <is>
          <t>2025-06-30</t>
        </is>
      </c>
      <c r="D17" s="13" t="inlineStr">
        <is>
          <t>THE SIGIRIYA MURALS OF SRI LANKA: A COMPREHENSIVE ART HISTORICAL ANALYSIS</t>
        </is>
      </c>
      <c r="E17" s="13" t="inlineStr">
        <is>
          <t>Independent Researcher, KHUSHALI JAIN</t>
        </is>
      </c>
      <c r="F17" s="13" t="inlineStr">
        <is>
          <t>VESTIGIA INDICA BSSS Journal of History &amp; Archaeology</t>
        </is>
      </c>
      <c r="G17" s="11" t="inlineStr">
        <is>
          <t>Article</t>
        </is>
      </c>
      <c r="H17" s="11" t="inlineStr">
        <is>
          <t>English</t>
        </is>
      </c>
      <c r="I17" s="13" t="n"/>
      <c r="J17" s="13" t="n"/>
      <c r="K17" s="11" t="inlineStr">
        <is>
          <t>Yes</t>
        </is>
      </c>
      <c r="L17" s="13" t="inlineStr">
        <is>
          <t>OpenAlex query: rock art Sri Lanka. Auto-collected 2026-10-14 (openalex); review.</t>
        </is>
      </c>
      <c r="M17" s="14" t="inlineStr">
        <is>
          <t>https://doi.org/10.51767/jha0308</t>
        </is>
      </c>
    </row>
    <row r="18">
      <c r="A18" s="7" t="inlineStr">
        <is>
          <t>RP-0017</t>
        </is>
      </c>
      <c r="B18" s="8" t="inlineStr">
        <is>
          <t>2025</t>
        </is>
      </c>
      <c r="C18" s="7" t="inlineStr">
        <is>
          <t>2025-10-17</t>
        </is>
      </c>
      <c r="D18" s="9" t="inlineStr">
        <is>
          <t>Interactions between Northern Sri Lanka and South India: A Study Based on the Yalppana Vaipavamalai</t>
        </is>
      </c>
      <c r="E18" s="9" t="inlineStr">
        <is>
          <t>G. Jeyatheeswaran, R. Udaiachandran</t>
        </is>
      </c>
      <c r="F18" s="9" t="inlineStr">
        <is>
          <t>HuSS International Journal of Research in Humanities and Social Sciences</t>
        </is>
      </c>
      <c r="G18" s="7" t="inlineStr">
        <is>
          <t>Article</t>
        </is>
      </c>
      <c r="H18" s="7" t="inlineStr">
        <is>
          <t>English</t>
        </is>
      </c>
      <c r="I18" s="9" t="n"/>
      <c r="J18" s="9" t="n"/>
      <c r="K18" s="7" t="inlineStr">
        <is>
          <t>Yes</t>
        </is>
      </c>
      <c r="L18" s="9" t="inlineStr">
        <is>
          <t>OpenAlex query: Tamil inscription Sri Lanka. Auto-collected 2026-10-14 (openalex); review.</t>
        </is>
      </c>
      <c r="M18" s="10" t="inlineStr">
        <is>
          <t>https://doi.org/10.15613/hijrh/2025/v12i1/52698</t>
        </is>
      </c>
    </row>
    <row r="19">
      <c r="A19" s="11" t="inlineStr">
        <is>
          <t>RP-0018</t>
        </is>
      </c>
      <c r="B19" s="12" t="inlineStr">
        <is>
          <t>2025</t>
        </is>
      </c>
      <c r="C19" s="11" t="inlineStr">
        <is>
          <t>2025-10-31</t>
        </is>
      </c>
      <c r="D19" s="13" t="inlineStr">
        <is>
          <t>A STUDY OF NON-BRAHMI SYMBOLS CREATED FROM THE EARLY BRAHMI SCRIPT</t>
        </is>
      </c>
      <c r="E19" s="13" t="inlineStr">
        <is>
          <t>N. Bandara</t>
        </is>
      </c>
      <c r="F19" s="13" t="inlineStr">
        <is>
          <t>Third Desk Research Conference</t>
        </is>
      </c>
      <c r="G19" s="11" t="inlineStr">
        <is>
          <t>Proceedings article</t>
        </is>
      </c>
      <c r="H19" s="11" t="inlineStr">
        <is>
          <t>English</t>
        </is>
      </c>
      <c r="I19" s="13" t="inlineStr">
        <is>
          <t>Brahmi / பிராமி</t>
        </is>
      </c>
      <c r="J19" s="13" t="inlineStr">
        <is>
          <t>brahmi</t>
        </is>
      </c>
      <c r="K19" s="11" t="inlineStr">
        <is>
          <t>Yes</t>
        </is>
      </c>
      <c r="L19" s="13" t="inlineStr">
        <is>
          <t>Crossref query: Tissamaharama Brahmi. Auto-collected 2026-10-14 (crossref); review.</t>
        </is>
      </c>
      <c r="M19" s="14" t="inlineStr">
        <is>
          <t>https://doi.org/10.64920/drc2025027</t>
        </is>
      </c>
    </row>
    <row r="20">
      <c r="A20" s="7" t="inlineStr">
        <is>
          <t>RP-0019</t>
        </is>
      </c>
      <c r="B20" s="8" t="inlineStr">
        <is>
          <t>2025</t>
        </is>
      </c>
      <c r="C20" s="7" t="inlineStr">
        <is>
          <t>2025-12-01</t>
        </is>
      </c>
      <c r="D20" s="9" t="inlineStr">
        <is>
          <t>Merchant Guilds as Agents of Trade, Military, and Religious Integration: Valangiyar and Manigramam Networks Across South India, Sri Lanka, and Southeast Asia</t>
        </is>
      </c>
      <c r="E20" s="9" t="inlineStr">
        <is>
          <t>Nayomi Dinuka Kekulawala, Dananjaya Gamalath</t>
        </is>
      </c>
      <c r="F20" s="9" t="inlineStr">
        <is>
          <t>Nāgānanda International Journal of Humanities &amp; Social Sciences, Vol. 10, No. 05, pp. 40-51</t>
        </is>
      </c>
      <c r="G20" s="7" t="inlineStr">
        <is>
          <t>Journal article</t>
        </is>
      </c>
      <c r="H20" s="7" t="inlineStr">
        <is>
          <t>English</t>
        </is>
      </c>
      <c r="I20" s="9" t="inlineStr">
        <is>
          <t>Inscriptions / கல்வெட்டு</t>
        </is>
      </c>
      <c r="J20" s="9" t="inlineStr">
        <is>
          <t>merchant guilds; Valanjiyar; Manigramam; inscriptions</t>
        </is>
      </c>
      <c r="K20" s="7" t="inlineStr">
        <is>
          <t>Yes</t>
        </is>
      </c>
      <c r="L20" s="9" t="n"/>
      <c r="M20" s="10" t="inlineStr">
        <is>
          <t>https://nijhss.niibs.lk/download/?id=52</t>
        </is>
      </c>
    </row>
    <row r="21">
      <c r="A21" s="11" t="inlineStr">
        <is>
          <t>RP-0020</t>
        </is>
      </c>
      <c r="B21" s="12" t="inlineStr">
        <is>
          <t>2025</t>
        </is>
      </c>
      <c r="C21" s="11" t="inlineStr">
        <is>
          <t>2025-12-20</t>
        </is>
      </c>
      <c r="D21" s="13" t="inlineStr">
        <is>
          <t>SRI LANKAN MARITIME LAW GOES BACK TO THE SECOND CENTURY BC</t>
        </is>
      </c>
      <c r="E21" s="13" t="inlineStr">
        <is>
          <t>Faiz Marikar</t>
        </is>
      </c>
      <c r="F21" s="13" t="inlineStr">
        <is>
          <t>Crisia</t>
        </is>
      </c>
      <c r="G21" s="11" t="inlineStr">
        <is>
          <t>Article</t>
        </is>
      </c>
      <c r="H21" s="11" t="inlineStr">
        <is>
          <t>English</t>
        </is>
      </c>
      <c r="I21" s="13" t="n"/>
      <c r="J21" s="13" t="n"/>
      <c r="K21" s="11" t="inlineStr">
        <is>
          <t>Yes</t>
        </is>
      </c>
      <c r="L21" s="13" t="inlineStr">
        <is>
          <t>OpenAlex query: Tamil inscription Sri Lanka. Auto-collected 2026-10-14 (openalex); review.</t>
        </is>
      </c>
      <c r="M21" s="14" t="inlineStr">
        <is>
          <t>https://doi.org/10.66142/crisia.2025.06</t>
        </is>
      </c>
    </row>
    <row r="22">
      <c r="A22" s="7" t="inlineStr">
        <is>
          <t>RP-0021</t>
        </is>
      </c>
      <c r="B22" s="8" t="inlineStr">
        <is>
          <t>2025</t>
        </is>
      </c>
      <c r="C22" s="7" t="inlineStr">
        <is>
          <t>2025-12-29</t>
        </is>
      </c>
      <c r="D22" s="9" t="inlineStr">
        <is>
          <t>Collective and Proactive Female Patronage in Sri Lankan Buddhist Temple Art</t>
        </is>
      </c>
      <c r="E22" s="9" t="inlineStr">
        <is>
          <t>Dulma Karunarathna</t>
        </is>
      </c>
      <c r="F22" s="9" t="inlineStr">
        <is>
          <t>Ancient Lanka</t>
        </is>
      </c>
      <c r="G22" s="7" t="inlineStr">
        <is>
          <t>Article</t>
        </is>
      </c>
      <c r="H22" s="7" t="inlineStr">
        <is>
          <t>English</t>
        </is>
      </c>
      <c r="I22" s="9" t="n"/>
      <c r="J22" s="9" t="n"/>
      <c r="K22" s="7" t="inlineStr">
        <is>
          <t>Yes</t>
        </is>
      </c>
      <c r="L22" s="9" t="inlineStr">
        <is>
          <t>OpenAlex query: Tamil inscription Sri Lanka. Auto-collected 2026-10-14 (openalex); review.</t>
        </is>
      </c>
      <c r="M22" s="10" t="inlineStr">
        <is>
          <t>https://doi.org/10.29173/anlk856</t>
        </is>
      </c>
    </row>
    <row r="23">
      <c r="A23" s="11" t="inlineStr">
        <is>
          <t>RP-0022</t>
        </is>
      </c>
      <c r="B23" s="12" t="inlineStr">
        <is>
          <t>2025</t>
        </is>
      </c>
      <c r="C23" s="11" t="inlineStr">
        <is>
          <t>2025-12-29</t>
        </is>
      </c>
      <c r="D23" s="13" t="inlineStr">
        <is>
          <t>Stone, Symbol, and Leisure: A Reassessment of Geometric Symbols on the Stone-Paved Terrace of Jetavana Stupa, Sri Lanka</t>
        </is>
      </c>
      <c r="E23" s="13" t="inlineStr">
        <is>
          <t>K.W. Chithramala Tharangani</t>
        </is>
      </c>
      <c r="F23" s="13" t="inlineStr">
        <is>
          <t>Ancient Lanka</t>
        </is>
      </c>
      <c r="G23" s="11" t="inlineStr">
        <is>
          <t>Journal article</t>
        </is>
      </c>
      <c r="H23" s="11" t="inlineStr">
        <is>
          <t>English</t>
        </is>
      </c>
      <c r="I23" s="13" t="n"/>
      <c r="J23" s="13" t="n"/>
      <c r="K23" s="11" t="inlineStr">
        <is>
          <t>Yes</t>
        </is>
      </c>
      <c r="L23" s="13" t="inlineStr">
        <is>
          <t>Crossref query: hero stone Sri Lanka. Auto-collected 2026-10-14 (crossref); review.</t>
        </is>
      </c>
      <c r="M23" s="14" t="inlineStr">
        <is>
          <t>https://doi.org/10.29173/anlk872</t>
        </is>
      </c>
    </row>
    <row r="24">
      <c r="A24" s="7" t="inlineStr">
        <is>
          <t>RP-0023</t>
        </is>
      </c>
      <c r="B24" s="8" t="inlineStr">
        <is>
          <t>2025</t>
        </is>
      </c>
      <c r="C24" s="7" t="inlineStr">
        <is>
          <t>2025-12-30</t>
        </is>
      </c>
      <c r="D24" s="9" t="inlineStr">
        <is>
          <t>Reconstructing Past Settlements through Soil Characterization: Vessagiriya, Sri Lanka</t>
        </is>
      </c>
      <c r="E24" s="9" t="inlineStr">
        <is>
          <t>Chammi P. Attanayake, Ranjith B. Mapa, Sudharshan Seneviratne, Dulma Karunarathna</t>
        </is>
      </c>
      <c r="F24" s="9" t="inlineStr">
        <is>
          <t>Ancient Lanka</t>
        </is>
      </c>
      <c r="G24" s="7" t="inlineStr">
        <is>
          <t>Article</t>
        </is>
      </c>
      <c r="H24" s="7" t="inlineStr">
        <is>
          <t>English</t>
        </is>
      </c>
      <c r="I24" s="9" t="inlineStr">
        <is>
          <t>Archaeology / தொல்லியல்</t>
        </is>
      </c>
      <c r="J24" s="9" t="n"/>
      <c r="K24" s="7" t="inlineStr">
        <is>
          <t>Yes</t>
        </is>
      </c>
      <c r="L24" s="9" t="inlineStr">
        <is>
          <t>OpenAlex query: Tamil inscription Sri Lanka. Auto-collected 2026-10-14 (openalex); review.</t>
        </is>
      </c>
      <c r="M24" s="10" t="inlineStr">
        <is>
          <t>https://doi.org/10.29173/anlk858</t>
        </is>
      </c>
    </row>
    <row r="25">
      <c r="A25" s="11" t="inlineStr">
        <is>
          <t>RP-0024</t>
        </is>
      </c>
      <c r="B25" s="12" t="inlineStr">
        <is>
          <t>2025</t>
        </is>
      </c>
      <c r="C25" s="11" t="inlineStr">
        <is>
          <t>2025-12-31</t>
        </is>
      </c>
      <c r="D25" s="13" t="inlineStr">
        <is>
          <t>இலஙகயன பழஙகட இனததவரகளன வடவர சமகததன மழயம, பணபடடமசஙகளம. The language and cultural aspects of the Veddah community, the indigenous people of Sri Lanka</t>
        </is>
      </c>
      <c r="E25" s="13" t="inlineStr">
        <is>
          <t>T. Yujanthan</t>
        </is>
      </c>
      <c r="F25" s="13" t="inlineStr">
        <is>
          <t>Journal of Tamil Peraivu</t>
        </is>
      </c>
      <c r="G25" s="11" t="inlineStr">
        <is>
          <t>Article</t>
        </is>
      </c>
      <c r="H25" s="11" t="inlineStr">
        <is>
          <t>English</t>
        </is>
      </c>
      <c r="I25" s="13" t="n"/>
      <c r="J25" s="13" t="n"/>
      <c r="K25" s="11" t="inlineStr">
        <is>
          <t>Yes</t>
        </is>
      </c>
      <c r="L25" s="13" t="inlineStr">
        <is>
          <t>OpenAlex query: Tamil inscription Sri Lanka. Auto-collected 2026-10-14 (openalex); review.</t>
        </is>
      </c>
      <c r="M25" s="14" t="inlineStr">
        <is>
          <t>https://doi.org/10.22452/jtp.vol14no2.12</t>
        </is>
      </c>
    </row>
    <row r="26">
      <c r="A26" s="7" t="inlineStr">
        <is>
          <t>RP-0025</t>
        </is>
      </c>
      <c r="B26" s="8" t="inlineStr">
        <is>
          <t>2024</t>
        </is>
      </c>
      <c r="C26" s="7" t="n"/>
      <c r="D26" s="9" t="inlineStr">
        <is>
          <t>Serpent Deities (Nagas) in Ancient Sri Lanka: Evidence from the Kaddukarai Excavation</t>
        </is>
      </c>
      <c r="E26" s="9" t="inlineStr">
        <is>
          <t>A. Suganthan</t>
        </is>
      </c>
      <c r="F26" s="9" t="inlineStr">
        <is>
          <t>More-than-human Religion conference, Florida State University</t>
        </is>
      </c>
      <c r="G26" s="7" t="inlineStr">
        <is>
          <t>Conference paper</t>
        </is>
      </c>
      <c r="H26" s="7" t="inlineStr">
        <is>
          <t>English</t>
        </is>
      </c>
      <c r="I26" s="9" t="inlineStr">
        <is>
          <t>Archaeology / தொல்லியல்</t>
        </is>
      </c>
      <c r="J26" s="9" t="inlineStr">
        <is>
          <t>Naga; Kattukarai excavation</t>
        </is>
      </c>
      <c r="K26" s="7" t="inlineStr">
        <is>
          <t>Yes</t>
        </is>
      </c>
      <c r="L26" s="9" t="n"/>
      <c r="M26" s="10" t="inlineStr">
        <is>
          <t>https://www.his.jfn.ac.lk/index.php/mrs-ajiththa-suganthan/</t>
        </is>
      </c>
    </row>
    <row r="27">
      <c r="A27" s="11" t="inlineStr">
        <is>
          <t>RP-0026</t>
        </is>
      </c>
      <c r="B27" s="12" t="inlineStr">
        <is>
          <t>2024</t>
        </is>
      </c>
      <c r="C27" s="11" t="n"/>
      <c r="D27" s="13" t="inlineStr">
        <is>
          <t>The Role of Tamil Language in Sinhala Kingdoms during the Early and Medieval Period of Sri Lanka</t>
        </is>
      </c>
      <c r="E27" s="13" t="inlineStr">
        <is>
          <t>S. Aniththa</t>
        </is>
      </c>
      <c r="F27" s="13" t="inlineStr">
        <is>
          <t>12th International Symposium, South Eastern University of Sri Lanka</t>
        </is>
      </c>
      <c r="G27" s="11" t="inlineStr">
        <is>
          <t>Conference paper</t>
        </is>
      </c>
      <c r="H27" s="11" t="inlineStr">
        <is>
          <t>English</t>
        </is>
      </c>
      <c r="I27" s="13" t="inlineStr">
        <is>
          <t>Inscriptions / கல்வெட்டு</t>
        </is>
      </c>
      <c r="J27" s="13" t="inlineStr">
        <is>
          <t>Tamil inscriptions; language</t>
        </is>
      </c>
      <c r="K27" s="11" t="inlineStr">
        <is>
          <t>Yes</t>
        </is>
      </c>
      <c r="L27" s="13" t="n"/>
      <c r="M27" s="14" t="inlineStr">
        <is>
          <t>https://www.his.jfn.ac.lk/index.php/__trashed/</t>
        </is>
      </c>
    </row>
    <row r="28">
      <c r="A28" s="7" t="inlineStr">
        <is>
          <t>RP-0027</t>
        </is>
      </c>
      <c r="B28" s="8" t="inlineStr">
        <is>
          <t>2024</t>
        </is>
      </c>
      <c r="C28" s="7" t="inlineStr">
        <is>
          <t>2024-02-23</t>
        </is>
      </c>
      <c r="D28" s="9" t="inlineStr">
        <is>
          <t>Heritage and decoloniality: Reflections from Sri Lanka—A conversation</t>
        </is>
      </c>
      <c r="E28" s="9" t="inlineStr">
        <is>
          <t>Hasini Haputhanthri, Gill Juleff, Thamotharampillai Sanathanan</t>
        </is>
      </c>
      <c r="F28" s="9" t="inlineStr">
        <is>
          <t>American Anthropologist</t>
        </is>
      </c>
      <c r="G28" s="7" t="inlineStr">
        <is>
          <t>Article</t>
        </is>
      </c>
      <c r="H28" s="7" t="inlineStr">
        <is>
          <t>English</t>
        </is>
      </c>
      <c r="I28" s="9" t="inlineStr">
        <is>
          <t>Archaeology / தொல்லியல்</t>
        </is>
      </c>
      <c r="J28" s="9" t="n"/>
      <c r="K28" s="7" t="inlineStr">
        <is>
          <t>Yes</t>
        </is>
      </c>
      <c r="L28" s="9" t="inlineStr">
        <is>
          <t>OpenAlex query: Jaffna archaeology. Auto-collected 2026-10-14 (openalex); review.</t>
        </is>
      </c>
      <c r="M28" s="10" t="inlineStr">
        <is>
          <t>https://doi.org/10.1111/aman.13949</t>
        </is>
      </c>
    </row>
    <row r="29">
      <c r="A29" s="11" t="inlineStr">
        <is>
          <t>RP-0028</t>
        </is>
      </c>
      <c r="B29" s="12" t="inlineStr">
        <is>
          <t>2024</t>
        </is>
      </c>
      <c r="C29" s="11" t="inlineStr">
        <is>
          <t>2024-05-15</t>
        </is>
      </c>
      <c r="D29" s="13" t="inlineStr">
        <is>
          <t>Cheng Ho's Visits to Sri Lanka and the discovery of Oldest Arwi Script Found in Galle Trilingual Inscription</t>
        </is>
      </c>
      <c r="E29" s="13" t="inlineStr">
        <is>
          <t>Faiz M. M. T. Marikar, Manjula Karunathilaka</t>
        </is>
      </c>
      <c r="F29" s="13" t="inlineStr">
        <is>
          <t>International Journal of Modern Anthropology</t>
        </is>
      </c>
      <c r="G29" s="11" t="inlineStr">
        <is>
          <t>Article</t>
        </is>
      </c>
      <c r="H29" s="11" t="inlineStr">
        <is>
          <t>English</t>
        </is>
      </c>
      <c r="I29" s="13" t="inlineStr">
        <is>
          <t>Inscriptions / கல்வெட்டு</t>
        </is>
      </c>
      <c r="J29" s="13" t="inlineStr">
        <is>
          <t>inscription</t>
        </is>
      </c>
      <c r="K29" s="11" t="inlineStr">
        <is>
          <t>Yes</t>
        </is>
      </c>
      <c r="L29" s="13" t="inlineStr">
        <is>
          <t>OpenAlex query: Tamil inscription Sri Lanka. Auto-collected 2026-10-14 (openalex); review.</t>
        </is>
      </c>
      <c r="M29" s="14" t="inlineStr">
        <is>
          <t>https://doi.org/10.4314/ijma.v3i21.3</t>
        </is>
      </c>
    </row>
    <row r="30">
      <c r="A30" s="7" t="inlineStr">
        <is>
          <t>RP-0029</t>
        </is>
      </c>
      <c r="B30" s="8" t="inlineStr">
        <is>
          <t>2024</t>
        </is>
      </c>
      <c r="C30" s="7" t="inlineStr">
        <is>
          <t>2024-12-29</t>
        </is>
      </c>
      <c r="D30" s="9" t="inlineStr">
        <is>
          <t>From Early Migrations to Colonial Encounters: Archaeological Research on the Mannar-Jaffna Seaboard, Sri Lanka</t>
        </is>
      </c>
      <c r="E30" s="9" t="inlineStr">
        <is>
          <t>Thilanka M. Siriwardana</t>
        </is>
      </c>
      <c r="F30" s="9" t="inlineStr">
        <is>
          <t>Ancient Lanka</t>
        </is>
      </c>
      <c r="G30" s="7" t="inlineStr">
        <is>
          <t>Article</t>
        </is>
      </c>
      <c r="H30" s="7" t="inlineStr">
        <is>
          <t>English</t>
        </is>
      </c>
      <c r="I30" s="9" t="inlineStr">
        <is>
          <t>Archaeology / தொல்லியல்</t>
        </is>
      </c>
      <c r="J30" s="9" t="inlineStr">
        <is>
          <t>archaeological</t>
        </is>
      </c>
      <c r="K30" s="7" t="inlineStr">
        <is>
          <t>Yes</t>
        </is>
      </c>
      <c r="L30" s="9" t="inlineStr">
        <is>
          <t>OpenAlex query: Jaffna archaeology. Auto-collected 2026-10-14 (openalex); review.</t>
        </is>
      </c>
      <c r="M30" s="10" t="inlineStr">
        <is>
          <t>https://doi.org/10.29173/anlk817</t>
        </is>
      </c>
    </row>
    <row r="31">
      <c r="A31" s="11" t="inlineStr">
        <is>
          <t>RP-0030</t>
        </is>
      </c>
      <c r="B31" s="12" t="inlineStr">
        <is>
          <t>2024</t>
        </is>
      </c>
      <c r="C31" s="11" t="inlineStr">
        <is>
          <t>2024-12-29</t>
        </is>
      </c>
      <c r="D31" s="13" t="inlineStr">
        <is>
          <t>Historical Demaḷa Mahā Sǣya of Polonnaruwa, Sri Lanka: An Archaeological Analysis of its Construction Technology</t>
        </is>
      </c>
      <c r="E31" s="13" t="inlineStr">
        <is>
          <t>Priyantha Marasinghe, Nimal Perera</t>
        </is>
      </c>
      <c r="F31" s="13" t="inlineStr">
        <is>
          <t>Ancient Lanka</t>
        </is>
      </c>
      <c r="G31" s="11" t="inlineStr">
        <is>
          <t>Journal article</t>
        </is>
      </c>
      <c r="H31" s="11" t="inlineStr">
        <is>
          <t>English</t>
        </is>
      </c>
      <c r="I31" s="13" t="inlineStr">
        <is>
          <t>Archaeology / தொல்லியல்</t>
        </is>
      </c>
      <c r="J31" s="13" t="inlineStr">
        <is>
          <t>archaeological</t>
        </is>
      </c>
      <c r="K31" s="11" t="inlineStr">
        <is>
          <t>Yes</t>
        </is>
      </c>
      <c r="L31" s="13" t="inlineStr">
        <is>
          <t>Crossref query: Polonnaruwa Tamil inscription. Auto-collected 2026-10-14 (crossref); review.</t>
        </is>
      </c>
      <c r="M31" s="14" t="inlineStr">
        <is>
          <t>https://doi.org/10.29173/anlk838</t>
        </is>
      </c>
    </row>
    <row r="32">
      <c r="A32" s="7" t="inlineStr">
        <is>
          <t>RP-0031</t>
        </is>
      </c>
      <c r="B32" s="8" t="inlineStr">
        <is>
          <t>2023</t>
        </is>
      </c>
      <c r="C32" s="7" t="n"/>
      <c r="D32" s="9" t="inlineStr">
        <is>
          <t>'Thana' given by Sri Lankan women as reflected through literature and inscription sources</t>
        </is>
      </c>
      <c r="E32" s="9" t="inlineStr">
        <is>
          <t>S. Aniththa</t>
        </is>
      </c>
      <c r="F32" s="9" t="inlineStr">
        <is>
          <t>National Conference on Historical Studies, University of Kelaniya</t>
        </is>
      </c>
      <c r="G32" s="7" t="inlineStr">
        <is>
          <t>Conference paper</t>
        </is>
      </c>
      <c r="H32" s="7" t="inlineStr">
        <is>
          <t>English</t>
        </is>
      </c>
      <c r="I32" s="9" t="inlineStr">
        <is>
          <t>Inscriptions / கல்வெட்டு</t>
        </is>
      </c>
      <c r="J32" s="9" t="inlineStr">
        <is>
          <t>inscriptions; donations</t>
        </is>
      </c>
      <c r="K32" s="7" t="inlineStr">
        <is>
          <t>Yes</t>
        </is>
      </c>
      <c r="L32" s="9" t="n"/>
      <c r="M32" s="10" t="inlineStr">
        <is>
          <t>https://www.his.jfn.ac.lk/index.php/__trashed/</t>
        </is>
      </c>
    </row>
    <row r="33">
      <c r="A33" s="11" t="inlineStr">
        <is>
          <t>RP-0032</t>
        </is>
      </c>
      <c r="B33" s="12" t="inlineStr">
        <is>
          <t>2023</t>
        </is>
      </c>
      <c r="C33" s="11" t="n"/>
      <c r="D33" s="13" t="inlineStr">
        <is>
          <t>Influence of Hinduism during the Gampola Kingdom - A Study Based on the Inscriptions</t>
        </is>
      </c>
      <c r="E33" s="13" t="inlineStr">
        <is>
          <t>Ushanthy Arunpirasanth</t>
        </is>
      </c>
      <c r="F33" s="13" t="inlineStr">
        <is>
          <t>2nd National Research Symposium on Social Sciences and Humanities, Rajarata University</t>
        </is>
      </c>
      <c r="G33" s="11" t="inlineStr">
        <is>
          <t>Conference paper</t>
        </is>
      </c>
      <c r="H33" s="11" t="inlineStr">
        <is>
          <t>English</t>
        </is>
      </c>
      <c r="I33" s="13" t="inlineStr">
        <is>
          <t>Inscriptions / கல்வெட்டு</t>
        </is>
      </c>
      <c r="J33" s="13" t="inlineStr">
        <is>
          <t>inscriptions; Gampola</t>
        </is>
      </c>
      <c r="K33" s="11" t="inlineStr">
        <is>
          <t>Yes</t>
        </is>
      </c>
      <c r="L33" s="13" t="n"/>
      <c r="M33" s="14" t="inlineStr">
        <is>
          <t>https://www.his.jfn.ac.lk/index.php/ms-mahalingam-ushanthy/</t>
        </is>
      </c>
    </row>
    <row r="34">
      <c r="A34" s="7" t="inlineStr">
        <is>
          <t>RP-0033</t>
        </is>
      </c>
      <c r="B34" s="8" t="inlineStr">
        <is>
          <t>2023</t>
        </is>
      </c>
      <c r="C34" s="7" t="n"/>
      <c r="D34" s="9" t="inlineStr">
        <is>
          <t>Integrative Approaches in Archaeology: The Imperative for Multidisciplinary Research</t>
        </is>
      </c>
      <c r="E34" s="9" t="inlineStr">
        <is>
          <t>A. Suganthan, P. Pushparatnam</t>
        </is>
      </c>
      <c r="F34" s="9" t="inlineStr">
        <is>
          <t>Nāgānanda International Journal of Humanities and Social Science, 1(1), pp. 1-13</t>
        </is>
      </c>
      <c r="G34" s="7" t="inlineStr">
        <is>
          <t>Journal article</t>
        </is>
      </c>
      <c r="H34" s="7" t="inlineStr">
        <is>
          <t>English</t>
        </is>
      </c>
      <c r="I34" s="9" t="inlineStr">
        <is>
          <t>Archaeology / தொல்லியல்</t>
        </is>
      </c>
      <c r="J34" s="9" t="inlineStr">
        <is>
          <t>archaeology; methodology</t>
        </is>
      </c>
      <c r="K34" s="7" t="inlineStr">
        <is>
          <t>Yes</t>
        </is>
      </c>
      <c r="L34" s="9" t="n"/>
      <c r="M34" s="10" t="inlineStr">
        <is>
          <t>https://www.his.jfn.ac.lk/index.php/mrs-ajiththa-suganthan/</t>
        </is>
      </c>
    </row>
    <row r="35">
      <c r="A35" s="11" t="inlineStr">
        <is>
          <t>RP-0034</t>
        </is>
      </c>
      <c r="B35" s="12" t="inlineStr">
        <is>
          <t>2023</t>
        </is>
      </c>
      <c r="C35" s="11" t="n"/>
      <c r="D35" s="13" t="inlineStr">
        <is>
          <t>Ipankadduwa Megalithic Centre and Museum</t>
        </is>
      </c>
      <c r="E35" s="13" t="inlineStr">
        <is>
          <t>Thulasika Dineshan</t>
        </is>
      </c>
      <c r="F35" s="13" t="inlineStr">
        <is>
          <t>INTSYM 2023, South Eastern University of Sri Lanka</t>
        </is>
      </c>
      <c r="G35" s="11" t="inlineStr">
        <is>
          <t>Conference paper</t>
        </is>
      </c>
      <c r="H35" s="11" t="inlineStr">
        <is>
          <t>English</t>
        </is>
      </c>
      <c r="I35" s="13" t="inlineStr">
        <is>
          <t>Archaeology / தொல்லியல்</t>
        </is>
      </c>
      <c r="J35" s="13" t="inlineStr">
        <is>
          <t>megalithic; Ibbankatuwa</t>
        </is>
      </c>
      <c r="K35" s="11" t="inlineStr">
        <is>
          <t>Yes</t>
        </is>
      </c>
      <c r="L35" s="13" t="n"/>
      <c r="M35" s="14" t="inlineStr">
        <is>
          <t>https://www.his.jfn.ac.lk/?p=1706</t>
        </is>
      </c>
    </row>
    <row r="36">
      <c r="A36" s="7" t="inlineStr">
        <is>
          <t>RP-0035</t>
        </is>
      </c>
      <c r="B36" s="8" t="inlineStr">
        <is>
          <t>2023</t>
        </is>
      </c>
      <c r="C36" s="7" t="n"/>
      <c r="D36" s="9" t="inlineStr">
        <is>
          <t>Some considerations on Dutch colonial architecture: The Kruys church at Jaffna Fort</t>
        </is>
      </c>
      <c r="E36" s="9" t="inlineStr">
        <is>
          <t>A. Suganthan</t>
        </is>
      </c>
      <c r="F36" s="9" t="inlineStr">
        <is>
          <t>Archaeology: South Asian Journal of Archaeology, University of Kelaniya</t>
        </is>
      </c>
      <c r="G36" s="7" t="inlineStr">
        <is>
          <t>Journal article</t>
        </is>
      </c>
      <c r="H36" s="7" t="inlineStr">
        <is>
          <t>English</t>
        </is>
      </c>
      <c r="I36" s="9" t="inlineStr">
        <is>
          <t>Archaeology / தொல்லியல்</t>
        </is>
      </c>
      <c r="J36" s="9" t="inlineStr">
        <is>
          <t>archaeology; Jaffna Fort</t>
        </is>
      </c>
      <c r="K36" s="7" t="inlineStr">
        <is>
          <t>Yes</t>
        </is>
      </c>
      <c r="L36" s="9" t="n"/>
      <c r="M36" s="10" t="inlineStr">
        <is>
          <t>https://www.his.jfn.ac.lk/index.php/mrs-ajiththa-suganthan/</t>
        </is>
      </c>
    </row>
    <row r="37">
      <c r="A37" s="11" t="inlineStr">
        <is>
          <t>RP-0036</t>
        </is>
      </c>
      <c r="B37" s="12" t="inlineStr">
        <is>
          <t>2023</t>
        </is>
      </c>
      <c r="C37" s="11" t="n"/>
      <c r="D37" s="13" t="inlineStr">
        <is>
          <t>Tevaratiyars (Women of Temples) in Sri Lanka: A Study Based on Epigraphy</t>
        </is>
      </c>
      <c r="E37" s="13" t="inlineStr">
        <is>
          <t>S. Aniththa</t>
        </is>
      </c>
      <c r="F37" s="13" t="inlineStr">
        <is>
          <t>1st International Conference on Gender Studies, University of Sri Jayewardenepura</t>
        </is>
      </c>
      <c r="G37" s="11" t="inlineStr">
        <is>
          <t>Conference paper</t>
        </is>
      </c>
      <c r="H37" s="11" t="inlineStr">
        <is>
          <t>English</t>
        </is>
      </c>
      <c r="I37" s="13" t="inlineStr">
        <is>
          <t>Inscriptions / கல்வெட்டு</t>
        </is>
      </c>
      <c r="J37" s="13" t="inlineStr">
        <is>
          <t>epigraphy; கல்வெட்டு</t>
        </is>
      </c>
      <c r="K37" s="11" t="inlineStr">
        <is>
          <t>Yes</t>
        </is>
      </c>
      <c r="L37" s="13" t="n"/>
      <c r="M37" s="14" t="inlineStr">
        <is>
          <t>https://www.his.jfn.ac.lk/index.php/__trashed/</t>
        </is>
      </c>
    </row>
    <row r="38">
      <c r="A38" s="7" t="inlineStr">
        <is>
          <t>RP-0037</t>
        </is>
      </c>
      <c r="B38" s="8" t="inlineStr">
        <is>
          <t>2023</t>
        </is>
      </c>
      <c r="C38" s="7" t="n"/>
      <c r="D38" s="9" t="inlineStr">
        <is>
          <t>The Role of Brahmins in the Sinhalese Monarchy: A Study Based on the Kingdom of Anuradhapura</t>
        </is>
      </c>
      <c r="E38" s="9" t="inlineStr">
        <is>
          <t>S. Aniththa</t>
        </is>
      </c>
      <c r="F38" s="9" t="inlineStr">
        <is>
          <t>2nd National Research Symposium, Rajarata University of Sri Lanka</t>
        </is>
      </c>
      <c r="G38" s="7" t="inlineStr">
        <is>
          <t>Conference paper</t>
        </is>
      </c>
      <c r="H38" s="7" t="inlineStr">
        <is>
          <t>English</t>
        </is>
      </c>
      <c r="I38" s="9" t="inlineStr">
        <is>
          <t>Inscriptions / கல்வெட்டு; Brahmi / பிராமி</t>
        </is>
      </c>
      <c r="J38" s="9" t="inlineStr">
        <is>
          <t>Brahmins; inscriptions</t>
        </is>
      </c>
      <c r="K38" s="7" t="inlineStr">
        <is>
          <t>Yes</t>
        </is>
      </c>
      <c r="L38" s="9" t="n"/>
      <c r="M38" s="10" t="inlineStr">
        <is>
          <t>https://www.his.jfn.ac.lk/index.php/__trashed/</t>
        </is>
      </c>
    </row>
    <row r="39">
      <c r="A39" s="11" t="inlineStr">
        <is>
          <t>RP-0038</t>
        </is>
      </c>
      <c r="B39" s="12" t="inlineStr">
        <is>
          <t>2023</t>
        </is>
      </c>
      <c r="C39" s="11" t="n"/>
      <c r="D39" s="13" t="inlineStr">
        <is>
          <t>The Role of Tamil Officers in Sinhalese Monarchy up to 13th Century A.D.: A Review</t>
        </is>
      </c>
      <c r="E39" s="13" t="inlineStr">
        <is>
          <t>S. Aniththa</t>
        </is>
      </c>
      <c r="F39" s="13" t="inlineStr">
        <is>
          <t>11th International Symposium, South Eastern University of Sri Lanka</t>
        </is>
      </c>
      <c r="G39" s="11" t="inlineStr">
        <is>
          <t>Conference paper</t>
        </is>
      </c>
      <c r="H39" s="11" t="inlineStr">
        <is>
          <t>English</t>
        </is>
      </c>
      <c r="I39" s="13" t="inlineStr">
        <is>
          <t>Inscriptions / கல்வெட்டு</t>
        </is>
      </c>
      <c r="J39" s="13" t="inlineStr">
        <is>
          <t>inscriptions; officials</t>
        </is>
      </c>
      <c r="K39" s="11" t="inlineStr">
        <is>
          <t>Yes</t>
        </is>
      </c>
      <c r="L39" s="13" t="n"/>
      <c r="M39" s="14" t="inlineStr">
        <is>
          <t>https://www.his.jfn.ac.lk/index.php/__trashed/</t>
        </is>
      </c>
    </row>
    <row r="40">
      <c r="A40" s="7" t="inlineStr">
        <is>
          <t>RP-0039</t>
        </is>
      </c>
      <c r="B40" s="8" t="inlineStr">
        <is>
          <t>2023</t>
        </is>
      </c>
      <c r="C40" s="7" t="inlineStr">
        <is>
          <t>2023-04-01</t>
        </is>
      </c>
      <c r="D40" s="9" t="inlineStr">
        <is>
          <t>Kalinga in Sri Lankan Historiography</t>
        </is>
      </c>
      <c r="E40" s="9" t="inlineStr">
        <is>
          <t>Chrisdina Nirojini Mosasrupan</t>
        </is>
      </c>
      <c r="F40" s="9" t="inlineStr">
        <is>
          <t>Shanlax International Journal of Tamil Research</t>
        </is>
      </c>
      <c r="G40" s="7" t="inlineStr">
        <is>
          <t>Journal article</t>
        </is>
      </c>
      <c r="H40" s="7" t="inlineStr">
        <is>
          <t>Tamil</t>
        </is>
      </c>
      <c r="I40" s="9" t="inlineStr">
        <is>
          <t>Inscriptions / கல்வெட்டு</t>
        </is>
      </c>
      <c r="J40" s="9" t="inlineStr">
        <is>
          <t>Kalinga Magha; inscriptions</t>
        </is>
      </c>
      <c r="K40" s="7" t="inlineStr">
        <is>
          <t>Yes</t>
        </is>
      </c>
      <c r="L40" s="9" t="inlineStr">
        <is>
          <t>Year to verify</t>
        </is>
      </c>
      <c r="M40" s="10" t="inlineStr">
        <is>
          <t>https://shanlaxjournals.in/journals/index.php/tamil/article/view/6193</t>
        </is>
      </c>
    </row>
    <row r="41">
      <c r="A41" s="11" t="inlineStr">
        <is>
          <t>RP-0040</t>
        </is>
      </c>
      <c r="B41" s="12" t="inlineStr">
        <is>
          <t>2023</t>
        </is>
      </c>
      <c r="C41" s="11" t="inlineStr">
        <is>
          <t>2023-04-01</t>
        </is>
      </c>
      <c r="D41" s="13" t="inlineStr">
        <is>
          <t>Role of Brahmins in Society of Eastern Province, Sri Lanka</t>
        </is>
      </c>
      <c r="E41" s="13" t="inlineStr">
        <is>
          <t>Gowry Luxmykanthan</t>
        </is>
      </c>
      <c r="F41" s="13" t="inlineStr">
        <is>
          <t>Shanlax International Journal of Tamil Research</t>
        </is>
      </c>
      <c r="G41" s="11" t="inlineStr">
        <is>
          <t>Article</t>
        </is>
      </c>
      <c r="H41" s="11" t="inlineStr">
        <is>
          <t>English</t>
        </is>
      </c>
      <c r="I41" s="13" t="inlineStr">
        <is>
          <t>Brahmi / பிராமி</t>
        </is>
      </c>
      <c r="J41" s="13" t="inlineStr">
        <is>
          <t>brahmi</t>
        </is>
      </c>
      <c r="K41" s="11" t="inlineStr">
        <is>
          <t>Yes</t>
        </is>
      </c>
      <c r="L41" s="13" t="inlineStr">
        <is>
          <t>OpenAlex query: Tamil inscription Sri Lanka. Auto-collected 2026-10-14 (openalex); review.</t>
        </is>
      </c>
      <c r="M41" s="14" t="inlineStr">
        <is>
          <t>https://doi.org/10.34293/tamil.v7i4.6183</t>
        </is>
      </c>
    </row>
    <row r="42">
      <c r="A42" s="7" t="inlineStr">
        <is>
          <t>RP-0041</t>
        </is>
      </c>
      <c r="B42" s="8" t="inlineStr">
        <is>
          <t>2023</t>
        </is>
      </c>
      <c r="C42" s="7" t="inlineStr">
        <is>
          <t>2023-05-31</t>
        </is>
      </c>
      <c r="D42" s="9" t="inlineStr">
        <is>
          <t>EXAMINING THE MUSLIM NUMISMATIC EVIDENCE IN SRI LANKA TO COMPREHEND THE MUSLIM HERITAGE</t>
        </is>
      </c>
      <c r="E42" s="9" t="inlineStr">
        <is>
          <t>Jesmil Abdul Raheem, Shakirullah</t>
        </is>
      </c>
      <c r="F42" s="9" t="inlineStr">
        <is>
          <t>Pakistan Journal of Social Research</t>
        </is>
      </c>
      <c r="G42" s="7" t="inlineStr">
        <is>
          <t>Article</t>
        </is>
      </c>
      <c r="H42" s="7" t="inlineStr">
        <is>
          <t>English</t>
        </is>
      </c>
      <c r="I42" s="9" t="inlineStr">
        <is>
          <t>Archaeology / தொல்லியல்; Coins / நாணயம்</t>
        </is>
      </c>
      <c r="J42" s="9" t="n"/>
      <c r="K42" s="7" t="inlineStr">
        <is>
          <t>Yes</t>
        </is>
      </c>
      <c r="L42" s="9" t="inlineStr">
        <is>
          <t>OpenAlex query: Jaffna archaeology. Auto-collected 2026-10-14 (openalex); review.</t>
        </is>
      </c>
      <c r="M42" s="10" t="inlineStr">
        <is>
          <t>https://doi.org/10.52567/pjsr.v5i02.1343</t>
        </is>
      </c>
    </row>
    <row r="43">
      <c r="A43" s="11" t="inlineStr">
        <is>
          <t>RP-0042</t>
        </is>
      </c>
      <c r="B43" s="12" t="inlineStr">
        <is>
          <t>2023</t>
        </is>
      </c>
      <c r="C43" s="11" t="inlineStr">
        <is>
          <t>2023-12-28</t>
        </is>
      </c>
      <c r="D43" s="13" t="inlineStr">
        <is>
          <t>தரகணமல கயல மரபல பணணடயரகள - ஒர வரலறற நகக (Temple Girls in Trincomalee Tradition - A Historical Perspective)</t>
        </is>
      </c>
      <c r="E43" s="13" t="inlineStr">
        <is>
          <t>Chrisdina Nirojini Mosasrupan, Gowry Luxmykanthan</t>
        </is>
      </c>
      <c r="F43" s="13" t="inlineStr">
        <is>
          <t>Journal of Tamil Peraivu</t>
        </is>
      </c>
      <c r="G43" s="11" t="inlineStr">
        <is>
          <t>Article</t>
        </is>
      </c>
      <c r="H43" s="11" t="inlineStr">
        <is>
          <t>English</t>
        </is>
      </c>
      <c r="I43" s="13" t="n"/>
      <c r="J43" s="13" t="n"/>
      <c r="K43" s="11" t="inlineStr">
        <is>
          <t>Yes</t>
        </is>
      </c>
      <c r="L43" s="13" t="inlineStr">
        <is>
          <t>OpenAlex query: Polonnaruwa Tamil inscription. Auto-collected 2026-10-14 (openalex); review.</t>
        </is>
      </c>
      <c r="M43" s="14" t="inlineStr">
        <is>
          <t>https://doi.org/10.22452/jtp.vol12no2.10</t>
        </is>
      </c>
    </row>
    <row r="44">
      <c r="A44" s="7" t="inlineStr">
        <is>
          <t>RP-0043</t>
        </is>
      </c>
      <c r="B44" s="8" t="inlineStr">
        <is>
          <t>2023</t>
        </is>
      </c>
      <c r="C44" s="7" t="inlineStr">
        <is>
          <t>2023-12-30</t>
        </is>
      </c>
      <c r="D44" s="9" t="inlineStr">
        <is>
          <t>Reconstruction of The Historical Landscape of Colombo with Archaeological References</t>
        </is>
      </c>
      <c r="E44" s="9" t="inlineStr">
        <is>
          <t>S.D.Y. Jayarathne, Charmalie Nahallage</t>
        </is>
      </c>
      <c r="F44" s="9" t="inlineStr">
        <is>
          <t>TRIVALENT ත්‍රිසංයුජ Journal of Archaeology Tourism &amp; Anthropology</t>
        </is>
      </c>
      <c r="G44" s="7" t="inlineStr">
        <is>
          <t>Article</t>
        </is>
      </c>
      <c r="H44" s="7" t="inlineStr">
        <is>
          <t>English</t>
        </is>
      </c>
      <c r="I44" s="9" t="inlineStr">
        <is>
          <t>Archaeology / தொல்லியல்</t>
        </is>
      </c>
      <c r="J44" s="9" t="inlineStr">
        <is>
          <t>archaeological</t>
        </is>
      </c>
      <c r="K44" s="7" t="inlineStr">
        <is>
          <t>Yes</t>
        </is>
      </c>
      <c r="L44" s="9" t="inlineStr">
        <is>
          <t>OpenAlex query: Jaffna archaeology. Auto-collected 2026-10-14 (openalex); review.</t>
        </is>
      </c>
      <c r="M44" s="10" t="inlineStr">
        <is>
          <t>https://doi.org/10.4038/tjata.v4i1.91</t>
        </is>
      </c>
    </row>
    <row r="45">
      <c r="A45" s="11" t="inlineStr">
        <is>
          <t>RP-0044</t>
        </is>
      </c>
      <c r="B45" s="12" t="inlineStr">
        <is>
          <t>2022</t>
        </is>
      </c>
      <c r="C45" s="11" t="n"/>
      <c r="D45" s="13" t="inlineStr">
        <is>
          <t>Ancient Ceylon No. 27 (Journal of the Department of Archaeology)</t>
        </is>
      </c>
      <c r="E45" s="13" t="inlineStr">
        <is>
          <t>Department of Archaeology</t>
        </is>
      </c>
      <c r="F45" s="13" t="inlineStr">
        <is>
          <t>Department of Archaeology, Sri Lanka</t>
        </is>
      </c>
      <c r="G45" s="11" t="inlineStr">
        <is>
          <t>Journal article</t>
        </is>
      </c>
      <c r="H45" s="11" t="inlineStr">
        <is>
          <t>English</t>
        </is>
      </c>
      <c r="I45" s="13" t="inlineStr">
        <is>
          <t>Inscriptions / கல்வெட்டு; Archaeology / தொல்லியல்</t>
        </is>
      </c>
      <c r="J45" s="13" t="inlineStr">
        <is>
          <t>archaeology journal; inscriptions</t>
        </is>
      </c>
      <c r="K45" s="11" t="inlineStr">
        <is>
          <t>Yes</t>
        </is>
      </c>
      <c r="L45" s="13" t="inlineStr">
        <is>
          <t>Upload date 2022</t>
        </is>
      </c>
      <c r="M45" s="14" t="inlineStr">
        <is>
          <t>https://archaeology.gov.lk/media/attachments/2022/09/07/ac27updated.pdf</t>
        </is>
      </c>
    </row>
    <row r="46">
      <c r="A46" s="7" t="inlineStr">
        <is>
          <t>RP-0045</t>
        </is>
      </c>
      <c r="B46" s="8" t="inlineStr">
        <is>
          <t>2022</t>
        </is>
      </c>
      <c r="C46" s="7" t="n"/>
      <c r="D46" s="9" t="inlineStr">
        <is>
          <t>Archaeological Surveys and Their Importance in Respect of Northern Sri Lanka</t>
        </is>
      </c>
      <c r="E46" s="9" t="inlineStr">
        <is>
          <t>S. Sajitharan</t>
        </is>
      </c>
      <c r="F46" s="9" t="inlineStr">
        <is>
          <t>IntSym 2022, South Eastern University of Sri Lanka</t>
        </is>
      </c>
      <c r="G46" s="7" t="inlineStr">
        <is>
          <t>Conference paper</t>
        </is>
      </c>
      <c r="H46" s="7" t="inlineStr">
        <is>
          <t>English</t>
        </is>
      </c>
      <c r="I46" s="9" t="inlineStr">
        <is>
          <t>Archaeology / தொல்லியல்</t>
        </is>
      </c>
      <c r="J46" s="9" t="inlineStr">
        <is>
          <t>archaeological survey</t>
        </is>
      </c>
      <c r="K46" s="7" t="inlineStr">
        <is>
          <t>Yes</t>
        </is>
      </c>
      <c r="L46" s="9" t="n"/>
      <c r="M46" s="10" t="inlineStr">
        <is>
          <t>https://www.his.jfn.ac.lk/?p=791</t>
        </is>
      </c>
    </row>
    <row r="47">
      <c r="A47" s="11" t="inlineStr">
        <is>
          <t>RP-0046</t>
        </is>
      </c>
      <c r="B47" s="12" t="inlineStr">
        <is>
          <t>2022</t>
        </is>
      </c>
      <c r="C47" s="11" t="n"/>
      <c r="D47" s="13" t="inlineStr">
        <is>
          <t>Pre-colonial Monuments in Jaffna, Sri Lanka</t>
        </is>
      </c>
      <c r="E47" s="13" t="inlineStr">
        <is>
          <t>A. Suganthan</t>
        </is>
      </c>
      <c r="F47" s="13" t="inlineStr">
        <is>
          <t>Nagananda International Journal of Humanities &amp; Social Sciences</t>
        </is>
      </c>
      <c r="G47" s="11" t="inlineStr">
        <is>
          <t>Journal article</t>
        </is>
      </c>
      <c r="H47" s="11" t="inlineStr">
        <is>
          <t>English</t>
        </is>
      </c>
      <c r="I47" s="13" t="inlineStr">
        <is>
          <t>Archaeology / தொல்லியல்</t>
        </is>
      </c>
      <c r="J47" s="13" t="inlineStr">
        <is>
          <t>monuments; Jaffna</t>
        </is>
      </c>
      <c r="K47" s="11" t="inlineStr">
        <is>
          <t>Yes</t>
        </is>
      </c>
      <c r="L47" s="13" t="n"/>
      <c r="M47" s="14" t="inlineStr">
        <is>
          <t>https://www.his.jfn.ac.lk/index.php/mrs-ajiththa-suganthan/</t>
        </is>
      </c>
    </row>
    <row r="48">
      <c r="A48" s="7" t="inlineStr">
        <is>
          <t>RP-0047</t>
        </is>
      </c>
      <c r="B48" s="8" t="inlineStr">
        <is>
          <t>2022</t>
        </is>
      </c>
      <c r="C48" s="7" t="n"/>
      <c r="D48" s="9" t="inlineStr">
        <is>
          <t>Socio-Economic Conditions of Vanni Region through the Brahmi Inscriptions - Based on Vavuniya Region</t>
        </is>
      </c>
      <c r="E48" s="9" t="inlineStr">
        <is>
          <t>Thulasika Dineshan</t>
        </is>
      </c>
      <c r="F48" s="9" t="inlineStr">
        <is>
          <t>INTSYM 2022, South Eastern University of Sri Lanka</t>
        </is>
      </c>
      <c r="G48" s="7" t="inlineStr">
        <is>
          <t>Conference paper</t>
        </is>
      </c>
      <c r="H48" s="7" t="inlineStr">
        <is>
          <t>English</t>
        </is>
      </c>
      <c r="I48" s="9" t="inlineStr">
        <is>
          <t>Inscriptions / கல்வெட்டு; Brahmi / பிராமி</t>
        </is>
      </c>
      <c r="J48" s="9" t="inlineStr">
        <is>
          <t>பிராமி; கல்வெட்டு; Vanni; Vavuniya</t>
        </is>
      </c>
      <c r="K48" s="7" t="inlineStr">
        <is>
          <t>Yes</t>
        </is>
      </c>
      <c r="L48" s="9" t="n"/>
      <c r="M48" s="10" t="inlineStr">
        <is>
          <t>https://www.his.jfn.ac.lk/?p=1706</t>
        </is>
      </c>
    </row>
    <row r="49">
      <c r="A49" s="11" t="inlineStr">
        <is>
          <t>RP-0048</t>
        </is>
      </c>
      <c r="B49" s="12" t="inlineStr">
        <is>
          <t>2022</t>
        </is>
      </c>
      <c r="C49" s="11" t="inlineStr">
        <is>
          <t>2022-01-01</t>
        </is>
      </c>
      <c r="D49" s="13" t="inlineStr">
        <is>
          <t>INDIA – SRI LANKA BUDDHIST CULTURAL RELATIONS (SIXTH CENTURY CE TO THE TWELFTH CENTURY CE)</t>
        </is>
      </c>
      <c r="E49" s="13" t="inlineStr">
        <is>
          <t>Sumudu Dharmarathna</t>
        </is>
      </c>
      <c r="F49" s="13" t="inlineStr">
        <is>
          <t>JOURNAL OF HISTORY ART AND ARCHAEOLOGY</t>
        </is>
      </c>
      <c r="G49" s="11" t="inlineStr">
        <is>
          <t>Article</t>
        </is>
      </c>
      <c r="H49" s="11" t="inlineStr">
        <is>
          <t>English</t>
        </is>
      </c>
      <c r="I49" s="13" t="n"/>
      <c r="J49" s="13" t="n"/>
      <c r="K49" s="11" t="inlineStr">
        <is>
          <t>Yes</t>
        </is>
      </c>
      <c r="L49" s="13" t="inlineStr">
        <is>
          <t>OpenAlex query: Polonnaruwa Tamil inscription. Auto-collected 2026-10-14 (openalex); review.</t>
        </is>
      </c>
      <c r="M49" s="14" t="inlineStr">
        <is>
          <t>https://doi.org/10.47509/jhaa.2022.v02i01.06</t>
        </is>
      </c>
    </row>
    <row r="50">
      <c r="A50" s="7" t="inlineStr">
        <is>
          <t>RP-0049</t>
        </is>
      </c>
      <c r="B50" s="8" t="inlineStr">
        <is>
          <t>2022</t>
        </is>
      </c>
      <c r="C50" s="7" t="inlineStr">
        <is>
          <t>2022-02-25</t>
        </is>
      </c>
      <c r="D50" s="9" t="inlineStr">
        <is>
          <t>Visual Inscriptions upon Landscapes of Loss</t>
        </is>
      </c>
      <c r="E50" s="9" t="inlineStr">
        <is>
          <t>Malathi de Alwis</t>
        </is>
      </c>
      <c r="F50" s="9" t="inlineStr">
        <is>
          <t>Routledge eBooks</t>
        </is>
      </c>
      <c r="G50" s="7" t="inlineStr">
        <is>
          <t>Book chapter</t>
        </is>
      </c>
      <c r="H50" s="7" t="inlineStr">
        <is>
          <t>English</t>
        </is>
      </c>
      <c r="I50" s="9" t="inlineStr">
        <is>
          <t>Inscriptions / கல்வெட்டு</t>
        </is>
      </c>
      <c r="J50" s="9" t="inlineStr">
        <is>
          <t>inscription; inscriptions</t>
        </is>
      </c>
      <c r="K50" s="7" t="inlineStr">
        <is>
          <t>Yes</t>
        </is>
      </c>
      <c r="L50" s="9" t="inlineStr">
        <is>
          <t>OpenAlex query: Tamil inscription Sri Lanka. Auto-collected 2026-10-14 (openalex); review.</t>
        </is>
      </c>
      <c r="M50" s="10" t="inlineStr">
        <is>
          <t>https://doi.org/10.4324/9781003276753-9</t>
        </is>
      </c>
    </row>
    <row r="51">
      <c r="A51" s="11" t="inlineStr">
        <is>
          <t>RP-0050</t>
        </is>
      </c>
      <c r="B51" s="12" t="inlineStr">
        <is>
          <t>2022</t>
        </is>
      </c>
      <c r="C51" s="11" t="inlineStr">
        <is>
          <t>2022-04-25</t>
        </is>
      </c>
      <c r="D51" s="13" t="inlineStr">
        <is>
          <t>THE “DEVANAPIYA” KINGS AS TRACED FROM LITHIC ‘BRAHMI’ INSCRIPTIONS OF SRI LANKA</t>
        </is>
      </c>
      <c r="E51" s="13" t="inlineStr">
        <is>
          <t>, ID Manthilake</t>
        </is>
      </c>
      <c r="F51" s="13" t="inlineStr">
        <is>
          <t>Proceedings of the 2nd International Conference on Archaeology, History and Heritage</t>
        </is>
      </c>
      <c r="G51" s="11" t="inlineStr">
        <is>
          <t>Proceedings article</t>
        </is>
      </c>
      <c r="H51" s="11" t="inlineStr">
        <is>
          <t>English</t>
        </is>
      </c>
      <c r="I51" s="13" t="inlineStr">
        <is>
          <t>Inscriptions / கல்வெட்டு; Brahmi / பிராமி</t>
        </is>
      </c>
      <c r="J51" s="13" t="inlineStr">
        <is>
          <t>inscription; inscriptions; brahmi</t>
        </is>
      </c>
      <c r="K51" s="11" t="inlineStr">
        <is>
          <t>Yes</t>
        </is>
      </c>
      <c r="L51" s="13" t="inlineStr">
        <is>
          <t>Crossref query: Tamil Brahmi Sri Lanka. Auto-collected 2026-10-14 (crossref); review.</t>
        </is>
      </c>
      <c r="M51" s="14" t="inlineStr">
        <is>
          <t>https://doi.org/10.17501/26510243.2021.2101</t>
        </is>
      </c>
    </row>
    <row r="52">
      <c r="A52" s="7" t="inlineStr">
        <is>
          <t>RP-0051</t>
        </is>
      </c>
      <c r="B52" s="8" t="inlineStr">
        <is>
          <t>2022</t>
        </is>
      </c>
      <c r="C52" s="7" t="inlineStr">
        <is>
          <t>2022-08-27</t>
        </is>
      </c>
      <c r="D52" s="9" t="inlineStr">
        <is>
          <t>A study of the Dathan Inscription</t>
        </is>
      </c>
      <c r="E52" s="9" t="inlineStr">
        <is>
          <t>Murugu Thayanithy</t>
        </is>
      </c>
      <c r="F52" s="9" t="inlineStr">
        <is>
          <t>Indian Journal of Tamil</t>
        </is>
      </c>
      <c r="G52" s="7" t="inlineStr">
        <is>
          <t>Journal article</t>
        </is>
      </c>
      <c r="H52" s="7" t="inlineStr">
        <is>
          <t>English</t>
        </is>
      </c>
      <c r="I52" s="9" t="inlineStr">
        <is>
          <t>Inscriptions / கல்வெட்டு</t>
        </is>
      </c>
      <c r="J52" s="9" t="inlineStr">
        <is>
          <t>inscription</t>
        </is>
      </c>
      <c r="K52" s="7" t="inlineStr">
        <is>
          <t>Yes</t>
        </is>
      </c>
      <c r="L52" s="9" t="inlineStr">
        <is>
          <t>Crossref query: Polonnaruwa Tamil inscription. Auto-collected 2026-10-14 (crossref); review.</t>
        </is>
      </c>
      <c r="M52" s="10" t="inlineStr">
        <is>
          <t>https://doi.org/10.54392/ijot2236</t>
        </is>
      </c>
    </row>
    <row r="53">
      <c r="A53" s="11" t="inlineStr">
        <is>
          <t>RP-0052</t>
        </is>
      </c>
      <c r="B53" s="12" t="inlineStr">
        <is>
          <t>2022</t>
        </is>
      </c>
      <c r="C53" s="11" t="inlineStr">
        <is>
          <t>2022-09-22</t>
        </is>
      </c>
      <c r="D53" s="13" t="inlineStr">
        <is>
          <t>Early Iron Production in Sri Lanka: An Archaeological and Geochemical Approach to the Yodhawewa Metallurgical Settlement</t>
        </is>
      </c>
      <c r="E53" s="13" t="inlineStr">
        <is>
          <t>Wijepala Mudiyanselage Tikiri Bandara Wijepala</t>
        </is>
      </c>
      <c r="F53" s="13" t="inlineStr">
        <is>
          <t>Institutional Repositories DataBase (IRDB)</t>
        </is>
      </c>
      <c r="G53" s="11" t="inlineStr">
        <is>
          <t>Dissertation</t>
        </is>
      </c>
      <c r="H53" s="11" t="inlineStr">
        <is>
          <t>English</t>
        </is>
      </c>
      <c r="I53" s="13" t="inlineStr">
        <is>
          <t>Archaeology / தொல்லியல்</t>
        </is>
      </c>
      <c r="J53" s="13" t="inlineStr">
        <is>
          <t>archaeological</t>
        </is>
      </c>
      <c r="K53" s="11" t="inlineStr">
        <is>
          <t>Yes</t>
        </is>
      </c>
      <c r="L53" s="13" t="inlineStr">
        <is>
          <t>OpenAlex query: Tamil Brahmi Sri Lanka. Auto-collected 2026-10-14 (openalex); review.</t>
        </is>
      </c>
      <c r="M53" s="14" t="inlineStr">
        <is>
          <t>https://ir.lib.shimane-u.ac.jp/54548</t>
        </is>
      </c>
    </row>
    <row r="54">
      <c r="A54" s="7" t="inlineStr">
        <is>
          <t>RP-0053</t>
        </is>
      </c>
      <c r="B54" s="8" t="inlineStr">
        <is>
          <t>2022</t>
        </is>
      </c>
      <c r="C54" s="7" t="inlineStr">
        <is>
          <t>2022-10-21</t>
        </is>
      </c>
      <c r="D54" s="9" t="inlineStr">
        <is>
          <t>Dr. Siran Deraniyagala: The Archaeologist who Connected North and South Sri Lanka</t>
        </is>
      </c>
      <c r="E54" s="9" t="inlineStr">
        <is>
          <t>P. Pushparatnam</t>
        </is>
      </c>
      <c r="F54" s="9" t="inlineStr">
        <is>
          <t>Mount Royal University journal (ANLK)</t>
        </is>
      </c>
      <c r="G54" s="7" t="inlineStr">
        <is>
          <t>Article</t>
        </is>
      </c>
      <c r="H54" s="7" t="inlineStr">
        <is>
          <t>English</t>
        </is>
      </c>
      <c r="I54" s="9" t="inlineStr">
        <is>
          <t>Archaeology / தொல்லியல்</t>
        </is>
      </c>
      <c r="J54" s="9" t="inlineStr">
        <is>
          <t>archaeology; Jaffna</t>
        </is>
      </c>
      <c r="K54" s="7" t="inlineStr">
        <is>
          <t>Yes</t>
        </is>
      </c>
      <c r="L54" s="9" t="n"/>
      <c r="M54" s="10" t="inlineStr">
        <is>
          <t>https://mrujs.mtroyal.ca/index.php/anlk/article/view/634</t>
        </is>
      </c>
    </row>
    <row r="55">
      <c r="A55" s="11" t="inlineStr">
        <is>
          <t>RP-0054</t>
        </is>
      </c>
      <c r="B55" s="12" t="inlineStr">
        <is>
          <t>2022</t>
        </is>
      </c>
      <c r="C55" s="11" t="inlineStr">
        <is>
          <t>2022-12-01</t>
        </is>
      </c>
      <c r="D55" s="13" t="inlineStr">
        <is>
          <t>Megalithic Cemeteries and Land Use in the Yān Oya River Basin of Sri Lanka</t>
        </is>
      </c>
      <c r="E55" s="13" t="inlineStr">
        <is>
          <t>Ranjith Bandara Dissanayake</t>
        </is>
      </c>
      <c r="F55" s="13" t="inlineStr">
        <is>
          <t>Ancient Lanka</t>
        </is>
      </c>
      <c r="G55" s="11" t="inlineStr">
        <is>
          <t>Article</t>
        </is>
      </c>
      <c r="H55" s="11" t="inlineStr">
        <is>
          <t>English</t>
        </is>
      </c>
      <c r="I55" s="13" t="inlineStr">
        <is>
          <t>Archaeology / தொல்லியல்</t>
        </is>
      </c>
      <c r="J55" s="13" t="inlineStr">
        <is>
          <t>megalithic</t>
        </is>
      </c>
      <c r="K55" s="11" t="inlineStr">
        <is>
          <t>Yes</t>
        </is>
      </c>
      <c r="L55" s="13" t="inlineStr">
        <is>
          <t>OpenAlex query: Tamil Brahmi Sri Lanka. Auto-collected 2026-10-14 (openalex); review.</t>
        </is>
      </c>
      <c r="M55" s="14" t="inlineStr">
        <is>
          <t>https://doi.org/10.29173/anlk655</t>
        </is>
      </c>
    </row>
    <row r="56">
      <c r="A56" s="7" t="inlineStr">
        <is>
          <t>RP-0055</t>
        </is>
      </c>
      <c r="B56" s="8" t="inlineStr">
        <is>
          <t>2022</t>
        </is>
      </c>
      <c r="C56" s="7" t="inlineStr">
        <is>
          <t>2022-12-06</t>
        </is>
      </c>
      <c r="D56" s="9" t="inlineStr">
        <is>
          <t>Evidence-Based Anthropological Exploration of Lanka's People</t>
        </is>
      </c>
      <c r="E56" s="9" t="inlineStr">
        <is>
          <t>Samanti Kulatilake</t>
        </is>
      </c>
      <c r="F56" s="9" t="inlineStr">
        <is>
          <t>Ancient Lanka</t>
        </is>
      </c>
      <c r="G56" s="7" t="inlineStr">
        <is>
          <t>Article</t>
        </is>
      </c>
      <c r="H56" s="7" t="inlineStr">
        <is>
          <t>English</t>
        </is>
      </c>
      <c r="I56" s="9" t="n"/>
      <c r="J56" s="9" t="n"/>
      <c r="K56" s="7" t="inlineStr">
        <is>
          <t>Yes</t>
        </is>
      </c>
      <c r="L56" s="9" t="inlineStr">
        <is>
          <t>OpenAlex query: Tamil Brahmi Sri Lanka. Auto-collected 2026-10-14 (openalex); review.</t>
        </is>
      </c>
      <c r="M56" s="10" t="inlineStr">
        <is>
          <t>https://doi.org/10.29173/anlk635</t>
        </is>
      </c>
    </row>
    <row r="57">
      <c r="A57" s="11" t="inlineStr">
        <is>
          <t>RP-0056</t>
        </is>
      </c>
      <c r="B57" s="12" t="inlineStr">
        <is>
          <t>2022</t>
        </is>
      </c>
      <c r="C57" s="11" t="inlineStr">
        <is>
          <t>2022-12-07</t>
        </is>
      </c>
      <c r="D57" s="13" t="inlineStr">
        <is>
          <t>Maritime Trade Pattern and Early Urbanism in the Jaffna Peninsula of Northern Sri Lanka</t>
        </is>
      </c>
      <c r="E57" s="13" t="inlineStr">
        <is>
          <t>Prishanta Gunawardhana</t>
        </is>
      </c>
      <c r="F57" s="13" t="inlineStr">
        <is>
          <t>Ancient Lanka</t>
        </is>
      </c>
      <c r="G57" s="11" t="inlineStr">
        <is>
          <t>Article</t>
        </is>
      </c>
      <c r="H57" s="11" t="inlineStr">
        <is>
          <t>English</t>
        </is>
      </c>
      <c r="I57" s="13" t="n"/>
      <c r="J57" s="13" t="n"/>
      <c r="K57" s="11" t="inlineStr">
        <is>
          <t>Yes</t>
        </is>
      </c>
      <c r="L57" s="13" t="inlineStr">
        <is>
          <t>OpenAlex query: Tamil Brahmi Sri Lanka. Auto-collected 2026-10-14 (openalex); review.</t>
        </is>
      </c>
      <c r="M57" s="14" t="inlineStr">
        <is>
          <t>https://doi.org/10.29173/anlk658</t>
        </is>
      </c>
    </row>
    <row r="58">
      <c r="A58" s="7" t="inlineStr">
        <is>
          <t>RP-0057</t>
        </is>
      </c>
      <c r="B58" s="8" t="inlineStr">
        <is>
          <t>2021</t>
        </is>
      </c>
      <c r="C58" s="7" t="n"/>
      <c r="D58" s="9" t="inlineStr">
        <is>
          <t>Archaeological Glories in Sri Lankan Museums</t>
        </is>
      </c>
      <c r="E58" s="9" t="inlineStr">
        <is>
          <t>S. Arulanantham</t>
        </is>
      </c>
      <c r="F58" s="9" t="inlineStr">
        <is>
          <t>Edited volume (ed. T. Mageswary)</t>
        </is>
      </c>
      <c r="G58" s="7" t="inlineStr">
        <is>
          <t>Book chapter</t>
        </is>
      </c>
      <c r="H58" s="7" t="inlineStr">
        <is>
          <t>Tamil</t>
        </is>
      </c>
      <c r="I58" s="9" t="inlineStr">
        <is>
          <t>Archaeology / தொல்லியல்</t>
        </is>
      </c>
      <c r="J58" s="9" t="inlineStr">
        <is>
          <t>museums; archaeology</t>
        </is>
      </c>
      <c r="K58" s="7" t="inlineStr">
        <is>
          <t>Yes</t>
        </is>
      </c>
      <c r="L58" s="9" t="n"/>
      <c r="M58" s="10" t="inlineStr">
        <is>
          <t>https://www.his.jfn.ac.lk/index.php/mrs-s-arulanantham/</t>
        </is>
      </c>
    </row>
    <row r="59">
      <c r="A59" s="11" t="inlineStr">
        <is>
          <t>RP-0058</t>
        </is>
      </c>
      <c r="B59" s="12" t="inlineStr">
        <is>
          <t>2021</t>
        </is>
      </c>
      <c r="C59" s="11" t="n"/>
      <c r="D59" s="13" t="inlineStr">
        <is>
          <t>Influences of Natural Science on Archaeology</t>
        </is>
      </c>
      <c r="E59" s="13" t="inlineStr">
        <is>
          <t>Thulasika Dineshan</t>
        </is>
      </c>
      <c r="F59" s="13" t="inlineStr">
        <is>
          <t>Aran International Journal of Tamil Research, Vol. 3, Issue 2</t>
        </is>
      </c>
      <c r="G59" s="11" t="inlineStr">
        <is>
          <t>Journal article</t>
        </is>
      </c>
      <c r="H59" s="11" t="inlineStr">
        <is>
          <t>Tamil</t>
        </is>
      </c>
      <c r="I59" s="13" t="inlineStr">
        <is>
          <t>Archaeology / தொல்லியல்</t>
        </is>
      </c>
      <c r="J59" s="13" t="inlineStr">
        <is>
          <t>தொல்லியல்; method</t>
        </is>
      </c>
      <c r="K59" s="11" t="inlineStr">
        <is>
          <t>Yes</t>
        </is>
      </c>
      <c r="L59" s="13" t="n"/>
      <c r="M59" s="14" t="inlineStr">
        <is>
          <t>https://www.his.jfn.ac.lk/?p=1706</t>
        </is>
      </c>
    </row>
    <row r="60">
      <c r="A60" s="7" t="inlineStr">
        <is>
          <t>RP-0059</t>
        </is>
      </c>
      <c r="B60" s="8" t="inlineStr">
        <is>
          <t>2021</t>
        </is>
      </c>
      <c r="C60" s="7" t="n"/>
      <c r="D60" s="9" t="inlineStr">
        <is>
          <t>Matrimonial Alliances between Tamil and Sinhala Royal Families in Sri Lanka: A Historical View</t>
        </is>
      </c>
      <c r="E60" s="9" t="inlineStr">
        <is>
          <t>S. Aniththa</t>
        </is>
      </c>
      <c r="F60" s="9" t="inlineStr">
        <is>
          <t>Journal of Jaffna Science Association, Vol. 3, Issue I</t>
        </is>
      </c>
      <c r="G60" s="7" t="inlineStr">
        <is>
          <t>Journal article</t>
        </is>
      </c>
      <c r="H60" s="7" t="inlineStr">
        <is>
          <t>English</t>
        </is>
      </c>
      <c r="I60" s="9" t="inlineStr">
        <is>
          <t>Inscriptions / கல்வெட்டு</t>
        </is>
      </c>
      <c r="J60" s="9" t="inlineStr">
        <is>
          <t>inscriptions; royal history</t>
        </is>
      </c>
      <c r="K60" s="7" t="inlineStr">
        <is>
          <t>Yes</t>
        </is>
      </c>
      <c r="L60" s="9" t="n"/>
      <c r="M60" s="10" t="inlineStr">
        <is>
          <t>https://www.his.jfn.ac.lk/index.php/__trashed/</t>
        </is>
      </c>
    </row>
    <row r="61">
      <c r="A61" s="11" t="inlineStr">
        <is>
          <t>RP-0060</t>
        </is>
      </c>
      <c r="B61" s="12" t="inlineStr">
        <is>
          <t>2021</t>
        </is>
      </c>
      <c r="C61" s="11" t="n"/>
      <c r="D61" s="13" t="inlineStr">
        <is>
          <t>Tamil Inscription Issued by Sinhala Kings during the Period of Polonnaruwa Kingdom: A Multi Dimensions</t>
        </is>
      </c>
      <c r="E61" s="13" t="inlineStr">
        <is>
          <t>S. Aniththa, P. Pushparatnam</t>
        </is>
      </c>
      <c r="F61" s="13" t="inlineStr">
        <is>
          <t>Palkalai, Vol. 2, Issue IX, Faculty of Arts, University of Peradeniya</t>
        </is>
      </c>
      <c r="G61" s="11" t="inlineStr">
        <is>
          <t>Journal article</t>
        </is>
      </c>
      <c r="H61" s="11" t="inlineStr">
        <is>
          <t>Tamil</t>
        </is>
      </c>
      <c r="I61" s="13" t="inlineStr">
        <is>
          <t>Inscriptions / கல்வெட்டு</t>
        </is>
      </c>
      <c r="J61" s="13" t="inlineStr">
        <is>
          <t>கல்வெட்டு; Polonnaruwa</t>
        </is>
      </c>
      <c r="K61" s="11" t="inlineStr">
        <is>
          <t>Yes</t>
        </is>
      </c>
      <c r="L61" s="13" t="n"/>
      <c r="M61" s="14" t="inlineStr">
        <is>
          <t>https://www.his.jfn.ac.lk/index.php/__trashed/</t>
        </is>
      </c>
    </row>
    <row r="62">
      <c r="A62" s="7" t="inlineStr">
        <is>
          <t>RP-0061</t>
        </is>
      </c>
      <c r="B62" s="8" t="inlineStr">
        <is>
          <t>2021</t>
        </is>
      </c>
      <c r="C62" s="7" t="inlineStr">
        <is>
          <t>2021-01-01</t>
        </is>
      </c>
      <c r="D62" s="9" t="inlineStr">
        <is>
          <t>Sri Lanka and Greco-Roman Maritime Trade Relations (According to Literary Sources &amp; Archaeological Evidence)</t>
        </is>
      </c>
      <c r="E62" s="9" t="inlineStr">
        <is>
          <t>Don Sashika Anushan Munasinghe</t>
        </is>
      </c>
      <c r="F62" s="9" t="inlineStr">
        <is>
          <t>International Journal of Archaeology</t>
        </is>
      </c>
      <c r="G62" s="7" t="inlineStr">
        <is>
          <t>Article</t>
        </is>
      </c>
      <c r="H62" s="7" t="inlineStr">
        <is>
          <t>English</t>
        </is>
      </c>
      <c r="I62" s="9" t="inlineStr">
        <is>
          <t>Archaeology / தொல்லியல்</t>
        </is>
      </c>
      <c r="J62" s="9" t="inlineStr">
        <is>
          <t>archaeological</t>
        </is>
      </c>
      <c r="K62" s="7" t="inlineStr">
        <is>
          <t>Yes</t>
        </is>
      </c>
      <c r="L62" s="9" t="inlineStr">
        <is>
          <t>OpenAlex query: Tamil inscription Sri Lanka. Auto-collected 2026-10-14 (openalex); review.</t>
        </is>
      </c>
      <c r="M62" s="10" t="inlineStr">
        <is>
          <t>https://doi.org/10.11648/j.ija.20210902.14</t>
        </is>
      </c>
    </row>
    <row r="63">
      <c r="A63" s="11" t="inlineStr">
        <is>
          <t>RP-0062</t>
        </is>
      </c>
      <c r="B63" s="12" t="inlineStr">
        <is>
          <t>2021</t>
        </is>
      </c>
      <c r="C63" s="11" t="inlineStr">
        <is>
          <t>2021-01-19</t>
        </is>
      </c>
      <c r="D63" s="13" t="inlineStr">
        <is>
          <t>An Artifact Assemblage from the Ancient Shipwreck at Godavaya, Sri Lanka</t>
        </is>
      </c>
      <c r="E63" s="13" t="inlineStr">
        <is>
          <t>Loyalty Nerys Shi We Traster-Lee</t>
        </is>
      </c>
      <c r="F63" s="13" t="inlineStr">
        <is>
          <t>OakTrust (Texas A&amp;M University Libraries)</t>
        </is>
      </c>
      <c r="G63" s="11" t="inlineStr">
        <is>
          <t>Dissertation</t>
        </is>
      </c>
      <c r="H63" s="11" t="inlineStr">
        <is>
          <t>English</t>
        </is>
      </c>
      <c r="I63" s="13" t="n"/>
      <c r="J63" s="13" t="n"/>
      <c r="K63" s="11" t="inlineStr">
        <is>
          <t>Yes</t>
        </is>
      </c>
      <c r="L63" s="13" t="inlineStr">
        <is>
          <t>OpenAlex query: Tamil inscription Sri Lanka. Auto-collected 2026-10-14 (openalex); review.</t>
        </is>
      </c>
      <c r="M63" s="14" t="inlineStr">
        <is>
          <t>https://hdl.handle.net/1969.1/193070</t>
        </is>
      </c>
    </row>
    <row r="64">
      <c r="A64" s="7" t="inlineStr">
        <is>
          <t>RP-0063</t>
        </is>
      </c>
      <c r="B64" s="8" t="inlineStr">
        <is>
          <t>2021</t>
        </is>
      </c>
      <c r="C64" s="7" t="inlineStr">
        <is>
          <t>2021-01-19</t>
        </is>
      </c>
      <c r="D64" s="9" t="inlineStr">
        <is>
          <t>Archaeological Research in Kaddukarai</t>
        </is>
      </c>
      <c r="E64" s="9" t="inlineStr">
        <is>
          <t>Thulasika Dineshan</t>
        </is>
      </c>
      <c r="F64" s="9" t="inlineStr">
        <is>
          <t>9th SEUSL International Arts Research Symposium 2020, p. 28 (ISBN 9789556272536)</t>
        </is>
      </c>
      <c r="G64" s="7" t="inlineStr">
        <is>
          <t>Conference paper</t>
        </is>
      </c>
      <c r="H64" s="7" t="inlineStr">
        <is>
          <t>English</t>
        </is>
      </c>
      <c r="I64" s="9" t="inlineStr">
        <is>
          <t>Archaeology / தொல்லியல்</t>
        </is>
      </c>
      <c r="J64" s="9" t="inlineStr">
        <is>
          <t>தொல்லியல்; Kattukarai; excavation</t>
        </is>
      </c>
      <c r="K64" s="7" t="inlineStr">
        <is>
          <t>Yes</t>
        </is>
      </c>
      <c r="L64" s="9" t="n"/>
      <c r="M64" s="10" t="inlineStr">
        <is>
          <t>https://dspace.lib.seu.ac.lk/items/d37186eb-584d-43c3-8284-8e7e285c22d1/full</t>
        </is>
      </c>
    </row>
    <row r="65">
      <c r="A65" s="11" t="inlineStr">
        <is>
          <t>RP-0064</t>
        </is>
      </c>
      <c r="B65" s="12" t="inlineStr">
        <is>
          <t>2021</t>
        </is>
      </c>
      <c r="C65" s="11" t="inlineStr">
        <is>
          <t>2021-04-05</t>
        </is>
      </c>
      <c r="D65" s="13" t="inlineStr">
        <is>
          <t>Nature of Prehistoric Archaeological Investigation and Research in Sri Lanka (1992 – 2019)</t>
        </is>
      </c>
      <c r="E65" s="13" t="inlineStr">
        <is>
          <t>D.S.A. Munasinghe, H.A.S.N. Hanchapola, N.A.D.M. Nissanka, A.H.M.J.M. Athapathtu</t>
        </is>
      </c>
      <c r="F65" s="13" t="inlineStr">
        <is>
          <t>Vidyodaya Journal of Humanities and Social Sciences</t>
        </is>
      </c>
      <c r="G65" s="11" t="inlineStr">
        <is>
          <t>Article</t>
        </is>
      </c>
      <c r="H65" s="11" t="inlineStr">
        <is>
          <t>English</t>
        </is>
      </c>
      <c r="I65" s="13" t="inlineStr">
        <is>
          <t>Archaeology / தொல்லியல்</t>
        </is>
      </c>
      <c r="J65" s="13" t="inlineStr">
        <is>
          <t>archaeological</t>
        </is>
      </c>
      <c r="K65" s="11" t="inlineStr">
        <is>
          <t>Yes</t>
        </is>
      </c>
      <c r="L65" s="13" t="inlineStr">
        <is>
          <t>OpenAlex query: Jaffna archaeology. Auto-collected 2026-10-14 (openalex); review.</t>
        </is>
      </c>
      <c r="M65" s="14" t="inlineStr">
        <is>
          <t>https://doi.org/10.31357/fhss/vjhss.v06i01.10</t>
        </is>
      </c>
    </row>
    <row r="66">
      <c r="A66" s="7" t="inlineStr">
        <is>
          <t>RP-0065</t>
        </is>
      </c>
      <c r="B66" s="8" t="inlineStr">
        <is>
          <t>2021</t>
        </is>
      </c>
      <c r="C66" s="7" t="inlineStr">
        <is>
          <t>2021-06-10</t>
        </is>
      </c>
      <c r="D66" s="9" t="inlineStr">
        <is>
          <t>Seven Years in Sihagiri Bim - An Account of a Sri Lankan-Swedish Collaboration in Settlement Archaeology in Sigiriya 1988—1995</t>
        </is>
      </c>
      <c r="E66" s="9" t="inlineStr">
        <is>
          <t>Mats Mogren</t>
        </is>
      </c>
      <c r="F66" s="9" t="inlineStr">
        <is>
          <t>Current Swedish Archaeology</t>
        </is>
      </c>
      <c r="G66" s="7" t="inlineStr">
        <is>
          <t>Article</t>
        </is>
      </c>
      <c r="H66" s="7" t="inlineStr">
        <is>
          <t>English</t>
        </is>
      </c>
      <c r="I66" s="9" t="inlineStr">
        <is>
          <t>Archaeology / தொல்லியல்</t>
        </is>
      </c>
      <c r="J66" s="9" t="inlineStr">
        <is>
          <t>archaeology</t>
        </is>
      </c>
      <c r="K66" s="7" t="inlineStr">
        <is>
          <t>Yes</t>
        </is>
      </c>
      <c r="L66" s="9" t="inlineStr">
        <is>
          <t>OpenAlex query: Jaffna archaeology. Auto-collected 2026-10-14 (openalex); review.</t>
        </is>
      </c>
      <c r="M66" s="10" t="inlineStr">
        <is>
          <t>https://doi.org/10.37718/csa.1999.08</t>
        </is>
      </c>
    </row>
    <row r="67">
      <c r="A67" s="11" t="inlineStr">
        <is>
          <t>RP-0066</t>
        </is>
      </c>
      <c r="B67" s="12" t="inlineStr">
        <is>
          <t>2021</t>
        </is>
      </c>
      <c r="C67" s="11" t="inlineStr">
        <is>
          <t>2021-06-10</t>
        </is>
      </c>
      <c r="D67" s="13" t="inlineStr">
        <is>
          <t>Water Harvesting and Water Management: A Discussion of the Implications of Scale in Artificial Irrigation: the Sri Lankan Example</t>
        </is>
      </c>
      <c r="E67" s="13" t="inlineStr">
        <is>
          <t>Eva Myrdal-Runebjer</t>
        </is>
      </c>
      <c r="F67" s="13" t="inlineStr">
        <is>
          <t>Current Swedish Archaeology</t>
        </is>
      </c>
      <c r="G67" s="11" t="inlineStr">
        <is>
          <t>Article</t>
        </is>
      </c>
      <c r="H67" s="11" t="inlineStr">
        <is>
          <t>English</t>
        </is>
      </c>
      <c r="I67" s="13" t="n"/>
      <c r="J67" s="13" t="n"/>
      <c r="K67" s="11" t="inlineStr">
        <is>
          <t>Yes</t>
        </is>
      </c>
      <c r="L67" s="13" t="inlineStr">
        <is>
          <t>OpenAlex query: Tamil Brahmi Sri Lanka. Auto-collected 2026-10-14 (openalex); review.</t>
        </is>
      </c>
      <c r="M67" s="14" t="inlineStr">
        <is>
          <t>https://doi.org/10.37718/csa.2003.04</t>
        </is>
      </c>
    </row>
    <row r="68">
      <c r="A68" s="7" t="inlineStr">
        <is>
          <t>RP-0067</t>
        </is>
      </c>
      <c r="B68" s="8" t="inlineStr">
        <is>
          <t>2021</t>
        </is>
      </c>
      <c r="C68" s="7" t="inlineStr">
        <is>
          <t>2021-12-30</t>
        </is>
      </c>
      <c r="D68" s="9" t="inlineStr">
        <is>
          <t>An Investigative Study of Trade relations between Sri Lanka and South India mentioned in Tamil inscriptions of Sri Lanka</t>
        </is>
      </c>
      <c r="E68" s="9" t="inlineStr">
        <is>
          <t>K. D. M. H. Nanayakkara</t>
        </is>
      </c>
      <c r="F68" s="9" t="inlineStr">
        <is>
          <t>TRIVALENT ත්‍රිසංයුජ Journal of Archaeology Tourism &amp; Anthropology</t>
        </is>
      </c>
      <c r="G68" s="7" t="inlineStr">
        <is>
          <t>Article</t>
        </is>
      </c>
      <c r="H68" s="7" t="inlineStr">
        <is>
          <t>English</t>
        </is>
      </c>
      <c r="I68" s="9" t="inlineStr">
        <is>
          <t>Inscriptions / கல்வெட்டு</t>
        </is>
      </c>
      <c r="J68" s="9" t="inlineStr">
        <is>
          <t>inscription; inscriptions</t>
        </is>
      </c>
      <c r="K68" s="7" t="inlineStr">
        <is>
          <t>Yes</t>
        </is>
      </c>
      <c r="L68" s="9" t="inlineStr">
        <is>
          <t>OpenAlex query: Tamil inscription Sri Lanka. Auto-collected 2026-10-14 (openalex); review.</t>
        </is>
      </c>
      <c r="M68" s="10" t="inlineStr">
        <is>
          <t>https://doi.org/10.4038/tjata.v2i2.66</t>
        </is>
      </c>
    </row>
    <row r="69">
      <c r="A69" s="11" t="inlineStr">
        <is>
          <t>RP-0068</t>
        </is>
      </c>
      <c r="B69" s="12" t="inlineStr">
        <is>
          <t>2020</t>
        </is>
      </c>
      <c r="C69" s="11" t="n"/>
      <c r="D69" s="13" t="inlineStr">
        <is>
          <t>Amazing Discovery of Burials in Northern Sri Lanka</t>
        </is>
      </c>
      <c r="E69" s="13" t="inlineStr">
        <is>
          <t>S. Sajitharan</t>
        </is>
      </c>
      <c r="F69" s="13" t="inlineStr">
        <is>
          <t>Aran International e-Journal of Tamil Research, Vol. 2, Issue 7</t>
        </is>
      </c>
      <c r="G69" s="11" t="inlineStr">
        <is>
          <t>Journal article</t>
        </is>
      </c>
      <c r="H69" s="11" t="inlineStr">
        <is>
          <t>Tamil</t>
        </is>
      </c>
      <c r="I69" s="13" t="inlineStr">
        <is>
          <t>Archaeology / தொல்லியல்</t>
        </is>
      </c>
      <c r="J69" s="13" t="inlineStr">
        <is>
          <t>burials; megalithic</t>
        </is>
      </c>
      <c r="K69" s="11" t="inlineStr">
        <is>
          <t>Yes</t>
        </is>
      </c>
      <c r="L69" s="13" t="n"/>
      <c r="M69" s="14" t="inlineStr">
        <is>
          <t>https://www.his.jfn.ac.lk/?p=791</t>
        </is>
      </c>
    </row>
    <row r="70">
      <c r="A70" s="7" t="inlineStr">
        <is>
          <t>RP-0069</t>
        </is>
      </c>
      <c r="B70" s="8" t="inlineStr">
        <is>
          <t>2020</t>
        </is>
      </c>
      <c r="C70" s="7" t="n"/>
      <c r="D70" s="9" t="inlineStr">
        <is>
          <t>Archaeological Heritage of Buddhism: A Study Based on Jaffna Peninsula</t>
        </is>
      </c>
      <c r="E70" s="9" t="inlineStr">
        <is>
          <t>S. Sajitharan</t>
        </is>
      </c>
      <c r="F70" s="9" t="inlineStr">
        <is>
          <t>CINTANAI (University of Jaffna)</t>
        </is>
      </c>
      <c r="G70" s="7" t="inlineStr">
        <is>
          <t>Journal article</t>
        </is>
      </c>
      <c r="H70" s="7" t="inlineStr">
        <is>
          <t>English</t>
        </is>
      </c>
      <c r="I70" s="9" t="inlineStr">
        <is>
          <t>Archaeology / தொல்லியல்</t>
        </is>
      </c>
      <c r="J70" s="9" t="inlineStr">
        <is>
          <t>archaeology; Buddhism</t>
        </is>
      </c>
      <c r="K70" s="7" t="inlineStr">
        <is>
          <t>Yes</t>
        </is>
      </c>
      <c r="L70" s="9" t="n"/>
      <c r="M70" s="10" t="inlineStr">
        <is>
          <t>https://www.his.jfn.ac.lk/?p=791</t>
        </is>
      </c>
    </row>
    <row r="71">
      <c r="A71" s="11" t="inlineStr">
        <is>
          <t>RP-0070</t>
        </is>
      </c>
      <c r="B71" s="12" t="inlineStr">
        <is>
          <t>2020</t>
        </is>
      </c>
      <c r="C71" s="11" t="n"/>
      <c r="D71" s="13" t="inlineStr">
        <is>
          <t>Megalithic Culture in Sri Lanka</t>
        </is>
      </c>
      <c r="E71" s="13" t="inlineStr">
        <is>
          <t>Thulasika Dineshan</t>
        </is>
      </c>
      <c r="F71" s="13" t="inlineStr">
        <is>
          <t>International Research Symposium, Pollachi, Tamil Nadu</t>
        </is>
      </c>
      <c r="G71" s="11" t="inlineStr">
        <is>
          <t>Conference paper</t>
        </is>
      </c>
      <c r="H71" s="11" t="inlineStr">
        <is>
          <t>English</t>
        </is>
      </c>
      <c r="I71" s="13" t="inlineStr">
        <is>
          <t>Archaeology / தொல்லியல்</t>
        </is>
      </c>
      <c r="J71" s="13" t="inlineStr">
        <is>
          <t>megalithic</t>
        </is>
      </c>
      <c r="K71" s="11" t="inlineStr">
        <is>
          <t>Yes</t>
        </is>
      </c>
      <c r="L71" s="13" t="n"/>
      <c r="M71" s="14" t="inlineStr">
        <is>
          <t>https://www.his.jfn.ac.lk/?p=1706</t>
        </is>
      </c>
    </row>
    <row r="72">
      <c r="A72" s="7" t="inlineStr">
        <is>
          <t>RP-0071</t>
        </is>
      </c>
      <c r="B72" s="8" t="inlineStr">
        <is>
          <t>2020</t>
        </is>
      </c>
      <c r="C72" s="7" t="n"/>
      <c r="D72" s="9" t="inlineStr">
        <is>
          <t>Painting and Its Special Preservation Activities - Based on Sigiriya Painting</t>
        </is>
      </c>
      <c r="E72" s="9" t="inlineStr">
        <is>
          <t>A. Suganthan</t>
        </is>
      </c>
      <c r="F72" s="9" t="inlineStr">
        <is>
          <t>National Research Symposium, Swami Vipulananda Institute of Aesthetic Studies, Eastern University</t>
        </is>
      </c>
      <c r="G72" s="7" t="inlineStr">
        <is>
          <t>Conference paper</t>
        </is>
      </c>
      <c r="H72" s="7" t="inlineStr">
        <is>
          <t>Tamil</t>
        </is>
      </c>
      <c r="I72" s="9" t="inlineStr">
        <is>
          <t>Rock art / பாறை ஓவியம்</t>
        </is>
      </c>
      <c r="J72" s="9" t="inlineStr">
        <is>
          <t>paintings; பாறை ஓவியம்; Sigiriya</t>
        </is>
      </c>
      <c r="K72" s="7" t="inlineStr">
        <is>
          <t>Yes</t>
        </is>
      </c>
      <c r="L72" s="9" t="n"/>
      <c r="M72" s="10" t="inlineStr">
        <is>
          <t>https://www.his.jfn.ac.lk/index.php/mrs-ajiththa-suganthan/</t>
        </is>
      </c>
    </row>
    <row r="73">
      <c r="A73" s="11" t="inlineStr">
        <is>
          <t>RP-0072</t>
        </is>
      </c>
      <c r="B73" s="12" t="inlineStr">
        <is>
          <t>2020</t>
        </is>
      </c>
      <c r="C73" s="11" t="n"/>
      <c r="D73" s="13" t="inlineStr">
        <is>
          <t>The Terracotta Figures that Reveal the Ancient Art History of the Tamil People - Based on Nagapaduwan</t>
        </is>
      </c>
      <c r="E73" s="13" t="inlineStr">
        <is>
          <t>Thulasika Dineshan</t>
        </is>
      </c>
      <c r="F73" s="13" t="inlineStr">
        <is>
          <t>National Research Symposium, Eastern University, Sri Lanka</t>
        </is>
      </c>
      <c r="G73" s="11" t="inlineStr">
        <is>
          <t>Conference paper</t>
        </is>
      </c>
      <c r="H73" s="11" t="inlineStr">
        <is>
          <t>English</t>
        </is>
      </c>
      <c r="I73" s="13" t="inlineStr">
        <is>
          <t>Archaeology / தொல்லியல்</t>
        </is>
      </c>
      <c r="J73" s="13" t="inlineStr">
        <is>
          <t>terracotta; Nagapaduvan; archaeology</t>
        </is>
      </c>
      <c r="K73" s="11" t="inlineStr">
        <is>
          <t>Yes</t>
        </is>
      </c>
      <c r="L73" s="13" t="n"/>
      <c r="M73" s="14" t="inlineStr">
        <is>
          <t>https://www.his.jfn.ac.lk/?p=1706</t>
        </is>
      </c>
    </row>
    <row r="74">
      <c r="A74" s="7" t="inlineStr">
        <is>
          <t>RP-0073</t>
        </is>
      </c>
      <c r="B74" s="8" t="inlineStr">
        <is>
          <t>2020</t>
        </is>
      </c>
      <c r="C74" s="7" t="inlineStr">
        <is>
          <t>2020-12-30</t>
        </is>
      </c>
      <c r="D74" s="9" t="inlineStr">
        <is>
          <t>Glass Bead Making Technology in Ancient Sri Lanka</t>
        </is>
      </c>
      <c r="E74" s="9" t="inlineStr">
        <is>
          <t>P. R. A. Buddikasiri, A.K.R. Madhumali</t>
        </is>
      </c>
      <c r="F74" s="9" t="inlineStr">
        <is>
          <t>TRIVALENT ත්‍රිසංයුජ Journal of Archaeology Tourism &amp; Anthropology</t>
        </is>
      </c>
      <c r="G74" s="7" t="inlineStr">
        <is>
          <t>Article</t>
        </is>
      </c>
      <c r="H74" s="7" t="inlineStr">
        <is>
          <t>English</t>
        </is>
      </c>
      <c r="I74" s="9" t="n"/>
      <c r="J74" s="9" t="n"/>
      <c r="K74" s="7" t="inlineStr">
        <is>
          <t>Yes</t>
        </is>
      </c>
      <c r="L74" s="9" t="inlineStr">
        <is>
          <t>OpenAlex query: Kantarodai. Auto-collected 2026-10-14 (openalex); review.</t>
        </is>
      </c>
      <c r="M74" s="10" t="inlineStr">
        <is>
          <t>https://doi.org/10.4038/tjata.v1i2.45</t>
        </is>
      </c>
    </row>
    <row r="75">
      <c r="A75" s="11" t="inlineStr">
        <is>
          <t>RP-0074</t>
        </is>
      </c>
      <c r="B75" s="12" t="inlineStr">
        <is>
          <t>2019</t>
        </is>
      </c>
      <c r="C75" s="11" t="n"/>
      <c r="D75" s="13" t="inlineStr">
        <is>
          <t>Identifying the Archaeological Evidence Revealing Hero Stone Worship in Classical Tamil Literature and Thirukkural</t>
        </is>
      </c>
      <c r="E75" s="13" t="inlineStr">
        <is>
          <t>S. Sajitharan</t>
        </is>
      </c>
      <c r="F75" s="13" t="inlineStr">
        <is>
          <t>Thirukkural World Conference, Kuala Lumpur</t>
        </is>
      </c>
      <c r="G75" s="11" t="inlineStr">
        <is>
          <t>Conference paper</t>
        </is>
      </c>
      <c r="H75" s="11" t="inlineStr">
        <is>
          <t>Tamil</t>
        </is>
      </c>
      <c r="I75" s="13" t="inlineStr">
        <is>
          <t>Archaeology / தொல்லியல்; Hero stones / நடுகல்</t>
        </is>
      </c>
      <c r="J75" s="13" t="inlineStr">
        <is>
          <t>நடுகல்; hero stone</t>
        </is>
      </c>
      <c r="K75" s="11" t="inlineStr">
        <is>
          <t>Yes</t>
        </is>
      </c>
      <c r="L75" s="13" t="n"/>
      <c r="M75" s="14" t="inlineStr">
        <is>
          <t>https://www.his.jfn.ac.lk/?p=791</t>
        </is>
      </c>
    </row>
    <row r="76">
      <c r="A76" s="7" t="inlineStr">
        <is>
          <t>RP-0075</t>
        </is>
      </c>
      <c r="B76" s="8" t="inlineStr">
        <is>
          <t>2019</t>
        </is>
      </c>
      <c r="C76" s="7" t="n"/>
      <c r="D76" s="9" t="inlineStr">
        <is>
          <t>The Ancestor Worship &amp; the Megalithic Burials - based on Thirukkural</t>
        </is>
      </c>
      <c r="E76" s="9" t="inlineStr">
        <is>
          <t>S. Sajitharan</t>
        </is>
      </c>
      <c r="F76" s="9" t="inlineStr">
        <is>
          <t>Thirukkural World Conference, Kuala Lumpur, pp. 237-245</t>
        </is>
      </c>
      <c r="G76" s="7" t="inlineStr">
        <is>
          <t>Conference paper</t>
        </is>
      </c>
      <c r="H76" s="7" t="inlineStr">
        <is>
          <t>Tamil</t>
        </is>
      </c>
      <c r="I76" s="9" t="inlineStr">
        <is>
          <t>Archaeology / தொல்லியல்</t>
        </is>
      </c>
      <c r="J76" s="9" t="inlineStr">
        <is>
          <t>megalithic; burials</t>
        </is>
      </c>
      <c r="K76" s="7" t="inlineStr">
        <is>
          <t>Yes</t>
        </is>
      </c>
      <c r="L76" s="9" t="n"/>
      <c r="M76" s="10" t="inlineStr">
        <is>
          <t>https://www.his.jfn.ac.lk/?p=791</t>
        </is>
      </c>
    </row>
    <row r="77">
      <c r="A77" s="11" t="inlineStr">
        <is>
          <t>RP-0076</t>
        </is>
      </c>
      <c r="B77" s="12" t="inlineStr">
        <is>
          <t>2019</t>
        </is>
      </c>
      <c r="C77" s="11" t="n"/>
      <c r="D77" s="13" t="inlineStr">
        <is>
          <t>The Chola-period Hindu Temples and Culture in the Rule of Sinhala Kings: Based on Polonnaruwa Period</t>
        </is>
      </c>
      <c r="E77" s="13" t="inlineStr">
        <is>
          <t>S. Aniththa</t>
        </is>
      </c>
      <c r="F77" s="13" t="inlineStr">
        <is>
          <t>International Arts Research Symposium, South Eastern University</t>
        </is>
      </c>
      <c r="G77" s="11" t="inlineStr">
        <is>
          <t>Conference paper</t>
        </is>
      </c>
      <c r="H77" s="11" t="inlineStr">
        <is>
          <t>English</t>
        </is>
      </c>
      <c r="I77" s="13" t="n"/>
      <c r="J77" s="13" t="inlineStr">
        <is>
          <t>Chola; temples; Polonnaruwa</t>
        </is>
      </c>
      <c r="K77" s="11" t="inlineStr">
        <is>
          <t>Yes</t>
        </is>
      </c>
      <c r="L77" s="13" t="n"/>
      <c r="M77" s="14" t="inlineStr">
        <is>
          <t>https://www.his.jfn.ac.lk/index.php/__trashed/</t>
        </is>
      </c>
    </row>
    <row r="78">
      <c r="A78" s="7" t="inlineStr">
        <is>
          <t>RP-0077</t>
        </is>
      </c>
      <c r="B78" s="8" t="inlineStr">
        <is>
          <t>2019</t>
        </is>
      </c>
      <c r="C78" s="7" t="n"/>
      <c r="D78" s="9" t="inlineStr">
        <is>
          <t>The Creation of the King's Clan in Ilankai - An Analysis Based on Recent Archaeological Findings</t>
        </is>
      </c>
      <c r="E78" s="9" t="inlineStr">
        <is>
          <t>S. Sajitharan</t>
        </is>
      </c>
      <c r="F78" s="9" t="inlineStr">
        <is>
          <t>International Journal of Tamil Language and Literary Studies (IITS, Chennai), pp. 170-179</t>
        </is>
      </c>
      <c r="G78" s="7" t="inlineStr">
        <is>
          <t>Journal article</t>
        </is>
      </c>
      <c r="H78" s="7" t="inlineStr">
        <is>
          <t>Tamil</t>
        </is>
      </c>
      <c r="I78" s="9" t="inlineStr">
        <is>
          <t>Inscriptions / கல்வெட்டு; Archaeology / தொல்லியல்; Coins / நாணயம்</t>
        </is>
      </c>
      <c r="J78" s="9" t="inlineStr">
        <is>
          <t>archaeology; coins; seals</t>
        </is>
      </c>
      <c r="K78" s="7" t="inlineStr">
        <is>
          <t>Yes</t>
        </is>
      </c>
      <c r="L78" s="9" t="n"/>
      <c r="M78" s="10" t="inlineStr">
        <is>
          <t>https://www.his.jfn.ac.lk/?p=791</t>
        </is>
      </c>
    </row>
    <row r="79">
      <c r="A79" s="11" t="inlineStr">
        <is>
          <t>RP-0078</t>
        </is>
      </c>
      <c r="B79" s="12" t="inlineStr">
        <is>
          <t>2019</t>
        </is>
      </c>
      <c r="C79" s="11" t="inlineStr">
        <is>
          <t>2019-04-01</t>
        </is>
      </c>
      <c r="D79" s="13" t="inlineStr">
        <is>
          <t>The Antiquity of Jaffna Fort: New Evidence from Post-Disaster Archaeological Investigations in Northern Sri Lanka</t>
        </is>
      </c>
      <c r="E79" s="13" t="inlineStr">
        <is>
          <t>R. Coningham, C. Davis, P. Pushparatnam et al.</t>
        </is>
      </c>
      <c r="F79" s="13" t="inlineStr">
        <is>
          <t>Antiquity (Cambridge University Press)</t>
        </is>
      </c>
      <c r="G79" s="11" t="inlineStr">
        <is>
          <t>Journal article</t>
        </is>
      </c>
      <c r="H79" s="11" t="inlineStr">
        <is>
          <t>English</t>
        </is>
      </c>
      <c r="I79" s="13" t="inlineStr">
        <is>
          <t>Archaeology / தொல்லியல்</t>
        </is>
      </c>
      <c r="J79" s="13" t="inlineStr">
        <is>
          <t>தொல்லியல்; Jaffna Fort; excavation</t>
        </is>
      </c>
      <c r="K79" s="11" t="inlineStr">
        <is>
          <t>Yes</t>
        </is>
      </c>
      <c r="L79" s="13" t="inlineStr">
        <is>
          <t>Authors to verify</t>
        </is>
      </c>
      <c r="M79" s="14" t="inlineStr">
        <is>
          <t>https://www.cambridge.org/core/services/aop-cambridge-core/content/view/C55CDA3934CC5C18EE40B903734C7215/S0003598X19000309a.pdf/the-antiquity-of-jaffna-fort-new-evidence-from-post-disaster-archaeological-investigations-in-northern-sri-lanka.pdf</t>
        </is>
      </c>
    </row>
    <row r="80">
      <c r="A80" s="7" t="inlineStr">
        <is>
          <t>RP-0079</t>
        </is>
      </c>
      <c r="B80" s="8" t="inlineStr">
        <is>
          <t>2019</t>
        </is>
      </c>
      <c r="C80" s="7" t="inlineStr">
        <is>
          <t>2019-05-29</t>
        </is>
      </c>
      <c r="D80" s="9" t="inlineStr">
        <is>
          <t>Divine Kingship in Medieval Sri Lanka: Dynamics in Traditions of Power and Virtue in South Asia</t>
        </is>
      </c>
      <c r="E80" s="9" t="inlineStr">
        <is>
          <t>Stephen C. Berkwitz</t>
        </is>
      </c>
      <c r="F80" s="9" t="inlineStr">
        <is>
          <t>Entangled Religions</t>
        </is>
      </c>
      <c r="G80" s="7" t="inlineStr">
        <is>
          <t>Article</t>
        </is>
      </c>
      <c r="H80" s="7" t="inlineStr">
        <is>
          <t>English</t>
        </is>
      </c>
      <c r="I80" s="9" t="n"/>
      <c r="J80" s="9" t="n"/>
      <c r="K80" s="7" t="inlineStr">
        <is>
          <t>Yes</t>
        </is>
      </c>
      <c r="L80" s="9" t="inlineStr">
        <is>
          <t>OpenAlex query: hero stone Sri Lanka. Auto-collected 2026-10-14 (openalex); review.</t>
        </is>
      </c>
      <c r="M80" s="10" t="inlineStr">
        <is>
          <t>https://doi.org/10.46586/er.8.2019.8312</t>
        </is>
      </c>
    </row>
    <row r="81">
      <c r="A81" s="11" t="inlineStr">
        <is>
          <t>RP-0080</t>
        </is>
      </c>
      <c r="B81" s="12" t="inlineStr">
        <is>
          <t>2019</t>
        </is>
      </c>
      <c r="C81" s="11" t="inlineStr">
        <is>
          <t>2019-06-01</t>
        </is>
      </c>
      <c r="D81" s="13" t="inlineStr">
        <is>
          <t>Evolution of the dry zone water harvesting and management systems in Sri Lanka during the Anuradhapura Kingdom; a study based on ancient chronicles and lithic inscriptions</t>
        </is>
      </c>
      <c r="E81" s="13" t="inlineStr">
        <is>
          <t>Nuwan Abeywardana, H.M.T.G.A. Pitawala, Brigitta Schütt, Wiebke Bebermeier</t>
        </is>
      </c>
      <c r="F81" s="13" t="inlineStr">
        <is>
          <t>Water History</t>
        </is>
      </c>
      <c r="G81" s="11" t="inlineStr">
        <is>
          <t>Article</t>
        </is>
      </c>
      <c r="H81" s="11" t="inlineStr">
        <is>
          <t>English</t>
        </is>
      </c>
      <c r="I81" s="13" t="inlineStr">
        <is>
          <t>Inscriptions / கல்வெட்டு</t>
        </is>
      </c>
      <c r="J81" s="13" t="inlineStr">
        <is>
          <t>inscription; inscriptions</t>
        </is>
      </c>
      <c r="K81" s="11" t="inlineStr">
        <is>
          <t>Yes</t>
        </is>
      </c>
      <c r="L81" s="13" t="inlineStr">
        <is>
          <t>OpenAlex query: Tamil inscription Sri Lanka. Auto-collected 2026-10-14 (openalex); review.</t>
        </is>
      </c>
      <c r="M81" s="14" t="inlineStr">
        <is>
          <t>https://doi.org/10.1007/s12685-019-00230-7</t>
        </is>
      </c>
    </row>
    <row r="82">
      <c r="A82" s="7" t="inlineStr">
        <is>
          <t>RP-0081</t>
        </is>
      </c>
      <c r="B82" s="8" t="inlineStr">
        <is>
          <t>2019</t>
        </is>
      </c>
      <c r="C82" s="7" t="inlineStr">
        <is>
          <t>2019-09-19</t>
        </is>
      </c>
      <c r="D82" s="9" t="inlineStr">
        <is>
          <t>Contested Histories, Multi-Religious Space and Conflict: A Case Study of Kantarodai in Northern Sri Lanka</t>
        </is>
      </c>
      <c r="E82" s="9" t="inlineStr">
        <is>
          <t>Elizabeth J. Harris</t>
        </is>
      </c>
      <c r="F82" s="9" t="inlineStr">
        <is>
          <t>Religions</t>
        </is>
      </c>
      <c r="G82" s="7" t="inlineStr">
        <is>
          <t>Journal article</t>
        </is>
      </c>
      <c r="H82" s="7" t="inlineStr">
        <is>
          <t>English</t>
        </is>
      </c>
      <c r="I82" s="9" t="n"/>
      <c r="J82" s="9" t="n"/>
      <c r="K82" s="7" t="inlineStr">
        <is>
          <t>Yes</t>
        </is>
      </c>
      <c r="L82" s="9" t="inlineStr">
        <is>
          <t>Crossref query: Kantarodai. Auto-collected 2026-10-14 (crossref); review.</t>
        </is>
      </c>
      <c r="M82" s="10" t="inlineStr">
        <is>
          <t>https://doi.org/10.3390/rel10090537</t>
        </is>
      </c>
    </row>
    <row r="83">
      <c r="A83" s="11" t="inlineStr">
        <is>
          <t>RP-0082</t>
        </is>
      </c>
      <c r="B83" s="12" t="inlineStr">
        <is>
          <t>2019</t>
        </is>
      </c>
      <c r="C83" s="11" t="inlineStr">
        <is>
          <t>2019-11-25</t>
        </is>
      </c>
      <c r="D83" s="13" t="inlineStr">
        <is>
          <t>Recently Discovered Shipwrecks in Sri Lankan Waters</t>
        </is>
      </c>
      <c r="E83" s="13" t="inlineStr">
        <is>
          <t>Rasika Muthucumarana</t>
        </is>
      </c>
      <c r="F83" s="13" t="inlineStr">
        <is>
          <t>Current Science</t>
        </is>
      </c>
      <c r="G83" s="11" t="inlineStr">
        <is>
          <t>Article</t>
        </is>
      </c>
      <c r="H83" s="11" t="inlineStr">
        <is>
          <t>English</t>
        </is>
      </c>
      <c r="I83" s="13" t="n"/>
      <c r="J83" s="13" t="n"/>
      <c r="K83" s="11" t="inlineStr">
        <is>
          <t>Yes</t>
        </is>
      </c>
      <c r="L83" s="13" t="inlineStr">
        <is>
          <t>OpenAlex query: rock art Sri Lanka. Auto-collected 2026-10-14 (openalex); review.</t>
        </is>
      </c>
      <c r="M83" s="14" t="inlineStr">
        <is>
          <t>https://doi.org/10.18520/cs/v117/i10/1664-1672</t>
        </is>
      </c>
    </row>
    <row r="84">
      <c r="A84" s="7" t="inlineStr">
        <is>
          <t>RP-0083</t>
        </is>
      </c>
      <c r="B84" s="8" t="inlineStr">
        <is>
          <t>2018</t>
        </is>
      </c>
      <c r="C84" s="7" t="n"/>
      <c r="D84" s="9" t="inlineStr">
        <is>
          <t>An Archaeological Study of Prehistoric Paintings Found in Veherayaya</t>
        </is>
      </c>
      <c r="E84" s="9" t="n"/>
      <c r="F84" s="9" t="inlineStr">
        <is>
          <t>ICHSS 2018, University of Peradeniya, pp. 291-293</t>
        </is>
      </c>
      <c r="G84" s="7" t="inlineStr">
        <is>
          <t>Conference paper</t>
        </is>
      </c>
      <c r="H84" s="7" t="inlineStr">
        <is>
          <t>English</t>
        </is>
      </c>
      <c r="I84" s="9" t="inlineStr">
        <is>
          <t>Archaeology / தொல்லியல்; Rock art / பாறை ஓவியம்</t>
        </is>
      </c>
      <c r="J84" s="9" t="inlineStr">
        <is>
          <t>பாறை ஓவியம்; rock paintings; prehistoric</t>
        </is>
      </c>
      <c r="K84" s="7" t="inlineStr">
        <is>
          <t>Yes</t>
        </is>
      </c>
      <c r="L84" s="9" t="inlineStr">
        <is>
          <t>Author to verify</t>
        </is>
      </c>
      <c r="M84" s="10" t="inlineStr">
        <is>
          <t>https://ir.lib.pdn.ac.lk/handle/20.500.14444/5038</t>
        </is>
      </c>
    </row>
    <row r="85">
      <c r="A85" s="11" t="inlineStr">
        <is>
          <t>RP-0084</t>
        </is>
      </c>
      <c r="B85" s="12" t="inlineStr">
        <is>
          <t>2018</t>
        </is>
      </c>
      <c r="C85" s="11" t="n"/>
      <c r="D85" s="13" t="inlineStr">
        <is>
          <t>Hinduism in the Sinhala Monarchy of the Polonnaruwa Period</t>
        </is>
      </c>
      <c r="E85" s="13" t="inlineStr">
        <is>
          <t>S. Aniththa</t>
        </is>
      </c>
      <c r="F85" s="13" t="inlineStr">
        <is>
          <t>International Seminar, World Tamil Research Institute</t>
        </is>
      </c>
      <c r="G85" s="11" t="inlineStr">
        <is>
          <t>Conference paper</t>
        </is>
      </c>
      <c r="H85" s="11" t="inlineStr">
        <is>
          <t>Tamil</t>
        </is>
      </c>
      <c r="I85" s="13" t="inlineStr">
        <is>
          <t>Inscriptions / கல்வெட்டு</t>
        </is>
      </c>
      <c r="J85" s="13" t="inlineStr">
        <is>
          <t>Polonnaruwa; inscriptions</t>
        </is>
      </c>
      <c r="K85" s="11" t="inlineStr">
        <is>
          <t>Yes</t>
        </is>
      </c>
      <c r="L85" s="13" t="n"/>
      <c r="M85" s="14" t="inlineStr">
        <is>
          <t>https://www.his.jfn.ac.lk/index.php/__trashed/</t>
        </is>
      </c>
    </row>
    <row r="86">
      <c r="A86" s="7" t="inlineStr">
        <is>
          <t>RP-0085</t>
        </is>
      </c>
      <c r="B86" s="8" t="inlineStr">
        <is>
          <t>2018</t>
        </is>
      </c>
      <c r="C86" s="7" t="n"/>
      <c r="D86" s="9" t="inlineStr">
        <is>
          <t>Naguleshwaram Temple - Myths and Historical Facts</t>
        </is>
      </c>
      <c r="E86" s="9" t="inlineStr">
        <is>
          <t>S. Sajitharan</t>
        </is>
      </c>
      <c r="F86" s="9" t="inlineStr">
        <is>
          <t>Palkalai, Faculty of Arts, University of Peradeniya</t>
        </is>
      </c>
      <c r="G86" s="7" t="inlineStr">
        <is>
          <t>Journal article</t>
        </is>
      </c>
      <c r="H86" s="7" t="inlineStr">
        <is>
          <t>Tamil</t>
        </is>
      </c>
      <c r="I86" s="9" t="n"/>
      <c r="J86" s="9" t="inlineStr">
        <is>
          <t>temple; history</t>
        </is>
      </c>
      <c r="K86" s="7" t="inlineStr">
        <is>
          <t>Yes</t>
        </is>
      </c>
      <c r="L86" s="9" t="n"/>
      <c r="M86" s="10" t="inlineStr">
        <is>
          <t>https://www.his.jfn.ac.lk/?p=791</t>
        </is>
      </c>
    </row>
    <row r="87">
      <c r="A87" s="11" t="inlineStr">
        <is>
          <t>RP-0086</t>
        </is>
      </c>
      <c r="B87" s="12" t="inlineStr">
        <is>
          <t>2018</t>
        </is>
      </c>
      <c r="C87" s="11" t="n"/>
      <c r="D87" s="13" t="inlineStr">
        <is>
          <t>South Indian Influence in Jaffna Kingdom</t>
        </is>
      </c>
      <c r="E87" s="13" t="inlineStr">
        <is>
          <t>S. Sajitharan</t>
        </is>
      </c>
      <c r="F87" s="13" t="inlineStr">
        <is>
          <t>International Institute of Tamil Studies, Chennai</t>
        </is>
      </c>
      <c r="G87" s="11" t="inlineStr">
        <is>
          <t>Conference paper</t>
        </is>
      </c>
      <c r="H87" s="11" t="inlineStr">
        <is>
          <t>Tamil</t>
        </is>
      </c>
      <c r="I87" s="13" t="n"/>
      <c r="J87" s="13" t="inlineStr">
        <is>
          <t>Jaffna kingdom</t>
        </is>
      </c>
      <c r="K87" s="11" t="inlineStr">
        <is>
          <t>Yes</t>
        </is>
      </c>
      <c r="L87" s="13" t="n"/>
      <c r="M87" s="14" t="inlineStr">
        <is>
          <t>https://www.his.jfn.ac.lk/?p=791</t>
        </is>
      </c>
    </row>
    <row r="88">
      <c r="A88" s="7" t="inlineStr">
        <is>
          <t>RP-0087</t>
        </is>
      </c>
      <c r="B88" s="8" t="inlineStr">
        <is>
          <t>2018</t>
        </is>
      </c>
      <c r="C88" s="7" t="n"/>
      <c r="D88" s="9" t="inlineStr">
        <is>
          <t>The Challenges Faced in Protecting and Preserving Heritage Monuments: A Study Based on Jaffna</t>
        </is>
      </c>
      <c r="E88" s="9" t="inlineStr">
        <is>
          <t>S. Sajitharan</t>
        </is>
      </c>
      <c r="F88" s="9" t="inlineStr">
        <is>
          <t>CINTANAI, Vol. 2, pp. 63-77</t>
        </is>
      </c>
      <c r="G88" s="7" t="inlineStr">
        <is>
          <t>Journal article</t>
        </is>
      </c>
      <c r="H88" s="7" t="inlineStr">
        <is>
          <t>Tamil</t>
        </is>
      </c>
      <c r="I88" s="9" t="inlineStr">
        <is>
          <t>Archaeology / தொல்லியல்</t>
        </is>
      </c>
      <c r="J88" s="9" t="inlineStr">
        <is>
          <t>heritage; monuments</t>
        </is>
      </c>
      <c r="K88" s="7" t="inlineStr">
        <is>
          <t>Yes</t>
        </is>
      </c>
      <c r="L88" s="9" t="n"/>
      <c r="M88" s="10" t="inlineStr">
        <is>
          <t>https://www.his.jfn.ac.lk/?p=791</t>
        </is>
      </c>
    </row>
    <row r="89">
      <c r="A89" s="11" t="inlineStr">
        <is>
          <t>RP-0088</t>
        </is>
      </c>
      <c r="B89" s="12" t="inlineStr">
        <is>
          <t>2018</t>
        </is>
      </c>
      <c r="C89" s="11" t="n"/>
      <c r="D89" s="13" t="inlineStr">
        <is>
          <t>The Formation Period of Northern Sri Lanka - An Archaeological Survey Based on Rivers &amp; Ponds</t>
        </is>
      </c>
      <c r="E89" s="13" t="inlineStr">
        <is>
          <t>S. Sajitharan</t>
        </is>
      </c>
      <c r="F89" s="13" t="inlineStr">
        <is>
          <t>Sankara Publications, Kancheepuram</t>
        </is>
      </c>
      <c r="G89" s="11" t="inlineStr">
        <is>
          <t>Book chapter</t>
        </is>
      </c>
      <c r="H89" s="11" t="inlineStr">
        <is>
          <t>Tamil</t>
        </is>
      </c>
      <c r="I89" s="13" t="inlineStr">
        <is>
          <t>Archaeology / தொல்லியல்</t>
        </is>
      </c>
      <c r="J89" s="13" t="inlineStr">
        <is>
          <t>archaeological survey</t>
        </is>
      </c>
      <c r="K89" s="11" t="inlineStr">
        <is>
          <t>Yes</t>
        </is>
      </c>
      <c r="L89" s="13" t="n"/>
      <c r="M89" s="14" t="inlineStr">
        <is>
          <t>https://www.his.jfn.ac.lk/?p=791</t>
        </is>
      </c>
    </row>
    <row r="90">
      <c r="A90" s="7" t="inlineStr">
        <is>
          <t>RP-0089</t>
        </is>
      </c>
      <c r="B90" s="8" t="inlineStr">
        <is>
          <t>2018</t>
        </is>
      </c>
      <c r="C90" s="7" t="inlineStr">
        <is>
          <t>2018-01-01</t>
        </is>
      </c>
      <c r="D90" s="9" t="inlineStr">
        <is>
          <t>Out of Context, in Association: Human Remains Salvaged from the Mini-athiliya Shell Midden, Sri Lanka</t>
        </is>
      </c>
      <c r="E90" s="9" t="inlineStr">
        <is>
          <t>Samanti Kulatilake, Roshan Peiris, Halawathage Nimal Perera, H. Jude Perera</t>
        </is>
      </c>
      <c r="F90" s="9" t="inlineStr">
        <is>
          <t>Asian perspectives</t>
        </is>
      </c>
      <c r="G90" s="7" t="inlineStr">
        <is>
          <t>Article</t>
        </is>
      </c>
      <c r="H90" s="7" t="inlineStr">
        <is>
          <t>English</t>
        </is>
      </c>
      <c r="I90" s="9" t="n"/>
      <c r="J90" s="9" t="n"/>
      <c r="K90" s="7" t="inlineStr">
        <is>
          <t>Yes</t>
        </is>
      </c>
      <c r="L90" s="9" t="inlineStr">
        <is>
          <t>OpenAlex query: Sri Lanka epigraphy Tamil. Auto-collected 2026-10-14 (openalex); review.</t>
        </is>
      </c>
      <c r="M90" s="10" t="inlineStr">
        <is>
          <t>https://doi.org/10.1353/asi.2018.0002</t>
        </is>
      </c>
    </row>
    <row r="91">
      <c r="A91" s="11" t="inlineStr">
        <is>
          <t>RP-0090</t>
        </is>
      </c>
      <c r="B91" s="12" t="inlineStr">
        <is>
          <t>2018</t>
        </is>
      </c>
      <c r="C91" s="11" t="inlineStr">
        <is>
          <t>2018-02-26</t>
        </is>
      </c>
      <c r="D91" s="13" t="inlineStr">
        <is>
          <t>Knapped Core from Jaffna Peninsula, Sri Lanka</t>
        </is>
      </c>
      <c r="E91" s="13" t="inlineStr">
        <is>
          <t>M Robinson</t>
        </is>
      </c>
      <c r="F91" s="13" t="inlineStr">
        <is>
          <t>Zenodo (CERN European Organization for Nuclear Research)</t>
        </is>
      </c>
      <c r="G91" s="11" t="inlineStr">
        <is>
          <t>Dataset</t>
        </is>
      </c>
      <c r="H91" s="11" t="inlineStr">
        <is>
          <t>English</t>
        </is>
      </c>
      <c r="I91" s="13" t="n"/>
      <c r="J91" s="13" t="n"/>
      <c r="K91" s="11" t="inlineStr">
        <is>
          <t>Yes</t>
        </is>
      </c>
      <c r="L91" s="13" t="inlineStr">
        <is>
          <t>OpenAlex query: Jaffna archaeology. Auto-collected 2026-10-14 (openalex); review.</t>
        </is>
      </c>
      <c r="M91" s="14" t="inlineStr">
        <is>
          <t>https://doi.org/10.5281/zenodo.10270558</t>
        </is>
      </c>
    </row>
    <row r="92">
      <c r="A92" s="7" t="inlineStr">
        <is>
          <t>RP-0091</t>
        </is>
      </c>
      <c r="B92" s="8" t="inlineStr">
        <is>
          <t>2018</t>
        </is>
      </c>
      <c r="C92" s="7" t="inlineStr">
        <is>
          <t>2018-08-16</t>
        </is>
      </c>
      <c r="D92" s="9" t="inlineStr">
        <is>
          <t>Jhaya and Bariya: A Case in the Early BrÁhmÍ Inscriptions of Sri Lanka</t>
        </is>
      </c>
      <c r="E92" s="9" t="inlineStr">
        <is>
          <t>Raj Somadeva, Laleendra Amarasinghe, Anusha Wanninayake, Dinesh Devage</t>
        </is>
      </c>
      <c r="F92" s="9" t="inlineStr">
        <is>
          <t>Vidyodaya Journal of Humanities and Social Sciences</t>
        </is>
      </c>
      <c r="G92" s="7" t="inlineStr">
        <is>
          <t>Article</t>
        </is>
      </c>
      <c r="H92" s="7" t="inlineStr">
        <is>
          <t>English</t>
        </is>
      </c>
      <c r="I92" s="9" t="inlineStr">
        <is>
          <t>Inscriptions / கல்வெட்டு</t>
        </is>
      </c>
      <c r="J92" s="9" t="inlineStr">
        <is>
          <t>inscription; inscriptions</t>
        </is>
      </c>
      <c r="K92" s="7" t="inlineStr">
        <is>
          <t>Yes</t>
        </is>
      </c>
      <c r="L92" s="9" t="inlineStr">
        <is>
          <t>OpenAlex query: rock art Sri Lanka. Auto-collected 2026-10-14 (openalex); review.</t>
        </is>
      </c>
      <c r="M92" s="10" t="inlineStr">
        <is>
          <t>https://doi.org/10.31357/fhss/vjhss.v04i01.3493</t>
        </is>
      </c>
    </row>
    <row r="93">
      <c r="A93" s="11" t="inlineStr">
        <is>
          <t>RP-0092</t>
        </is>
      </c>
      <c r="B93" s="12" t="inlineStr">
        <is>
          <t>2018</t>
        </is>
      </c>
      <c r="C93" s="11" t="inlineStr">
        <is>
          <t>2018-11</t>
        </is>
      </c>
      <c r="D93" s="13" t="inlineStr">
        <is>
          <t>Revisiting the Punch-marked Coin Finding Places in Sri Lanka</t>
        </is>
      </c>
      <c r="E93" s="13" t="inlineStr">
        <is>
          <t>K. W. C. Tharangani</t>
        </is>
      </c>
      <c r="F93" s="13" t="inlineStr">
        <is>
          <t>ICHSS 2018, University of Peradeniya, pp. 301-308</t>
        </is>
      </c>
      <c r="G93" s="11" t="inlineStr">
        <is>
          <t>Conference paper</t>
        </is>
      </c>
      <c r="H93" s="11" t="inlineStr">
        <is>
          <t>English</t>
        </is>
      </c>
      <c r="I93" s="13" t="inlineStr">
        <is>
          <t>Coins / நாணயம்</t>
        </is>
      </c>
      <c r="J93" s="13" t="inlineStr">
        <is>
          <t>coins; punch-marked</t>
        </is>
      </c>
      <c r="K93" s="11" t="inlineStr">
        <is>
          <t>Yes</t>
        </is>
      </c>
      <c r="L93" s="13" t="n"/>
      <c r="M93" s="14" t="inlineStr">
        <is>
          <t>https://ir.lib.pdn.ac.lk/items/fe66ad09-6272-469c-a6db-69c14662bb7f</t>
        </is>
      </c>
    </row>
    <row r="94">
      <c r="A94" s="7" t="inlineStr">
        <is>
          <t>RP-0093</t>
        </is>
      </c>
      <c r="B94" s="8" t="inlineStr">
        <is>
          <t>2018</t>
        </is>
      </c>
      <c r="C94" s="7" t="inlineStr">
        <is>
          <t>2018-11-27</t>
        </is>
      </c>
      <c r="D94" s="9" t="inlineStr">
        <is>
          <t>Ancient Water Management and Governance in the Dry Zone of Sri Lanka Until Abandonment, and the Influence of Colonial Politics during Reclamation</t>
        </is>
      </c>
      <c r="E94" s="9" t="inlineStr">
        <is>
          <t>Nuwan Abeywardana, Wiebke Bebermeier, Brigitta Schütt</t>
        </is>
      </c>
      <c r="F94" s="9" t="inlineStr">
        <is>
          <t>Water</t>
        </is>
      </c>
      <c r="G94" s="7" t="inlineStr">
        <is>
          <t>Article</t>
        </is>
      </c>
      <c r="H94" s="7" t="inlineStr">
        <is>
          <t>English</t>
        </is>
      </c>
      <c r="I94" s="9" t="n"/>
      <c r="J94" s="9" t="n"/>
      <c r="K94" s="7" t="inlineStr">
        <is>
          <t>Yes</t>
        </is>
      </c>
      <c r="L94" s="9" t="inlineStr">
        <is>
          <t>OpenAlex query: Tamil Brahmi Sri Lanka. Auto-collected 2026-10-14 (openalex); review.</t>
        </is>
      </c>
      <c r="M94" s="10" t="inlineStr">
        <is>
          <t>https://doi.org/10.3390/w10121746</t>
        </is>
      </c>
    </row>
    <row r="95">
      <c r="A95" s="11" t="inlineStr">
        <is>
          <t>RP-0094</t>
        </is>
      </c>
      <c r="B95" s="12" t="inlineStr">
        <is>
          <t>2018</t>
        </is>
      </c>
      <c r="C95" s="11" t="inlineStr">
        <is>
          <t>2018-12-17</t>
        </is>
      </c>
      <c r="D95" s="13" t="inlineStr">
        <is>
          <t>வட இலங்கையின் தொல்லியல் மரபுரிமை சின்னங்களும், அவற்றின் முகாமைத்துவமும் (யாழ் குடாநாட்டினை அடிப்படையாகக் கொண்ட ஆய்வு)</t>
        </is>
      </c>
      <c r="E95" s="13" t="inlineStr">
        <is>
          <t>S. Sivachchelvy</t>
        </is>
      </c>
      <c r="F95" s="13" t="inlineStr">
        <is>
          <t>8th International Symposium 2018, South Eastern University of Sri Lanka, pp. 527-536 (ISBN 978-955-627-141-6)</t>
        </is>
      </c>
      <c r="G95" s="11" t="inlineStr">
        <is>
          <t>Conference paper</t>
        </is>
      </c>
      <c r="H95" s="11" t="inlineStr">
        <is>
          <t>Tamil</t>
        </is>
      </c>
      <c r="I95" s="13" t="inlineStr">
        <is>
          <t>Archaeology / தொல்லியல்</t>
        </is>
      </c>
      <c r="J95" s="13" t="inlineStr">
        <is>
          <t>தொல்லியல்; heritage management</t>
        </is>
      </c>
      <c r="K95" s="11" t="inlineStr">
        <is>
          <t>Yes</t>
        </is>
      </c>
      <c r="L95" s="13" t="inlineStr">
        <is>
          <t>Year/author to verify</t>
        </is>
      </c>
      <c r="M95" s="14" t="inlineStr">
        <is>
          <t>https://dspace.lib.seu.ac.lk/items/d9c75f55-5065-4c9d-9c54-98ec1717f8d1</t>
        </is>
      </c>
    </row>
    <row r="96">
      <c r="A96" s="7" t="inlineStr">
        <is>
          <t>RP-0095</t>
        </is>
      </c>
      <c r="B96" s="8" t="inlineStr">
        <is>
          <t>2018</t>
        </is>
      </c>
      <c r="C96" s="7" t="inlineStr">
        <is>
          <t>2018-12-22</t>
        </is>
      </c>
      <c r="D96" s="9" t="inlineStr">
        <is>
          <t>Corporate Bodies in Early South Asian Buddhism: Some Relics and Their Sponsors According to Epigraphy</t>
        </is>
      </c>
      <c r="E96" s="9" t="inlineStr">
        <is>
          <t>Matthew D. Milligan</t>
        </is>
      </c>
      <c r="F96" s="9" t="inlineStr">
        <is>
          <t>Religions</t>
        </is>
      </c>
      <c r="G96" s="7" t="inlineStr">
        <is>
          <t>Article</t>
        </is>
      </c>
      <c r="H96" s="7" t="inlineStr">
        <is>
          <t>English</t>
        </is>
      </c>
      <c r="I96" s="9" t="inlineStr">
        <is>
          <t>Inscriptions / கல்வெட்டு</t>
        </is>
      </c>
      <c r="J96" s="9" t="inlineStr">
        <is>
          <t>epigraphy</t>
        </is>
      </c>
      <c r="K96" s="7" t="inlineStr">
        <is>
          <t>Yes</t>
        </is>
      </c>
      <c r="L96" s="9" t="inlineStr">
        <is>
          <t>OpenAlex query: Sri Lanka epigraphy Tamil. Auto-collected 2026-10-14 (openalex); review.</t>
        </is>
      </c>
      <c r="M96" s="10" t="inlineStr">
        <is>
          <t>https://doi.org/10.3390/rel10010004</t>
        </is>
      </c>
    </row>
    <row r="97">
      <c r="A97" s="11" t="inlineStr">
        <is>
          <t>RP-0096</t>
        </is>
      </c>
      <c r="B97" s="12" t="inlineStr">
        <is>
          <t>2017</t>
        </is>
      </c>
      <c r="C97" s="11" t="n"/>
      <c r="D97" s="13" t="inlineStr">
        <is>
          <t>God Shiva in the Inscriptions of Cholas Found in Sri Lanka</t>
        </is>
      </c>
      <c r="E97" s="13" t="inlineStr">
        <is>
          <t>S. Sajitharan</t>
        </is>
      </c>
      <c r="F97" s="13" t="inlineStr">
        <is>
          <t>Second International Saiva Conference, University of Jaffna</t>
        </is>
      </c>
      <c r="G97" s="11" t="inlineStr">
        <is>
          <t>Conference paper</t>
        </is>
      </c>
      <c r="H97" s="11" t="inlineStr">
        <is>
          <t>Tamil</t>
        </is>
      </c>
      <c r="I97" s="13" t="inlineStr">
        <is>
          <t>Inscriptions / கல்வெட்டு</t>
        </is>
      </c>
      <c r="J97" s="13" t="inlineStr">
        <is>
          <t>Chola inscriptions; கல்வெட்டு</t>
        </is>
      </c>
      <c r="K97" s="11" t="inlineStr">
        <is>
          <t>Yes</t>
        </is>
      </c>
      <c r="L97" s="13" t="n"/>
      <c r="M97" s="14" t="inlineStr">
        <is>
          <t>https://www.his.jfn.ac.lk/?p=791</t>
        </is>
      </c>
    </row>
    <row r="98">
      <c r="A98" s="7" t="inlineStr">
        <is>
          <t>RP-0097</t>
        </is>
      </c>
      <c r="B98" s="8" t="inlineStr">
        <is>
          <t>2017</t>
        </is>
      </c>
      <c r="C98" s="7" t="n"/>
      <c r="D98" s="9" t="inlineStr">
        <is>
          <t>Role and Significance in Preserving Manuscripts of Siddha Medicine Found during the Jaffna Kingdom Period</t>
        </is>
      </c>
      <c r="E98" s="9" t="inlineStr">
        <is>
          <t>A. Suganthan</t>
        </is>
      </c>
      <c r="F98" s="9" t="inlineStr">
        <is>
          <t>National Archaeological Symposium</t>
        </is>
      </c>
      <c r="G98" s="7" t="inlineStr">
        <is>
          <t>Conference paper</t>
        </is>
      </c>
      <c r="H98" s="7" t="inlineStr">
        <is>
          <t>English</t>
        </is>
      </c>
      <c r="I98" s="9" t="n"/>
      <c r="J98" s="9" t="inlineStr">
        <is>
          <t>manuscripts; Jaffna kingdom</t>
        </is>
      </c>
      <c r="K98" s="7" t="inlineStr">
        <is>
          <t>Yes</t>
        </is>
      </c>
      <c r="L98" s="9" t="n"/>
      <c r="M98" s="10" t="inlineStr">
        <is>
          <t>https://www.his.jfn.ac.lk/index.php/mrs-ajiththa-suganthan/</t>
        </is>
      </c>
    </row>
    <row r="99">
      <c r="A99" s="11" t="inlineStr">
        <is>
          <t>RP-0098</t>
        </is>
      </c>
      <c r="B99" s="12" t="inlineStr">
        <is>
          <t>2017</t>
        </is>
      </c>
      <c r="C99" s="11" t="n"/>
      <c r="D99" s="13" t="inlineStr">
        <is>
          <t>The Megalithic Culture and the Classical Tamil Literatures: Comparative Research</t>
        </is>
      </c>
      <c r="E99" s="13" t="inlineStr">
        <is>
          <t>S. Sajitharan</t>
        </is>
      </c>
      <c r="F99" s="13" t="inlineStr">
        <is>
          <t>CINTANAI, Vol. 3, pp. 37-51</t>
        </is>
      </c>
      <c r="G99" s="11" t="inlineStr">
        <is>
          <t>Journal article</t>
        </is>
      </c>
      <c r="H99" s="11" t="inlineStr">
        <is>
          <t>Tamil</t>
        </is>
      </c>
      <c r="I99" s="13" t="inlineStr">
        <is>
          <t>Archaeology / தொல்லியல்</t>
        </is>
      </c>
      <c r="J99" s="13" t="inlineStr">
        <is>
          <t>megalithic</t>
        </is>
      </c>
      <c r="K99" s="11" t="inlineStr">
        <is>
          <t>Yes</t>
        </is>
      </c>
      <c r="L99" s="13" t="n"/>
      <c r="M99" s="14" t="inlineStr">
        <is>
          <t>https://www.his.jfn.ac.lk/?p=791</t>
        </is>
      </c>
    </row>
    <row r="100">
      <c r="A100" s="7" t="inlineStr">
        <is>
          <t>RP-0099</t>
        </is>
      </c>
      <c r="B100" s="8" t="inlineStr">
        <is>
          <t>2017</t>
        </is>
      </c>
      <c r="C100" s="7" t="n"/>
      <c r="D100" s="9" t="inlineStr">
        <is>
          <t>பெருங்கற்காலப் பண்பாடும் பழந் தமிழ் இலக்கியங்களும் - ஓர் ஒப்பீட்டு ஆய்வு</t>
        </is>
      </c>
      <c r="E100" s="9" t="inlineStr">
        <is>
          <t>S. Sajitharan</t>
        </is>
      </c>
      <c r="F100" s="9" t="inlineStr">
        <is>
          <t>CINTANAI / University of Jaffna Research Repository</t>
        </is>
      </c>
      <c r="G100" s="7" t="inlineStr">
        <is>
          <t>Journal article</t>
        </is>
      </c>
      <c r="H100" s="7" t="inlineStr">
        <is>
          <t>Tamil</t>
        </is>
      </c>
      <c r="I100" s="9" t="inlineStr">
        <is>
          <t>Archaeology / தொல்லியல்</t>
        </is>
      </c>
      <c r="J100" s="9" t="inlineStr">
        <is>
          <t>megalithic; Sangam</t>
        </is>
      </c>
      <c r="K100" s="7" t="inlineStr">
        <is>
          <t>Yes</t>
        </is>
      </c>
      <c r="L100" s="9" t="inlineStr">
        <is>
          <t>Matches Sajitharan 2017 CINTANAI paper</t>
        </is>
      </c>
      <c r="M100" s="10" t="inlineStr">
        <is>
          <t>http://repo.lib.jfn.ac.lk/ujrr/handle/123456789/8887</t>
        </is>
      </c>
    </row>
    <row r="101">
      <c r="A101" s="11" t="inlineStr">
        <is>
          <t>RP-0100</t>
        </is>
      </c>
      <c r="B101" s="12" t="inlineStr">
        <is>
          <t>2017</t>
        </is>
      </c>
      <c r="C101" s="11" t="inlineStr">
        <is>
          <t>2017-01-26</t>
        </is>
      </c>
      <c r="D101" s="13" t="inlineStr">
        <is>
          <t>Buddhist Meditation Monasteries in Ancient Sri Lanka</t>
        </is>
      </c>
      <c r="E101" s="13" t="inlineStr">
        <is>
          <t>Sasni Amarasekara</t>
        </is>
      </c>
      <c r="F101" s="13" t="inlineStr">
        <is>
          <t>Journal of Arts and Humanities</t>
        </is>
      </c>
      <c r="G101" s="11" t="inlineStr">
        <is>
          <t>Article</t>
        </is>
      </c>
      <c r="H101" s="11" t="inlineStr">
        <is>
          <t>English</t>
        </is>
      </c>
      <c r="I101" s="13" t="n"/>
      <c r="J101" s="13" t="n"/>
      <c r="K101" s="11" t="inlineStr">
        <is>
          <t>Yes</t>
        </is>
      </c>
      <c r="L101" s="13" t="inlineStr">
        <is>
          <t>OpenAlex query: rock art Sri Lanka. Auto-collected 2026-10-14 (openalex); review.</t>
        </is>
      </c>
      <c r="M101" s="14" t="inlineStr">
        <is>
          <t>https://doi.org/10.18533/journal.v6i01.1085</t>
        </is>
      </c>
    </row>
    <row r="102">
      <c r="A102" s="7" t="inlineStr">
        <is>
          <t>RP-0101</t>
        </is>
      </c>
      <c r="B102" s="8" t="inlineStr">
        <is>
          <t>2017</t>
        </is>
      </c>
      <c r="C102" s="7" t="inlineStr">
        <is>
          <t>2017-04-26</t>
        </is>
      </c>
      <c r="D102" s="9" t="inlineStr">
        <is>
          <t>Tissamahrama, Sri Lanka: Die Keramiksequenz und ihre Bedeutung für den frühhistorischen Fernhandel im Indischen Ozean</t>
        </is>
      </c>
      <c r="E102" s="9" t="inlineStr">
        <is>
          <t>Heidrun Schenk</t>
        </is>
      </c>
      <c r="F102" s="9" t="inlineStr">
        <is>
          <t>Research E-Papers</t>
        </is>
      </c>
      <c r="G102" s="7" t="inlineStr">
        <is>
          <t>Article</t>
        </is>
      </c>
      <c r="H102" s="7" t="inlineStr">
        <is>
          <t>English</t>
        </is>
      </c>
      <c r="I102" s="9" t="n"/>
      <c r="J102" s="9" t="n"/>
      <c r="K102" s="7" t="inlineStr">
        <is>
          <t>Yes</t>
        </is>
      </c>
      <c r="L102" s="9" t="inlineStr">
        <is>
          <t>OpenAlex query: Tissamaharama Brahmi. Auto-collected 2026-10-14 (openalex); review.</t>
        </is>
      </c>
      <c r="M102" s="10" t="inlineStr">
        <is>
          <t>https://doi.org/10.34780/bre2-dab8</t>
        </is>
      </c>
    </row>
    <row r="103">
      <c r="A103" s="11" t="inlineStr">
        <is>
          <t>RP-0102</t>
        </is>
      </c>
      <c r="B103" s="12" t="inlineStr">
        <is>
          <t>2016</t>
        </is>
      </c>
      <c r="C103" s="11" t="inlineStr">
        <is>
          <t>2016-05-11</t>
        </is>
      </c>
      <c r="D103" s="13" t="inlineStr">
        <is>
          <t>Archaeological investigations, interpretations, and theories: The cases of Sri Lanka and Sweden compared</t>
        </is>
      </c>
      <c r="E103" s="13" t="inlineStr">
        <is>
          <t>Eva Myrdal-Runebjer</t>
        </is>
      </c>
      <c r="F103" s="13" t="inlineStr">
        <is>
          <t>Nordic Academic Press (Kriterium) eBooks</t>
        </is>
      </c>
      <c r="G103" s="11" t="inlineStr">
        <is>
          <t>Book chapter</t>
        </is>
      </c>
      <c r="H103" s="11" t="inlineStr">
        <is>
          <t>English</t>
        </is>
      </c>
      <c r="I103" s="13" t="inlineStr">
        <is>
          <t>Archaeology / தொல்லியல்</t>
        </is>
      </c>
      <c r="J103" s="13" t="inlineStr">
        <is>
          <t>archaeological</t>
        </is>
      </c>
      <c r="K103" s="11" t="inlineStr">
        <is>
          <t>Yes</t>
        </is>
      </c>
      <c r="L103" s="13" t="inlineStr">
        <is>
          <t>OpenAlex query: rock art Sri Lanka. Auto-collected 2026-10-14 (openalex); review.</t>
        </is>
      </c>
      <c r="M103" s="14" t="inlineStr">
        <is>
          <t>https://doi.org/10.21525/kriterium.2.e</t>
        </is>
      </c>
    </row>
    <row r="104">
      <c r="A104" s="7" t="inlineStr">
        <is>
          <t>RP-0103</t>
        </is>
      </c>
      <c r="B104" s="8" t="inlineStr">
        <is>
          <t>2016</t>
        </is>
      </c>
      <c r="C104" s="7" t="inlineStr">
        <is>
          <t>2016-09-13</t>
        </is>
      </c>
      <c r="D104" s="9" t="inlineStr">
        <is>
          <t>Islamic and Buddhist impacts on the shrine at Daftar Jailani, Sri Lanka</t>
        </is>
      </c>
      <c r="E104" s="9" t="inlineStr">
        <is>
          <t>Sri Lanka DENNIS B. MCGILVRAY</t>
        </is>
      </c>
      <c r="F104" s="9" t="inlineStr">
        <is>
          <t>Routledge eBooks</t>
        </is>
      </c>
      <c r="G104" s="7" t="inlineStr">
        <is>
          <t>Book chapter</t>
        </is>
      </c>
      <c r="H104" s="7" t="inlineStr">
        <is>
          <t>English</t>
        </is>
      </c>
      <c r="I104" s="9" t="n"/>
      <c r="J104" s="9" t="n"/>
      <c r="K104" s="7" t="inlineStr">
        <is>
          <t>Yes</t>
        </is>
      </c>
      <c r="L104" s="9" t="inlineStr">
        <is>
          <t>OpenAlex query: Tamil inscription Sri Lanka. Auto-collected 2026-10-14 (openalex); review.</t>
        </is>
      </c>
      <c r="M104" s="10" t="inlineStr">
        <is>
          <t>https://doi.org/10.4324/9781315693316-13</t>
        </is>
      </c>
    </row>
    <row r="105">
      <c r="A105" s="11" t="inlineStr">
        <is>
          <t>RP-0104</t>
        </is>
      </c>
      <c r="B105" s="12" t="inlineStr">
        <is>
          <t>2015</t>
        </is>
      </c>
      <c r="C105" s="11" t="n"/>
      <c r="D105" s="13" t="inlineStr">
        <is>
          <t>Relationship between Hindu-Islamic Culture via Copper Plates (Tamil Nadu)</t>
        </is>
      </c>
      <c r="E105" s="13" t="inlineStr">
        <is>
          <t>K. Arunthavarajah</t>
        </is>
      </c>
      <c r="F105" s="13" t="inlineStr">
        <is>
          <t>Second International Symposium, Faculty of Islamic Studies, South Eastern University</t>
        </is>
      </c>
      <c r="G105" s="11" t="inlineStr">
        <is>
          <t>Conference paper</t>
        </is>
      </c>
      <c r="H105" s="11" t="inlineStr">
        <is>
          <t>English</t>
        </is>
      </c>
      <c r="I105" s="13" t="inlineStr">
        <is>
          <t>Inscriptions / கல்வெட்டு</t>
        </is>
      </c>
      <c r="J105" s="13" t="inlineStr">
        <is>
          <t>copper plates; epigraphy</t>
        </is>
      </c>
      <c r="K105" s="11" t="inlineStr">
        <is>
          <t>Yes</t>
        </is>
      </c>
      <c r="L105" s="13" t="inlineStr">
        <is>
          <t>Tamil Nadu focus</t>
        </is>
      </c>
      <c r="M105" s="14" t="inlineStr">
        <is>
          <t>https://www.his.jfn.ac.lk/index.php/profkarunthavarajah/</t>
        </is>
      </c>
    </row>
    <row r="106">
      <c r="A106" s="7" t="inlineStr">
        <is>
          <t>RP-0105</t>
        </is>
      </c>
      <c r="B106" s="8" t="inlineStr">
        <is>
          <t>2015</t>
        </is>
      </c>
      <c r="C106" s="7" t="n"/>
      <c r="D106" s="9" t="inlineStr">
        <is>
          <t>Religion in Sangam Literature and Archaeological Evidence</t>
        </is>
      </c>
      <c r="E106" s="9" t="inlineStr">
        <is>
          <t>S. Arulanantham</t>
        </is>
      </c>
      <c r="F106" s="9" t="inlineStr">
        <is>
          <t>Annual Research Conference, Dept. of Tamil, University of Peradeniya</t>
        </is>
      </c>
      <c r="G106" s="7" t="inlineStr">
        <is>
          <t>Conference paper</t>
        </is>
      </c>
      <c r="H106" s="7" t="inlineStr">
        <is>
          <t>Tamil</t>
        </is>
      </c>
      <c r="I106" s="9" t="inlineStr">
        <is>
          <t>Archaeology / தொல்லியல்</t>
        </is>
      </c>
      <c r="J106" s="9" t="inlineStr">
        <is>
          <t>archaeology; Sangam</t>
        </is>
      </c>
      <c r="K106" s="7" t="inlineStr">
        <is>
          <t>Yes</t>
        </is>
      </c>
      <c r="L106" s="9" t="n"/>
      <c r="M106" s="10" t="inlineStr">
        <is>
          <t>https://www.his.jfn.ac.lk/index.php/mrs-s-arulanantham/</t>
        </is>
      </c>
    </row>
    <row r="107">
      <c r="A107" s="11" t="inlineStr">
        <is>
          <t>RP-0106</t>
        </is>
      </c>
      <c r="B107" s="12" t="inlineStr">
        <is>
          <t>2014</t>
        </is>
      </c>
      <c r="C107" s="11" t="n"/>
      <c r="D107" s="13" t="inlineStr">
        <is>
          <t>The Heritage Monuments of Jaffna Peninsula and their Preservation</t>
        </is>
      </c>
      <c r="E107" s="13" t="inlineStr">
        <is>
          <t>S. Sajitharan</t>
        </is>
      </c>
      <c r="F107" s="13" t="inlineStr">
        <is>
          <t>Proceedings of the National Archaeological Symposium 2014, Department of Archaeology</t>
        </is>
      </c>
      <c r="G107" s="11" t="inlineStr">
        <is>
          <t>Conference paper</t>
        </is>
      </c>
      <c r="H107" s="11" t="inlineStr">
        <is>
          <t>English</t>
        </is>
      </c>
      <c r="I107" s="13" t="inlineStr">
        <is>
          <t>Archaeology / தொல்லியல்</t>
        </is>
      </c>
      <c r="J107" s="13" t="inlineStr">
        <is>
          <t>heritage; monuments</t>
        </is>
      </c>
      <c r="K107" s="11" t="inlineStr">
        <is>
          <t>Yes</t>
        </is>
      </c>
      <c r="L107" s="13" t="n"/>
      <c r="M107" s="14" t="inlineStr">
        <is>
          <t>https://www.his.jfn.ac.lk/?p=791</t>
        </is>
      </c>
    </row>
    <row r="108">
      <c r="A108" s="7" t="inlineStr">
        <is>
          <t>RP-0107</t>
        </is>
      </c>
      <c r="B108" s="8" t="inlineStr">
        <is>
          <t>2014</t>
        </is>
      </c>
      <c r="C108" s="7" t="inlineStr">
        <is>
          <t>2014-01-01</t>
        </is>
      </c>
      <c r="D108" s="9" t="inlineStr">
        <is>
          <t>Tamil Brahmi Inscription Belonging to 2200 Years Ago, Discovered by German Archaeological Team in Southern Sri Lanka</t>
        </is>
      </c>
      <c r="E108" s="9" t="inlineStr">
        <is>
          <t>P. Pushparatnam</t>
        </is>
      </c>
      <c r="F108" s="9" t="inlineStr">
        <is>
          <t>Jaffna University International Research Conference (JUICE 2014)</t>
        </is>
      </c>
      <c r="G108" s="7" t="inlineStr">
        <is>
          <t>Conference paper</t>
        </is>
      </c>
      <c r="H108" s="7" t="inlineStr">
        <is>
          <t>English</t>
        </is>
      </c>
      <c r="I108" s="9" t="inlineStr">
        <is>
          <t>Inscriptions / கல்வெட்டு; Brahmi / பிராமி; Archaeology / தொல்லியல்</t>
        </is>
      </c>
      <c r="J108" s="9" t="inlineStr">
        <is>
          <t>Tamil Brahmi; Tissamaharama; potsherd</t>
        </is>
      </c>
      <c r="K108" s="7" t="inlineStr">
        <is>
          <t>Yes</t>
        </is>
      </c>
      <c r="L108" s="9" t="n"/>
      <c r="M108" s="10" t="inlineStr">
        <is>
          <t>https://rer.jfn.ac.lk/items/cf7a95e0-fe51-4ae1-88aa-4842327beb59/full</t>
        </is>
      </c>
    </row>
    <row r="109">
      <c r="A109" s="11" t="inlineStr">
        <is>
          <t>RP-0108</t>
        </is>
      </c>
      <c r="B109" s="12" t="inlineStr">
        <is>
          <t>2014</t>
        </is>
      </c>
      <c r="C109" s="11" t="inlineStr">
        <is>
          <t>2014-01-01</t>
        </is>
      </c>
      <c r="D109" s="13" t="inlineStr">
        <is>
          <t>The Views of Tamil Scholars Regarding the Origin of Jaffna Kingdom</t>
        </is>
      </c>
      <c r="E109" s="13" t="inlineStr">
        <is>
          <t>K. Arunthavarajah</t>
        </is>
      </c>
      <c r="F109" s="13" t="inlineStr">
        <is>
          <t>Research on humanities and social sciences</t>
        </is>
      </c>
      <c r="G109" s="11" t="inlineStr">
        <is>
          <t>Article</t>
        </is>
      </c>
      <c r="H109" s="11" t="inlineStr">
        <is>
          <t>English</t>
        </is>
      </c>
      <c r="I109" s="13" t="n"/>
      <c r="J109" s="13" t="n"/>
      <c r="K109" s="11" t="inlineStr">
        <is>
          <t>Yes</t>
        </is>
      </c>
      <c r="L109" s="13" t="inlineStr">
        <is>
          <t>OpenAlex query: Jaffna archaeology. Auto-collected 2026-10-14 (openalex); review.</t>
        </is>
      </c>
      <c r="M109" s="14" t="inlineStr">
        <is>
          <t>https://www.iiste.org/Journals/index.php/RHSS/article/download/13254/13414</t>
        </is>
      </c>
    </row>
    <row r="110">
      <c r="A110" s="7" t="inlineStr">
        <is>
          <t>RP-0109</t>
        </is>
      </c>
      <c r="B110" s="8" t="inlineStr">
        <is>
          <t>2014</t>
        </is>
      </c>
      <c r="C110" s="7" t="inlineStr">
        <is>
          <t>2014-11-01</t>
        </is>
      </c>
      <c r="D110" s="9" t="inlineStr">
        <is>
          <t>Heritage representation in culturally diverse societies : a case study of the Colombo National Museum in Sri Lanka</t>
        </is>
      </c>
      <c r="E110" s="9" t="inlineStr">
        <is>
          <t>Metiwala Walawwe Chulani Neranjana Kumari Rambukwella</t>
        </is>
      </c>
      <c r="F110" s="9" t="inlineStr">
        <is>
          <t>Leicester Research Archive (University of Leicester)</t>
        </is>
      </c>
      <c r="G110" s="7" t="inlineStr">
        <is>
          <t>Dissertation</t>
        </is>
      </c>
      <c r="H110" s="7" t="inlineStr">
        <is>
          <t>English</t>
        </is>
      </c>
      <c r="I110" s="9" t="inlineStr">
        <is>
          <t>Archaeology / தொல்லியல்</t>
        </is>
      </c>
      <c r="J110" s="9" t="n"/>
      <c r="K110" s="7" t="inlineStr">
        <is>
          <t>Yes</t>
        </is>
      </c>
      <c r="L110" s="9" t="inlineStr">
        <is>
          <t>OpenAlex query: Tamil Brahmi Sri Lanka. Auto-collected 2026-10-14 (openalex); review.</t>
        </is>
      </c>
      <c r="M110" s="10" t="inlineStr">
        <is>
          <t>http://hdl.handle.net/2381/31401</t>
        </is>
      </c>
    </row>
    <row r="111">
      <c r="A111" s="11" t="inlineStr">
        <is>
          <t>RP-0110</t>
        </is>
      </c>
      <c r="B111" s="12" t="inlineStr">
        <is>
          <t>2013</t>
        </is>
      </c>
      <c r="C111" s="11" t="n"/>
      <c r="D111" s="13" t="inlineStr">
        <is>
          <t>Ancient Ports and their Cultural Influences in Northern Sri Lanka</t>
        </is>
      </c>
      <c r="E111" s="13" t="inlineStr">
        <is>
          <t>S. Arulanantham</t>
        </is>
      </c>
      <c r="F111" s="13" t="inlineStr">
        <is>
          <t>2nd Annual Research Conference, South Eastern University</t>
        </is>
      </c>
      <c r="G111" s="11" t="inlineStr">
        <is>
          <t>Conference paper</t>
        </is>
      </c>
      <c r="H111" s="11" t="inlineStr">
        <is>
          <t>English</t>
        </is>
      </c>
      <c r="I111" s="13" t="inlineStr">
        <is>
          <t>Archaeology / தொல்லியல்</t>
        </is>
      </c>
      <c r="J111" s="13" t="inlineStr">
        <is>
          <t>ports; archaeology</t>
        </is>
      </c>
      <c r="K111" s="11" t="inlineStr">
        <is>
          <t>Yes</t>
        </is>
      </c>
      <c r="L111" s="13" t="n"/>
      <c r="M111" s="14" t="inlineStr">
        <is>
          <t>https://www.his.jfn.ac.lk/index.php/mrs-s-arulanantham/</t>
        </is>
      </c>
    </row>
    <row r="112">
      <c r="A112" s="7" t="inlineStr">
        <is>
          <t>RP-0111</t>
        </is>
      </c>
      <c r="B112" s="8" t="inlineStr">
        <is>
          <t>2011</t>
        </is>
      </c>
      <c r="C112" s="7" t="n"/>
      <c r="D112" s="9" t="inlineStr">
        <is>
          <t>South India-Sri Lanka Political Relations up to the Chola Period</t>
        </is>
      </c>
      <c r="E112" s="9" t="inlineStr">
        <is>
          <t>K. Arunthavarajah</t>
        </is>
      </c>
      <c r="F112" s="9" t="inlineStr">
        <is>
          <t>International Conference, Manonmaniam Sundaranar University</t>
        </is>
      </c>
      <c r="G112" s="7" t="inlineStr">
        <is>
          <t>Conference paper</t>
        </is>
      </c>
      <c r="H112" s="7" t="inlineStr">
        <is>
          <t>Tamil</t>
        </is>
      </c>
      <c r="I112" s="9" t="n"/>
      <c r="J112" s="9" t="inlineStr">
        <is>
          <t>Chola; relations</t>
        </is>
      </c>
      <c r="K112" s="7" t="inlineStr">
        <is>
          <t>Yes</t>
        </is>
      </c>
      <c r="L112" s="9" t="n"/>
      <c r="M112" s="10" t="inlineStr">
        <is>
          <t>https://www.his.jfn.ac.lk/index.php/profkarunthavarajah/</t>
        </is>
      </c>
    </row>
    <row r="113">
      <c r="A113" s="11" t="inlineStr">
        <is>
          <t>RP-0112</t>
        </is>
      </c>
      <c r="B113" s="12" t="inlineStr">
        <is>
          <t>2011</t>
        </is>
      </c>
      <c r="C113" s="11" t="n"/>
      <c r="D113" s="13" t="inlineStr">
        <is>
          <t>The Antiquity of Sri Lankan Tamils</t>
        </is>
      </c>
      <c r="E113" s="13" t="inlineStr">
        <is>
          <t>K. Arunthavarajah</t>
        </is>
      </c>
      <c r="F113" s="13" t="inlineStr">
        <is>
          <t>9th World Conference, Thiruvaiyaru</t>
        </is>
      </c>
      <c r="G113" s="11" t="inlineStr">
        <is>
          <t>Conference paper</t>
        </is>
      </c>
      <c r="H113" s="11" t="inlineStr">
        <is>
          <t>Tamil</t>
        </is>
      </c>
      <c r="I113" s="13" t="n"/>
      <c r="J113" s="13" t="inlineStr">
        <is>
          <t>antiquity; Tamils</t>
        </is>
      </c>
      <c r="K113" s="11" t="inlineStr">
        <is>
          <t>Yes</t>
        </is>
      </c>
      <c r="L113" s="13" t="n"/>
      <c r="M113" s="14" t="inlineStr">
        <is>
          <t>https://www.his.jfn.ac.lk/index.php/profkarunthavarajah/</t>
        </is>
      </c>
    </row>
    <row r="114">
      <c r="A114" s="7" t="inlineStr">
        <is>
          <t>RP-0113</t>
        </is>
      </c>
      <c r="B114" s="8" t="inlineStr">
        <is>
          <t>2010</t>
        </is>
      </c>
      <c r="C114" s="7" t="n"/>
      <c r="D114" s="9" t="inlineStr">
        <is>
          <t>Chola Military Expeditions on Sri Lanka</t>
        </is>
      </c>
      <c r="E114" s="9" t="inlineStr">
        <is>
          <t>K. Arunthavarajah</t>
        </is>
      </c>
      <c r="F114" s="9" t="inlineStr">
        <is>
          <t>ICHR National Seminar, Madurai</t>
        </is>
      </c>
      <c r="G114" s="7" t="inlineStr">
        <is>
          <t>Conference paper</t>
        </is>
      </c>
      <c r="H114" s="7" t="inlineStr">
        <is>
          <t>English</t>
        </is>
      </c>
      <c r="I114" s="9" t="n"/>
      <c r="J114" s="9" t="inlineStr">
        <is>
          <t>Chola</t>
        </is>
      </c>
      <c r="K114" s="7" t="inlineStr">
        <is>
          <t>Yes</t>
        </is>
      </c>
      <c r="L114" s="9" t="n"/>
      <c r="M114" s="10" t="inlineStr">
        <is>
          <t>https://www.his.jfn.ac.lk/index.php/profkarunthavarajah/</t>
        </is>
      </c>
    </row>
    <row r="115">
      <c r="A115" s="11" t="inlineStr">
        <is>
          <t>RP-0114</t>
        </is>
      </c>
      <c r="B115" s="12" t="inlineStr">
        <is>
          <t>2010</t>
        </is>
      </c>
      <c r="C115" s="11" t="n"/>
      <c r="D115" s="13" t="inlineStr">
        <is>
          <t>Nallur Kandasamy Temple as the Symbol of Traditional Tamil Culture - Historical and Archaeological Perspective</t>
        </is>
      </c>
      <c r="E115" s="13" t="inlineStr">
        <is>
          <t>S. Arulanantham</t>
        </is>
      </c>
      <c r="F115" s="13" t="inlineStr">
        <is>
          <t>Varalarulla, Jaffna</t>
        </is>
      </c>
      <c r="G115" s="11" t="inlineStr">
        <is>
          <t>Book chapter</t>
        </is>
      </c>
      <c r="H115" s="11" t="inlineStr">
        <is>
          <t>Tamil</t>
        </is>
      </c>
      <c r="I115" s="13" t="inlineStr">
        <is>
          <t>Archaeology / தொல்லியல்</t>
        </is>
      </c>
      <c r="J115" s="13" t="inlineStr">
        <is>
          <t>archaeology; Nallur</t>
        </is>
      </c>
      <c r="K115" s="11" t="inlineStr">
        <is>
          <t>Yes</t>
        </is>
      </c>
      <c r="L115" s="13" t="n"/>
      <c r="M115" s="14" t="inlineStr">
        <is>
          <t>https://www.his.jfn.ac.lk/index.php/mrs-s-arulanantham/</t>
        </is>
      </c>
    </row>
    <row r="116">
      <c r="A116" s="7" t="inlineStr">
        <is>
          <t>RP-0115</t>
        </is>
      </c>
      <c r="B116" s="8" t="inlineStr">
        <is>
          <t>2010</t>
        </is>
      </c>
      <c r="C116" s="7" t="n"/>
      <c r="D116" s="9" t="inlineStr">
        <is>
          <t>Tamil Inscriptions in the Colombo National Museum</t>
        </is>
      </c>
      <c r="E116" s="9" t="inlineStr">
        <is>
          <t>S. Pathmanathan</t>
        </is>
      </c>
      <c r="F116" s="9" t="inlineStr">
        <is>
          <t>Spolia Zeylanica, Vol. 47, pp. 1-85, Department of National Museums</t>
        </is>
      </c>
      <c r="G116" s="7" t="inlineStr">
        <is>
          <t>Journal article</t>
        </is>
      </c>
      <c r="H116" s="7" t="inlineStr">
        <is>
          <t>English</t>
        </is>
      </c>
      <c r="I116" s="9" t="inlineStr">
        <is>
          <t>Inscriptions / கல்வெட்டு</t>
        </is>
      </c>
      <c r="J116" s="9" t="inlineStr">
        <is>
          <t>கல்வெட்டு; museum</t>
        </is>
      </c>
      <c r="K116" s="7" t="inlineStr">
        <is>
          <t>Yes</t>
        </is>
      </c>
      <c r="L116" s="9" t="inlineStr">
        <is>
          <t>Written 2005, published 2010</t>
        </is>
      </c>
      <c r="M116" s="10" t="inlineStr">
        <is>
          <t>https://www.lankapradeepa.com/2020/04/tamil-inscriptions-in-sri-lanka_16.html</t>
        </is>
      </c>
    </row>
    <row r="117">
      <c r="A117" s="11" t="inlineStr">
        <is>
          <t>RP-0116</t>
        </is>
      </c>
      <c r="B117" s="12" t="inlineStr">
        <is>
          <t>2010</t>
        </is>
      </c>
      <c r="C117" s="11" t="n"/>
      <c r="D117" s="13" t="inlineStr">
        <is>
          <t>Was the German reading of the Tissamaharama Brahmi inscription a scholarly misdirection? (in Sinhala)</t>
        </is>
      </c>
      <c r="E117" s="13" t="inlineStr">
        <is>
          <t>R. Somadeva</t>
        </is>
      </c>
      <c r="F117" s="13" t="inlineStr">
        <is>
          <t>Dinithi, Vol. 1, Part IV, pp. 2-5</t>
        </is>
      </c>
      <c r="G117" s="11" t="inlineStr">
        <is>
          <t>Journal article</t>
        </is>
      </c>
      <c r="H117" s="11" t="inlineStr">
        <is>
          <t>Sinhala</t>
        </is>
      </c>
      <c r="I117" s="13" t="inlineStr">
        <is>
          <t>Inscriptions / கல்வெட்டு; Brahmi / பிராமி</t>
        </is>
      </c>
      <c r="J117" s="13" t="inlineStr">
        <is>
          <t>Tissamaharama; Tamil Brahmi debate</t>
        </is>
      </c>
      <c r="K117" s="11" t="inlineStr">
        <is>
          <t>Yes</t>
        </is>
      </c>
      <c r="L117" s="13" t="inlineStr">
        <is>
          <t>ISSN 2012-7189</t>
        </is>
      </c>
      <c r="M117" s="14" t="inlineStr">
        <is>
          <t>https://www.lankapradeepa.com/2020/04/tamil-inscriptions-in-sri-lanka_16.html</t>
        </is>
      </c>
    </row>
    <row r="118">
      <c r="A118" s="7" t="inlineStr">
        <is>
          <t>RP-0117</t>
        </is>
      </c>
      <c r="B118" s="8" t="inlineStr">
        <is>
          <t>2009</t>
        </is>
      </c>
      <c r="C118" s="7" t="n"/>
      <c r="D118" s="9" t="inlineStr">
        <is>
          <t>Nationalism, Historiography and Archaeology in Sri Lanka</t>
        </is>
      </c>
      <c r="E118" s="9" t="inlineStr">
        <is>
          <t>S. Sitrampalam</t>
        </is>
      </c>
      <c r="F118" s="9" t="inlineStr">
        <is>
          <t>Pathways of Dissent: Tamil Nationalism in Sri Lanka</t>
        </is>
      </c>
      <c r="G118" s="7" t="inlineStr">
        <is>
          <t>Book chapter</t>
        </is>
      </c>
      <c r="H118" s="7" t="inlineStr">
        <is>
          <t>English</t>
        </is>
      </c>
      <c r="I118" s="9" t="inlineStr">
        <is>
          <t>Archaeology / தொல்லியல்</t>
        </is>
      </c>
      <c r="J118" s="9" t="inlineStr">
        <is>
          <t>archaeology</t>
        </is>
      </c>
      <c r="K118" s="7" t="inlineStr">
        <is>
          <t>Yes</t>
        </is>
      </c>
      <c r="L118" s="9" t="inlineStr">
        <is>
          <t>Crossref query: Tamil inscription Sri Lanka. Auto-collected 2026-10-14 (crossref); review.</t>
        </is>
      </c>
      <c r="M118" s="10" t="inlineStr">
        <is>
          <t>https://doi.org/10.4135/9788132104322.n1</t>
        </is>
      </c>
    </row>
    <row r="119">
      <c r="A119" s="11" t="inlineStr">
        <is>
          <t>RP-0118</t>
        </is>
      </c>
      <c r="B119" s="12" t="inlineStr">
        <is>
          <t>2009</t>
        </is>
      </c>
      <c r="C119" s="11" t="inlineStr">
        <is>
          <t>2009-03-01</t>
        </is>
      </c>
      <c r="D119" s="13" t="inlineStr">
        <is>
          <t>Interesting The Rock Art of Sri Lanka</t>
        </is>
      </c>
      <c r="E119" s="13" t="inlineStr">
        <is>
          <t>ジャヤトゥンガ マンガリカ</t>
        </is>
      </c>
      <c r="F119" s="13" t="inlineStr">
        <is>
          <t>Medical Entomology and Zoology</t>
        </is>
      </c>
      <c r="G119" s="11" t="inlineStr">
        <is>
          <t>Article</t>
        </is>
      </c>
      <c r="H119" s="11" t="inlineStr">
        <is>
          <t>English</t>
        </is>
      </c>
      <c r="I119" s="13" t="inlineStr">
        <is>
          <t>Rock art / பாறை ஓவியம்</t>
        </is>
      </c>
      <c r="J119" s="13" t="inlineStr">
        <is>
          <t>rock art</t>
        </is>
      </c>
      <c r="K119" s="11" t="inlineStr">
        <is>
          <t>Yes</t>
        </is>
      </c>
      <c r="L119" s="13" t="inlineStr">
        <is>
          <t>OpenAlex query: rock art Sri Lanka. Auto-collected 2026-10-14 (openalex); review.</t>
        </is>
      </c>
      <c r="M119" s="14" t="inlineStr">
        <is>
          <t>http://ci.nii.ac.jp/naid/110008803030</t>
        </is>
      </c>
    </row>
    <row r="120">
      <c r="A120" s="7" t="inlineStr">
        <is>
          <t>RP-0119</t>
        </is>
      </c>
      <c r="B120" s="8" t="inlineStr">
        <is>
          <t>2009</t>
        </is>
      </c>
      <c r="C120" s="7" t="inlineStr">
        <is>
          <t>2009-10-15</t>
        </is>
      </c>
      <c r="D120" s="9" t="inlineStr">
        <is>
          <t>Pathways of Dissent: Tamil Nationalism in Sri Lanka</t>
        </is>
      </c>
      <c r="E120" s="9" t="inlineStr">
        <is>
          <t>Rudhramoorthy Cheran</t>
        </is>
      </c>
      <c r="F120" s="9" t="n"/>
      <c r="G120" s="7" t="inlineStr">
        <is>
          <t>Article</t>
        </is>
      </c>
      <c r="H120" s="7" t="inlineStr">
        <is>
          <t>English</t>
        </is>
      </c>
      <c r="I120" s="9" t="n"/>
      <c r="J120" s="9" t="n"/>
      <c r="K120" s="7" t="inlineStr">
        <is>
          <t>Yes</t>
        </is>
      </c>
      <c r="L120" s="9" t="inlineStr">
        <is>
          <t>OpenAlex query: Jaffna archaeology. Auto-collected 2026-10-14 (openalex); review.</t>
        </is>
      </c>
      <c r="M120" s="10" t="inlineStr">
        <is>
          <t>http://bvbr.bib-bvb.de:8991/F?func=service&amp;doc_library=BVB01&amp;local_base=BVB01&amp;doc_number=018902727&amp;sequence=000001&amp;line_number=0001&amp;func_code=DB_RECORDS&amp;service_type=MEDIA</t>
        </is>
      </c>
    </row>
    <row r="121">
      <c r="A121" s="11" t="inlineStr">
        <is>
          <t>RP-0120</t>
        </is>
      </c>
      <c r="B121" s="12" t="inlineStr">
        <is>
          <t>2008</t>
        </is>
      </c>
      <c r="C121" s="11" t="inlineStr">
        <is>
          <t>2008-01-01</t>
        </is>
      </c>
      <c r="D121" s="13" t="inlineStr">
        <is>
          <t>Eloquent bodies: communicating violence in northern Sri Lanka.</t>
        </is>
      </c>
      <c r="E121" s="13" t="inlineStr">
        <is>
          <t>Jane Derges</t>
        </is>
      </c>
      <c r="F121" s="13" t="inlineStr">
        <is>
          <t>OpenGrey (Institut de l'Information Scientifique et Technique)</t>
        </is>
      </c>
      <c r="G121" s="11" t="inlineStr">
        <is>
          <t>Dissertation</t>
        </is>
      </c>
      <c r="H121" s="11" t="inlineStr">
        <is>
          <t>English</t>
        </is>
      </c>
      <c r="I121" s="13" t="n"/>
      <c r="J121" s="13" t="n"/>
      <c r="K121" s="11" t="inlineStr">
        <is>
          <t>Yes</t>
        </is>
      </c>
      <c r="L121" s="13" t="inlineStr">
        <is>
          <t>OpenAlex query: Tamil inscription Sri Lanka. Auto-collected 2026-10-14 (openalex); review.</t>
        </is>
      </c>
      <c r="M121" s="14" t="inlineStr">
        <is>
          <t>http://hdl.handle.net/10068/956236</t>
        </is>
      </c>
    </row>
    <row r="122">
      <c r="A122" s="7" t="inlineStr">
        <is>
          <t>RP-0121</t>
        </is>
      </c>
      <c r="B122" s="8" t="inlineStr">
        <is>
          <t>2006</t>
        </is>
      </c>
      <c r="C122" s="7" t="n"/>
      <c r="D122" s="9" t="inlineStr">
        <is>
          <t>Hindu and Buddhist Architecture in Sri Lanka</t>
        </is>
      </c>
      <c r="E122" s="9" t="inlineStr">
        <is>
          <t>S. Pathmanathan</t>
        </is>
      </c>
      <c r="F122" s="9" t="inlineStr">
        <is>
          <t>Sangam: Essays in Honour of Dr R. Krishnamurthy, Chennai</t>
        </is>
      </c>
      <c r="G122" s="7" t="inlineStr">
        <is>
          <t>Book chapter</t>
        </is>
      </c>
      <c r="H122" s="7" t="inlineStr">
        <is>
          <t>English</t>
        </is>
      </c>
      <c r="I122" s="9" t="n"/>
      <c r="J122" s="9" t="inlineStr">
        <is>
          <t>architecture</t>
        </is>
      </c>
      <c r="K122" s="7" t="inlineStr">
        <is>
          <t>Yes</t>
        </is>
      </c>
      <c r="L122" s="9" t="n"/>
      <c r="M122" s="10" t="inlineStr">
        <is>
          <t>https://jfn.ac.lk/prof-s-pathmanathan/</t>
        </is>
      </c>
    </row>
    <row r="123">
      <c r="A123" s="11" t="inlineStr">
        <is>
          <t>RP-0122</t>
        </is>
      </c>
      <c r="B123" s="12" t="inlineStr">
        <is>
          <t>2006</t>
        </is>
      </c>
      <c r="C123" s="11" t="inlineStr">
        <is>
          <t>2006-01-01</t>
        </is>
      </c>
      <c r="D123" s="13" t="inlineStr">
        <is>
          <t>The Anuradhapura (Sri Lanka) Project: The Hinterland (phase II), Preliminary Report of the First Season 2005</t>
        </is>
      </c>
      <c r="E123" s="13" t="inlineStr">
        <is>
          <t>Robin A. E. Coningham, Prishanta Gunawardhana, G. Adikari, Mangala Katugampola, Ian A. Simpson, Ruth Young</t>
        </is>
      </c>
      <c r="F123" s="13" t="inlineStr">
        <is>
          <t>South Asian Studies</t>
        </is>
      </c>
      <c r="G123" s="11" t="inlineStr">
        <is>
          <t>Article</t>
        </is>
      </c>
      <c r="H123" s="11" t="inlineStr">
        <is>
          <t>English</t>
        </is>
      </c>
      <c r="I123" s="13" t="n"/>
      <c r="J123" s="13" t="n"/>
      <c r="K123" s="11" t="inlineStr">
        <is>
          <t>Yes</t>
        </is>
      </c>
      <c r="L123" s="13" t="inlineStr">
        <is>
          <t>OpenAlex query: Kantarodai. Auto-collected 2026-10-14 (openalex); review.</t>
        </is>
      </c>
      <c r="M123" s="14" t="inlineStr">
        <is>
          <t>https://doi.org/10.1080/02666030.2006.9628657</t>
        </is>
      </c>
    </row>
    <row r="124">
      <c r="A124" s="7" t="inlineStr">
        <is>
          <t>RP-0123</t>
        </is>
      </c>
      <c r="B124" s="8" t="inlineStr">
        <is>
          <t>2005</t>
        </is>
      </c>
      <c r="C124" s="7" t="n"/>
      <c r="D124" s="9" t="inlineStr">
        <is>
          <t>The Kingdom of Jaffna before the Portuguese Conquest</t>
        </is>
      </c>
      <c r="E124" s="9" t="inlineStr">
        <is>
          <t>S. Pathmanathan</t>
        </is>
      </c>
      <c r="F124" s="9" t="inlineStr">
        <is>
          <t>For Such a Time As This, American Ceylon Mission Press</t>
        </is>
      </c>
      <c r="G124" s="7" t="inlineStr">
        <is>
          <t>Book chapter</t>
        </is>
      </c>
      <c r="H124" s="7" t="inlineStr">
        <is>
          <t>English</t>
        </is>
      </c>
      <c r="I124" s="9" t="n"/>
      <c r="J124" s="9" t="inlineStr">
        <is>
          <t>Jaffna kingdom</t>
        </is>
      </c>
      <c r="K124" s="7" t="inlineStr">
        <is>
          <t>Yes</t>
        </is>
      </c>
      <c r="L124" s="9" t="n"/>
      <c r="M124" s="10" t="inlineStr">
        <is>
          <t>https://jfn.ac.lk/prof-s-pathmanathan/</t>
        </is>
      </c>
    </row>
    <row r="125">
      <c r="A125" s="11" t="inlineStr">
        <is>
          <t>RP-0124</t>
        </is>
      </c>
      <c r="B125" s="12" t="inlineStr">
        <is>
          <t>2004</t>
        </is>
      </c>
      <c r="C125" s="11" t="n"/>
      <c r="D125" s="13" t="inlineStr">
        <is>
          <t>New Light on the Decline of Polonnaruwa (1196-1215): The Tamil Pillar Inscription from Rankot Vihara</t>
        </is>
      </c>
      <c r="E125" s="13" t="inlineStr">
        <is>
          <t>S. Pathmanathan</t>
        </is>
      </c>
      <c r="F125" s="13" t="inlineStr">
        <is>
          <t>Proceedings of the Peradeniya University Research Sessions, Vol. 9, p. 31</t>
        </is>
      </c>
      <c r="G125" s="11" t="inlineStr">
        <is>
          <t>Journal article</t>
        </is>
      </c>
      <c r="H125" s="11" t="inlineStr">
        <is>
          <t>English</t>
        </is>
      </c>
      <c r="I125" s="13" t="inlineStr">
        <is>
          <t>Inscriptions / கல்வெட்டு</t>
        </is>
      </c>
      <c r="J125" s="13" t="inlineStr">
        <is>
          <t>கல்வெட்டு; Rankot Vihara; Polonnaruwa</t>
        </is>
      </c>
      <c r="K125" s="11" t="inlineStr">
        <is>
          <t>Yes</t>
        </is>
      </c>
      <c r="L125" s="13" t="inlineStr">
        <is>
          <t>Cited in Lanka Pradeepa list</t>
        </is>
      </c>
      <c r="M125" s="14" t="inlineStr">
        <is>
          <t>https://www.lankapradeepa.com/2020/04/tamil-inscriptions-in-sri-lanka_16.html</t>
        </is>
      </c>
    </row>
    <row r="126">
      <c r="A126" s="7" t="inlineStr">
        <is>
          <t>RP-0125</t>
        </is>
      </c>
      <c r="B126" s="8" t="inlineStr">
        <is>
          <t>2004</t>
        </is>
      </c>
      <c r="C126" s="7" t="inlineStr">
        <is>
          <t>2004-01-01</t>
        </is>
      </c>
      <c r="D126" s="9" t="inlineStr">
        <is>
          <t>Vedda rock art in Sri Lanka depicting reptiles with special reference to the Golden Gecko, Calodactylodes Illingworthorum (Reptilia : Gekkonidae)</t>
        </is>
      </c>
      <c r="E126" s="9" t="inlineStr">
        <is>
          <t>Indraneil Das, Silva, Aaron M. Bauer, S. Goonewardene</t>
        </is>
      </c>
      <c r="F126" s="9" t="inlineStr">
        <is>
          <t>Unimas Institutional Repository (Universiti Malaysia Sarawak)</t>
        </is>
      </c>
      <c r="G126" s="7" t="inlineStr">
        <is>
          <t>Article</t>
        </is>
      </c>
      <c r="H126" s="7" t="inlineStr">
        <is>
          <t>English</t>
        </is>
      </c>
      <c r="I126" s="9" t="inlineStr">
        <is>
          <t>Rock art / பாறை ஓவியம்</t>
        </is>
      </c>
      <c r="J126" s="9" t="inlineStr">
        <is>
          <t>rock art</t>
        </is>
      </c>
      <c r="K126" s="7" t="inlineStr">
        <is>
          <t>Yes</t>
        </is>
      </c>
      <c r="L126" s="9" t="inlineStr">
        <is>
          <t>OpenAlex query: rock art Sri Lanka. Auto-collected 2026-10-14 (openalex); review.</t>
        </is>
      </c>
      <c r="M126" s="10" t="inlineStr">
        <is>
          <t>http://ir.unimas.my/id/eprint/24938/1/255-%20de%20Silva%20et%20al.%20%28Vedda%20rock%20art%29.pdf</t>
        </is>
      </c>
    </row>
    <row r="127">
      <c r="A127" s="11" t="inlineStr">
        <is>
          <t>RP-0126</t>
        </is>
      </c>
      <c r="B127" s="12" t="inlineStr">
        <is>
          <t>2003</t>
        </is>
      </c>
      <c r="C127" s="11" t="n"/>
      <c r="D127" s="13" t="inlineStr">
        <is>
          <t>Hindu Bronzes of the Polonnaruva Period</t>
        </is>
      </c>
      <c r="E127" s="13" t="inlineStr">
        <is>
          <t>S. Pathmanathan</t>
        </is>
      </c>
      <c r="F127" s="13" t="inlineStr">
        <is>
          <t>2nd World Hindu Conference Souvenir</t>
        </is>
      </c>
      <c r="G127" s="11" t="inlineStr">
        <is>
          <t>Book chapter</t>
        </is>
      </c>
      <c r="H127" s="11" t="inlineStr">
        <is>
          <t>English</t>
        </is>
      </c>
      <c r="I127" s="13" t="n"/>
      <c r="J127" s="13" t="inlineStr">
        <is>
          <t>bronzes; Polonnaruwa</t>
        </is>
      </c>
      <c r="K127" s="11" t="inlineStr">
        <is>
          <t>Yes</t>
        </is>
      </c>
      <c r="L127" s="13" t="n"/>
      <c r="M127" s="14" t="inlineStr">
        <is>
          <t>https://jfn.ac.lk/prof-s-pathmanathan/</t>
        </is>
      </c>
    </row>
    <row r="128">
      <c r="A128" s="7" t="inlineStr">
        <is>
          <t>RP-0127</t>
        </is>
      </c>
      <c r="B128" s="8" t="inlineStr">
        <is>
          <t>2003</t>
        </is>
      </c>
      <c r="C128" s="7" t="n"/>
      <c r="D128" s="9" t="inlineStr">
        <is>
          <t>Some Bronzes from the Jetavanarama Site</t>
        </is>
      </c>
      <c r="E128" s="9" t="inlineStr">
        <is>
          <t>S. Pathmanathan</t>
        </is>
      </c>
      <c r="F128" s="9" t="inlineStr">
        <is>
          <t>Glimpses of Hindu Heritage</t>
        </is>
      </c>
      <c r="G128" s="7" t="inlineStr">
        <is>
          <t>Book chapter</t>
        </is>
      </c>
      <c r="H128" s="7" t="inlineStr">
        <is>
          <t>English</t>
        </is>
      </c>
      <c r="I128" s="9" t="inlineStr">
        <is>
          <t>Archaeology / தொல்லியல்</t>
        </is>
      </c>
      <c r="J128" s="9" t="inlineStr">
        <is>
          <t>bronzes; archaeology</t>
        </is>
      </c>
      <c r="K128" s="7" t="inlineStr">
        <is>
          <t>Yes</t>
        </is>
      </c>
      <c r="L128" s="9" t="n"/>
      <c r="M128" s="10" t="inlineStr">
        <is>
          <t>https://jfn.ac.lk/prof-s-pathmanathan/</t>
        </is>
      </c>
    </row>
    <row r="129">
      <c r="A129" s="11" t="inlineStr">
        <is>
          <t>RP-0128</t>
        </is>
      </c>
      <c r="B129" s="12" t="inlineStr">
        <is>
          <t>2003</t>
        </is>
      </c>
      <c r="C129" s="11" t="inlineStr">
        <is>
          <t>2003-12-27</t>
        </is>
      </c>
      <c r="D129" s="13" t="inlineStr">
        <is>
          <t>An Analysis of World Heritage Sites in Sri Lanka (The Religion, Politics, and Culture of South Asia / 特集：南アジアの宗教・政治・文化 )</t>
        </is>
      </c>
      <c r="E129" s="13" t="inlineStr">
        <is>
          <t>Jahnvi Dameron-Nandan</t>
        </is>
      </c>
      <c r="F129" s="13" t="inlineStr">
        <is>
          <t>Institutional Repositories DataBase (IRDB)</t>
        </is>
      </c>
      <c r="G129" s="11" t="inlineStr">
        <is>
          <t>Article</t>
        </is>
      </c>
      <c r="H129" s="11" t="inlineStr">
        <is>
          <t>ja</t>
        </is>
      </c>
      <c r="I129" s="13" t="inlineStr">
        <is>
          <t>Archaeology / தொல்லியல்</t>
        </is>
      </c>
      <c r="J129" s="13" t="n"/>
      <c r="K129" s="11" t="inlineStr">
        <is>
          <t>Yes</t>
        </is>
      </c>
      <c r="L129" s="13" t="inlineStr">
        <is>
          <t>OpenAlex query: Polonnaruwa Tamil inscription. Auto-collected 2026-10-14 (openalex); review.</t>
        </is>
      </c>
      <c r="M129" s="14" t="inlineStr">
        <is>
          <t>https://doi.org/10.69341/2005222</t>
        </is>
      </c>
    </row>
    <row r="130">
      <c r="A130" s="7" t="inlineStr">
        <is>
          <t>RP-0129</t>
        </is>
      </c>
      <c r="B130" s="8" t="inlineStr">
        <is>
          <t>2002</t>
        </is>
      </c>
      <c r="C130" s="7" t="n"/>
      <c r="D130" s="9" t="inlineStr">
        <is>
          <t>Buddhism in Nakapattinam (and related inscription studies)</t>
        </is>
      </c>
      <c r="E130" s="9" t="inlineStr">
        <is>
          <t>S. Pathmanathan</t>
        </is>
      </c>
      <c r="F130" s="9" t="inlineStr">
        <is>
          <t>Buddhism among Tamils in Pre-Colonial Tamilakam and Ilam, Uppsala</t>
        </is>
      </c>
      <c r="G130" s="7" t="inlineStr">
        <is>
          <t>Book chapter</t>
        </is>
      </c>
      <c r="H130" s="7" t="inlineStr">
        <is>
          <t>English</t>
        </is>
      </c>
      <c r="I130" s="9" t="inlineStr">
        <is>
          <t>Inscriptions / கல்வெட்டு</t>
        </is>
      </c>
      <c r="J130" s="9" t="inlineStr">
        <is>
          <t>Buddhism; inscriptions</t>
        </is>
      </c>
      <c r="K130" s="7" t="inlineStr">
        <is>
          <t>Yes</t>
        </is>
      </c>
      <c r="L130" s="9" t="n"/>
      <c r="M130" s="10" t="inlineStr">
        <is>
          <t>https://jfn.ac.lk/prof-s-pathmanathan/</t>
        </is>
      </c>
    </row>
    <row r="131">
      <c r="A131" s="11" t="inlineStr">
        <is>
          <t>RP-0130</t>
        </is>
      </c>
      <c r="B131" s="12" t="inlineStr">
        <is>
          <t>2002</t>
        </is>
      </c>
      <c r="C131" s="11" t="n"/>
      <c r="D131" s="13" t="inlineStr">
        <is>
          <t>The Lankatilaka Temple: Inscriptions of a Merchant Community</t>
        </is>
      </c>
      <c r="E131" s="13" t="inlineStr">
        <is>
          <t>S. Pathmanathan</t>
        </is>
      </c>
      <c r="F131" s="13" t="inlineStr">
        <is>
          <t>Taisho University Project Report (ed. N. Karashima)</t>
        </is>
      </c>
      <c r="G131" s="11" t="inlineStr">
        <is>
          <t>Book chapter</t>
        </is>
      </c>
      <c r="H131" s="11" t="inlineStr">
        <is>
          <t>English</t>
        </is>
      </c>
      <c r="I131" s="13" t="inlineStr">
        <is>
          <t>Inscriptions / கல்வெட்டு</t>
        </is>
      </c>
      <c r="J131" s="13" t="inlineStr">
        <is>
          <t>inscriptions; merchant community</t>
        </is>
      </c>
      <c r="K131" s="11" t="inlineStr">
        <is>
          <t>Yes</t>
        </is>
      </c>
      <c r="L131" s="13" t="n"/>
      <c r="M131" s="14" t="inlineStr">
        <is>
          <t>https://jfn.ac.lk/prof-s-pathmanathan/</t>
        </is>
      </c>
    </row>
    <row r="132">
      <c r="A132" s="7" t="inlineStr">
        <is>
          <t>RP-0131</t>
        </is>
      </c>
      <c r="B132" s="8" t="inlineStr">
        <is>
          <t>2000</t>
        </is>
      </c>
      <c r="C132" s="7" t="n"/>
      <c r="D132" s="9" t="inlineStr">
        <is>
          <t>The Nakaram of the Nanadesis: The Tanmacakarappattinam at Viharehinna</t>
        </is>
      </c>
      <c r="E132" s="9" t="inlineStr">
        <is>
          <t>S. Pathmanathan</t>
        </is>
      </c>
      <c r="F132" s="9" t="inlineStr">
        <is>
          <t>Sri Lanka Journal of the Humanities, Vols. XXIV-XXV (1998-99)</t>
        </is>
      </c>
      <c r="G132" s="7" t="inlineStr">
        <is>
          <t>Journal article</t>
        </is>
      </c>
      <c r="H132" s="7" t="inlineStr">
        <is>
          <t>English</t>
        </is>
      </c>
      <c r="I132" s="9" t="inlineStr">
        <is>
          <t>Inscriptions / கல்வெட்டு</t>
        </is>
      </c>
      <c r="J132" s="9" t="inlineStr">
        <is>
          <t>merchant guild; inscription; Nanadesi</t>
        </is>
      </c>
      <c r="K132" s="7" t="inlineStr">
        <is>
          <t>Yes</t>
        </is>
      </c>
      <c r="L132" s="9" t="n"/>
      <c r="M132" s="10" t="inlineStr">
        <is>
          <t>https://jfn.ac.lk/prof-s-pathmanathan/</t>
        </is>
      </c>
    </row>
    <row r="133">
      <c r="A133" s="11" t="inlineStr">
        <is>
          <t>RP-0132</t>
        </is>
      </c>
      <c r="B133" s="12" t="inlineStr">
        <is>
          <t>2000</t>
        </is>
      </c>
      <c r="C133" s="11" t="n"/>
      <c r="D133" s="13" t="inlineStr">
        <is>
          <t>Trade and Urbanization in Medieval Sri Lanka</t>
        </is>
      </c>
      <c r="E133" s="13" t="inlineStr">
        <is>
          <t>S. Pathmanathan</t>
        </is>
      </c>
      <c r="F133" s="13" t="inlineStr">
        <is>
          <t>Reflections on a Heritage, Central Cultural Fund</t>
        </is>
      </c>
      <c r="G133" s="11" t="inlineStr">
        <is>
          <t>Book chapter</t>
        </is>
      </c>
      <c r="H133" s="11" t="inlineStr">
        <is>
          <t>English</t>
        </is>
      </c>
      <c r="I133" s="13" t="inlineStr">
        <is>
          <t>Inscriptions / கல்வெட்டு</t>
        </is>
      </c>
      <c r="J133" s="13" t="inlineStr">
        <is>
          <t>trade; inscriptions</t>
        </is>
      </c>
      <c r="K133" s="11" t="inlineStr">
        <is>
          <t>Yes</t>
        </is>
      </c>
      <c r="L133" s="13" t="n"/>
      <c r="M133" s="14" t="inlineStr">
        <is>
          <t>https://jfn.ac.lk/prof-s-pathmanathan/</t>
        </is>
      </c>
    </row>
    <row r="134">
      <c r="A134" s="7" t="inlineStr">
        <is>
          <t>RP-0133</t>
        </is>
      </c>
      <c r="B134" s="8" t="inlineStr">
        <is>
          <t>1998</t>
        </is>
      </c>
      <c r="C134" s="7" t="n"/>
      <c r="D134" s="9" t="inlineStr">
        <is>
          <t>The Annaikoddai Seal: Beyond the Homelands Approach (in Sinhala)</t>
        </is>
      </c>
      <c r="E134" s="9" t="inlineStr">
        <is>
          <t>R. Somadeva</t>
        </is>
      </c>
      <c r="F134" s="9" t="inlineStr">
        <is>
          <t>In P. Gunawardhana et al. (eds.), Sarasavi, pp. 39-49</t>
        </is>
      </c>
      <c r="G134" s="7" t="inlineStr">
        <is>
          <t>Book chapter</t>
        </is>
      </c>
      <c r="H134" s="7" t="inlineStr">
        <is>
          <t>Sinhala</t>
        </is>
      </c>
      <c r="I134" s="9" t="inlineStr">
        <is>
          <t>Inscriptions / கல்வெட்டு; Brahmi / பிராமி</t>
        </is>
      </c>
      <c r="J134" s="9" t="inlineStr">
        <is>
          <t>Anaikoddai seal; Tamil Brahmi</t>
        </is>
      </c>
      <c r="K134" s="7" t="inlineStr">
        <is>
          <t>Yes</t>
        </is>
      </c>
      <c r="L134" s="9" t="inlineStr">
        <is>
          <t>ISBN 955-96402-0-3</t>
        </is>
      </c>
      <c r="M134" s="10" t="inlineStr">
        <is>
          <t>https://www.lankapradeepa.com/2020/04/tamil-inscriptions-in-sri-lanka_16.html</t>
        </is>
      </c>
    </row>
    <row r="135">
      <c r="A135" s="11" t="inlineStr">
        <is>
          <t>RP-0134</t>
        </is>
      </c>
      <c r="B135" s="12" t="inlineStr">
        <is>
          <t>1997</t>
        </is>
      </c>
      <c r="C135" s="11" t="n"/>
      <c r="D135" s="13" t="inlineStr">
        <is>
          <t>The Akkacalaip-perumpalli at Nakapattinam</t>
        </is>
      </c>
      <c r="E135" s="13" t="inlineStr">
        <is>
          <t>S. Pathmanathan</t>
        </is>
      </c>
      <c r="F135" s="13" t="inlineStr">
        <is>
          <t>Sri Lanka Journal of the Humanities, Vol. XXIII</t>
        </is>
      </c>
      <c r="G135" s="11" t="inlineStr">
        <is>
          <t>Journal article</t>
        </is>
      </c>
      <c r="H135" s="11" t="inlineStr">
        <is>
          <t>English</t>
        </is>
      </c>
      <c r="I135" s="13" t="inlineStr">
        <is>
          <t>Inscriptions / கல்வெட்டு</t>
        </is>
      </c>
      <c r="J135" s="13" t="inlineStr">
        <is>
          <t>inscriptions; Buddhism; Tamil</t>
        </is>
      </c>
      <c r="K135" s="11" t="inlineStr">
        <is>
          <t>Yes</t>
        </is>
      </c>
      <c r="L135" s="13" t="n"/>
      <c r="M135" s="14" t="inlineStr">
        <is>
          <t>https://jfn.ac.lk/prof-s-pathmanathan/</t>
        </is>
      </c>
    </row>
    <row r="136">
      <c r="A136" s="7" t="inlineStr">
        <is>
          <t>RP-0135</t>
        </is>
      </c>
      <c r="B136" s="8" t="inlineStr">
        <is>
          <t>1995</t>
        </is>
      </c>
      <c r="C136" s="7" t="n"/>
      <c r="D136" s="9" t="inlineStr">
        <is>
          <t>The Tamil Pillar Inscription from Mankanay</t>
        </is>
      </c>
      <c r="E136" s="9" t="inlineStr">
        <is>
          <t>S. Pathmanathan</t>
        </is>
      </c>
      <c r="F136" s="9" t="inlineStr">
        <is>
          <t>The Sri Lanka Journal of the Humanities, Vol. 21, No. 1-2, pp. 31-41 (University of Peradeniya)</t>
        </is>
      </c>
      <c r="G136" s="7" t="inlineStr">
        <is>
          <t>Journal article</t>
        </is>
      </c>
      <c r="H136" s="7" t="inlineStr">
        <is>
          <t>English</t>
        </is>
      </c>
      <c r="I136" s="9" t="inlineStr">
        <is>
          <t>Inscriptions / கல்வெட்டு</t>
        </is>
      </c>
      <c r="J136" s="9" t="inlineStr">
        <is>
          <t>pillar inscription; Mankanay</t>
        </is>
      </c>
      <c r="K136" s="7" t="inlineStr">
        <is>
          <t>No (earlier reference)</t>
        </is>
      </c>
      <c r="L136" s="9" t="inlineStr">
        <is>
          <t>Just before 30-yr window; kept</t>
        </is>
      </c>
      <c r="M136" s="10" t="inlineStr">
        <is>
          <t>https://ir.lib.pdn.ac.lk/handle/20.500.14444/3809</t>
        </is>
      </c>
    </row>
    <row r="137">
      <c r="A137" s="11" t="inlineStr">
        <is>
          <t>RP-0136</t>
        </is>
      </c>
      <c r="B137" s="12" t="inlineStr">
        <is>
          <t>1994</t>
        </is>
      </c>
      <c r="C137" s="11" t="n"/>
      <c r="D137" s="13" t="inlineStr">
        <is>
          <t>The Tamil Slab Inscription of the Virakkoti at Budumuttawa, Nikaweratiya</t>
        </is>
      </c>
      <c r="E137" s="13" t="inlineStr">
        <is>
          <t>S. Pathmanathan</t>
        </is>
      </c>
      <c r="F137" s="13" t="inlineStr">
        <is>
          <t>Urbanization at Magala, pp. 15-30</t>
        </is>
      </c>
      <c r="G137" s="11" t="inlineStr">
        <is>
          <t>Book chapter</t>
        </is>
      </c>
      <c r="H137" s="11" t="inlineStr">
        <is>
          <t>English</t>
        </is>
      </c>
      <c r="I137" s="13" t="inlineStr">
        <is>
          <t>Inscriptions / கல்வெட்டு</t>
        </is>
      </c>
      <c r="J137" s="13" t="inlineStr">
        <is>
          <t>கல்வெட்டு; merchant guild</t>
        </is>
      </c>
      <c r="K137" s="11" t="inlineStr">
        <is>
          <t>No (earlier reference)</t>
        </is>
      </c>
      <c r="L137" s="13" t="inlineStr">
        <is>
          <t>Year from Lanka Pradeepa list</t>
        </is>
      </c>
      <c r="M137" s="14" t="inlineStr">
        <is>
          <t>https://ir.lib.pdn.ac.lk/items/583155fd-b49e-4398-8b04-51776c4dbf8f/full</t>
        </is>
      </c>
    </row>
    <row r="138">
      <c r="A138" s="7" t="inlineStr">
        <is>
          <t>RP-0137</t>
        </is>
      </c>
      <c r="B138" s="8" t="inlineStr">
        <is>
          <t>1991</t>
        </is>
      </c>
      <c r="C138" s="7" t="n"/>
      <c r="D138" s="9" t="inlineStr">
        <is>
          <t>Inscription No. 2 from Fort Hammenhiel, Kayts</t>
        </is>
      </c>
      <c r="E138" s="9" t="inlineStr">
        <is>
          <t>K. Indrapala</t>
        </is>
      </c>
      <c r="F138" s="9" t="inlineStr">
        <is>
          <t>Epigraphia Zeylanica, Vol. VI, Part II, pp. 154-160</t>
        </is>
      </c>
      <c r="G138" s="7" t="inlineStr">
        <is>
          <t>Journal article</t>
        </is>
      </c>
      <c r="H138" s="7" t="inlineStr">
        <is>
          <t>English</t>
        </is>
      </c>
      <c r="I138" s="9" t="inlineStr">
        <is>
          <t>Inscriptions / கல்வெட்டு</t>
        </is>
      </c>
      <c r="J138" s="9" t="inlineStr">
        <is>
          <t>கல்வெட்டு; Kayts</t>
        </is>
      </c>
      <c r="K138" s="7" t="inlineStr">
        <is>
          <t>No (earlier reference)</t>
        </is>
      </c>
      <c r="L138" s="9" t="inlineStr">
        <is>
          <t>Pre-1996 reference</t>
        </is>
      </c>
      <c r="M138" s="10" t="inlineStr">
        <is>
          <t>https://www.lankapradeepa.com/2020/04/tamil-inscriptions-in-sri-lanka_16.html</t>
        </is>
      </c>
    </row>
    <row r="139">
      <c r="A139" s="11" t="inlineStr">
        <is>
          <t>RP-0138</t>
        </is>
      </c>
      <c r="B139" s="12" t="inlineStr">
        <is>
          <t>1990</t>
        </is>
      </c>
      <c r="C139" s="11" t="n"/>
      <c r="D139" s="13" t="inlineStr">
        <is>
          <t>The Bronze Seal of the Nanadesis from Hambantota</t>
        </is>
      </c>
      <c r="E139" s="13" t="inlineStr">
        <is>
          <t>S. Pathmanathan</t>
        </is>
      </c>
      <c r="F139" s="13" t="inlineStr">
        <is>
          <t>Asian Panorama, Satguru Publications</t>
        </is>
      </c>
      <c r="G139" s="11" t="inlineStr">
        <is>
          <t>Book chapter</t>
        </is>
      </c>
      <c r="H139" s="11" t="inlineStr">
        <is>
          <t>English</t>
        </is>
      </c>
      <c r="I139" s="13" t="inlineStr">
        <is>
          <t>Inscriptions / கல்வெட்டு</t>
        </is>
      </c>
      <c r="J139" s="13" t="inlineStr">
        <is>
          <t>seal; merchant guild</t>
        </is>
      </c>
      <c r="K139" s="11" t="inlineStr">
        <is>
          <t>No (earlier reference)</t>
        </is>
      </c>
      <c r="L139" s="13" t="inlineStr">
        <is>
          <t>Pre-1996 reference</t>
        </is>
      </c>
      <c r="M139" s="14" t="inlineStr">
        <is>
          <t>https://jfn.ac.lk/prof-s-pathmanathan/</t>
        </is>
      </c>
    </row>
    <row r="140">
      <c r="A140" s="7" t="inlineStr">
        <is>
          <t>RP-0139</t>
        </is>
      </c>
      <c r="B140" s="8" t="inlineStr">
        <is>
          <t>1975</t>
        </is>
      </c>
      <c r="C140" s="7" t="n"/>
      <c r="D140" s="9" t="inlineStr">
        <is>
          <t>A Tamil Slab Inscription at Nilaveli</t>
        </is>
      </c>
      <c r="E140" s="9" t="inlineStr">
        <is>
          <t>S. Gunasingam</t>
        </is>
      </c>
      <c r="F140" s="9" t="inlineStr">
        <is>
          <t>The Ceylon Journal of the Humanities, pp. 61-71</t>
        </is>
      </c>
      <c r="G140" s="7" t="inlineStr">
        <is>
          <t>Journal article</t>
        </is>
      </c>
      <c r="H140" s="7" t="inlineStr">
        <is>
          <t>English</t>
        </is>
      </c>
      <c r="I140" s="9" t="inlineStr">
        <is>
          <t>Inscriptions / கல்வெட்டு</t>
        </is>
      </c>
      <c r="J140" s="9" t="inlineStr">
        <is>
          <t>கல்வெட்டு; Nilaveli</t>
        </is>
      </c>
      <c r="K140" s="7" t="inlineStr">
        <is>
          <t>No (earlier reference)</t>
        </is>
      </c>
      <c r="L140" s="9" t="inlineStr">
        <is>
          <t>Pre-1996 reference</t>
        </is>
      </c>
      <c r="M140" s="10" t="inlineStr">
        <is>
          <t>https://www.lankapradeepa.com/2020/04/tamil-inscriptions-in-sri-lanka_16.html</t>
        </is>
      </c>
    </row>
    <row r="141">
      <c r="A141" s="11" t="inlineStr">
        <is>
          <t>RP-0140</t>
        </is>
      </c>
      <c r="B141" s="12" t="inlineStr">
        <is>
          <t>1975</t>
        </is>
      </c>
      <c r="C141" s="11" t="n"/>
      <c r="D141" s="13" t="inlineStr">
        <is>
          <t>The Munnesvaram Inscription of Parakramabahu VI</t>
        </is>
      </c>
      <c r="E141" s="13" t="inlineStr">
        <is>
          <t>S. Pathmanathan</t>
        </is>
      </c>
      <c r="F141" s="13" t="inlineStr">
        <is>
          <t>JRAS Ceylon Branch, Vol. XVIII</t>
        </is>
      </c>
      <c r="G141" s="11" t="inlineStr">
        <is>
          <t>Journal article</t>
        </is>
      </c>
      <c r="H141" s="11" t="inlineStr">
        <is>
          <t>English</t>
        </is>
      </c>
      <c r="I141" s="13" t="inlineStr">
        <is>
          <t>Inscriptions / கல்வெட்டு</t>
        </is>
      </c>
      <c r="J141" s="13" t="inlineStr">
        <is>
          <t>கல்வெட்டு; Munneswaram</t>
        </is>
      </c>
      <c r="K141" s="11" t="inlineStr">
        <is>
          <t>No (earlier reference)</t>
        </is>
      </c>
      <c r="L141" s="13" t="inlineStr">
        <is>
          <t>Pre-1996 reference</t>
        </is>
      </c>
      <c r="M141" s="14" t="inlineStr">
        <is>
          <t>https://jfn.ac.lk/prof-s-pathmanathan/</t>
        </is>
      </c>
    </row>
    <row r="142">
      <c r="A142" s="7" t="inlineStr">
        <is>
          <t>RP-0141</t>
        </is>
      </c>
      <c r="B142" s="8" t="inlineStr">
        <is>
          <t>1963</t>
        </is>
      </c>
      <c r="C142" s="7" t="n"/>
      <c r="D142" s="9" t="inlineStr">
        <is>
          <t>The Nainativu Tamil Inscription of Parakramabahu I</t>
        </is>
      </c>
      <c r="E142" s="9" t="inlineStr">
        <is>
          <t>K. Indrapala</t>
        </is>
      </c>
      <c r="F142" s="9" t="inlineStr">
        <is>
          <t>University of Ceylon Review, Vol. XXI, No. 1, pp. 63-70</t>
        </is>
      </c>
      <c r="G142" s="7" t="inlineStr">
        <is>
          <t>Journal article</t>
        </is>
      </c>
      <c r="H142" s="7" t="inlineStr">
        <is>
          <t>English</t>
        </is>
      </c>
      <c r="I142" s="9" t="inlineStr">
        <is>
          <t>Inscriptions / கல்வெட்டு</t>
        </is>
      </c>
      <c r="J142" s="9" t="inlineStr">
        <is>
          <t>கல்வெட்டு; Nainativu</t>
        </is>
      </c>
      <c r="K142" s="7" t="inlineStr">
        <is>
          <t>No (earlier reference)</t>
        </is>
      </c>
      <c r="L142" s="9" t="inlineStr">
        <is>
          <t>Pre-1996 reference</t>
        </is>
      </c>
      <c r="M142" s="10" t="inlineStr">
        <is>
          <t>https://siddham.network/tag/kayts/</t>
        </is>
      </c>
    </row>
    <row r="143">
      <c r="A143" s="11" t="inlineStr">
        <is>
          <t>RP-0142</t>
        </is>
      </c>
      <c r="B143" s="12" t="n"/>
      <c r="C143" s="11" t="n"/>
      <c r="D143" s="13" t="inlineStr">
        <is>
          <t>A Study on the Development of the Sinhala Language through Contact with Tamil, Sanskrit, Pali and European Languages</t>
        </is>
      </c>
      <c r="E143" s="13" t="n"/>
      <c r="F143" s="13" t="inlineStr">
        <is>
          <t>South Eastern University of Sri Lanka repository</t>
        </is>
      </c>
      <c r="G143" s="11" t="inlineStr">
        <is>
          <t>Journal article</t>
        </is>
      </c>
      <c r="H143" s="11" t="inlineStr">
        <is>
          <t>English</t>
        </is>
      </c>
      <c r="I143" s="13" t="inlineStr">
        <is>
          <t>Inscriptions / கல்வெட்டு</t>
        </is>
      </c>
      <c r="J143" s="13" t="inlineStr">
        <is>
          <t>language contact; inscriptions</t>
        </is>
      </c>
      <c r="K143" s="11" t="inlineStr">
        <is>
          <t>Unknown</t>
        </is>
      </c>
      <c r="L143" s="13" t="inlineStr">
        <is>
          <t>Peripheral; year to verify</t>
        </is>
      </c>
      <c r="M143" s="14" t="inlineStr">
        <is>
          <t>https://dspace.lib.seu.ac.lk/items/8ac8f95c-23d2-4f5f-832d-598286d6a96f</t>
        </is>
      </c>
    </row>
    <row r="144">
      <c r="A144" s="7" t="inlineStr">
        <is>
          <t>RP-0143</t>
        </is>
      </c>
      <c r="B144" s="8" t="n"/>
      <c r="C144" s="7" t="n"/>
      <c r="D144" s="9" t="inlineStr">
        <is>
          <t>Annaikottai Seal: Is it Tamil Brahmi?</t>
        </is>
      </c>
      <c r="E144" s="9" t="n"/>
      <c r="F144" s="9" t="inlineStr">
        <is>
          <t>Academia.edu</t>
        </is>
      </c>
      <c r="G144" s="7" t="inlineStr">
        <is>
          <t>Article</t>
        </is>
      </c>
      <c r="H144" s="7" t="inlineStr">
        <is>
          <t>English</t>
        </is>
      </c>
      <c r="I144" s="9" t="inlineStr">
        <is>
          <t>Inscriptions / கல்வெட்டு; Brahmi / பிராமி</t>
        </is>
      </c>
      <c r="J144" s="9" t="inlineStr">
        <is>
          <t>Anaikoddai seal; Tamil Brahmi</t>
        </is>
      </c>
      <c r="K144" s="7" t="inlineStr">
        <is>
          <t>Unknown</t>
        </is>
      </c>
      <c r="L144" s="9" t="n"/>
      <c r="M144" s="10" t="inlineStr">
        <is>
          <t>https://www.academia.edu/44307643/Annaikottai_Seal_Is_it_Tamil_Brahmi</t>
        </is>
      </c>
    </row>
    <row r="145">
      <c r="A145" s="11" t="inlineStr">
        <is>
          <t>RP-0144</t>
        </is>
      </c>
      <c r="B145" s="12" t="n"/>
      <c r="C145" s="11" t="n"/>
      <c r="D145" s="13" t="inlineStr">
        <is>
          <t>Highlights of Archaeological Studies in Jaffna Peninsula since 2010</t>
        </is>
      </c>
      <c r="E145" s="13" t="inlineStr">
        <is>
          <t>P. Pushparatnam</t>
        </is>
      </c>
      <c r="F145" s="13" t="inlineStr">
        <is>
          <t>University of Jaffna repository</t>
        </is>
      </c>
      <c r="G145" s="11" t="inlineStr">
        <is>
          <t>Article</t>
        </is>
      </c>
      <c r="H145" s="11" t="inlineStr">
        <is>
          <t>English</t>
        </is>
      </c>
      <c r="I145" s="13" t="inlineStr">
        <is>
          <t>Archaeology / தொல்லியல்</t>
        </is>
      </c>
      <c r="J145" s="13" t="inlineStr">
        <is>
          <t>archaeology; Jaffna</t>
        </is>
      </c>
      <c r="K145" s="11" t="inlineStr">
        <is>
          <t>Unknown</t>
        </is>
      </c>
      <c r="L145" s="13" t="inlineStr">
        <is>
          <t>Year to verify</t>
        </is>
      </c>
      <c r="M145" s="14" t="inlineStr">
        <is>
          <t>https://rer.jfn.ac.lk/items/69679e68-fe61-4cd9-a9de-ccff08422aac/full</t>
        </is>
      </c>
    </row>
    <row r="146">
      <c r="A146" s="7" t="inlineStr">
        <is>
          <t>RP-0145</t>
        </is>
      </c>
      <c r="B146" s="8" t="n"/>
      <c r="C146" s="7" t="n"/>
      <c r="D146" s="9" t="inlineStr">
        <is>
          <t>IN03227 Panduwasnuwara Tamil Slab Inscription of Nissanka Malla</t>
        </is>
      </c>
      <c r="E146" s="9" t="n"/>
      <c r="F146" s="9" t="inlineStr">
        <is>
          <t>Siddham: The Asian Inscription Database (Sri Lanka epigraphy)</t>
        </is>
      </c>
      <c r="G146" s="7" t="inlineStr">
        <is>
          <t>Catalogue entry</t>
        </is>
      </c>
      <c r="H146" s="7" t="inlineStr">
        <is>
          <t>English</t>
        </is>
      </c>
      <c r="I146" s="9" t="inlineStr">
        <is>
          <t>Inscriptions / கல்வெட்டு</t>
        </is>
      </c>
      <c r="J146" s="9" t="inlineStr">
        <is>
          <t>கல்வெட்டு; Panduwasnuwara</t>
        </is>
      </c>
      <c r="K146" s="7" t="inlineStr">
        <is>
          <t>Unknown</t>
        </is>
      </c>
      <c r="L146" s="9" t="n"/>
      <c r="M146" s="10" t="inlineStr">
        <is>
          <t>https://siddham.network/tag/609823/</t>
        </is>
      </c>
    </row>
    <row r="147">
      <c r="A147" s="11" t="inlineStr">
        <is>
          <t>RP-0146</t>
        </is>
      </c>
      <c r="B147" s="12" t="n"/>
      <c r="C147" s="11" t="n"/>
      <c r="D147" s="13" t="inlineStr">
        <is>
          <t>Kalinga Maacon - Review</t>
        </is>
      </c>
      <c r="E147" s="13" t="n"/>
      <c r="F147" s="13" t="inlineStr">
        <is>
          <t>Shanlax International Journal of Tamil Research</t>
        </is>
      </c>
      <c r="G147" s="11" t="inlineStr">
        <is>
          <t>Journal article</t>
        </is>
      </c>
      <c r="H147" s="11" t="inlineStr">
        <is>
          <t>Tamil</t>
        </is>
      </c>
      <c r="I147" s="13" t="n"/>
      <c r="J147" s="13" t="inlineStr">
        <is>
          <t>Kalinga Magha</t>
        </is>
      </c>
      <c r="K147" s="11" t="inlineStr">
        <is>
          <t>Unknown</t>
        </is>
      </c>
      <c r="L147" s="13" t="inlineStr">
        <is>
          <t>Year to verify</t>
        </is>
      </c>
      <c r="M147" s="14" t="inlineStr">
        <is>
          <t>https://shanlaxjournals.in/journals/index.php/tamil/article/view/7777</t>
        </is>
      </c>
    </row>
    <row r="148">
      <c r="A148" s="7" t="inlineStr">
        <is>
          <t>RP-0147</t>
        </is>
      </c>
      <c r="B148" s="8" t="n"/>
      <c r="C148" s="7" t="n"/>
      <c r="D148" s="9" t="inlineStr">
        <is>
          <t>Making Lanka the Tamil way: a temple history at the crossroads of landscapes &amp; watersheds</t>
        </is>
      </c>
      <c r="E148" s="9" t="n"/>
      <c r="F148" s="9" t="inlineStr">
        <is>
          <t>Academia.edu</t>
        </is>
      </c>
      <c r="G148" s="7" t="inlineStr">
        <is>
          <t>Article</t>
        </is>
      </c>
      <c r="H148" s="7" t="inlineStr">
        <is>
          <t>English</t>
        </is>
      </c>
      <c r="I148" s="9" t="n"/>
      <c r="J148" s="9" t="inlineStr">
        <is>
          <t>temple history; landscape</t>
        </is>
      </c>
      <c r="K148" s="7" t="inlineStr">
        <is>
          <t>Unknown</t>
        </is>
      </c>
      <c r="L148" s="9" t="n"/>
      <c r="M148" s="10" t="inlineStr">
        <is>
          <t>https://www.academia.edu/47759409/Making_Lanka_the_Tamil_way_a_temple_history_at_the_crossroads_of_landscapes_and_watersheds</t>
        </is>
      </c>
    </row>
    <row r="149">
      <c r="A149" s="11" t="inlineStr">
        <is>
          <t>RP-0148</t>
        </is>
      </c>
      <c r="B149" s="12" t="n"/>
      <c r="C149" s="11" t="n"/>
      <c r="D149" s="13" t="inlineStr">
        <is>
          <t>OB03160 Vallipuram Gold Plate</t>
        </is>
      </c>
      <c r="E149" s="13" t="n"/>
      <c r="F149" s="13" t="inlineStr">
        <is>
          <t>Siddham: The Asian Inscription Database (Sri Lanka epigraphy)</t>
        </is>
      </c>
      <c r="G149" s="11" t="inlineStr">
        <is>
          <t>Catalogue entry</t>
        </is>
      </c>
      <c r="H149" s="11" t="inlineStr">
        <is>
          <t>English</t>
        </is>
      </c>
      <c r="I149" s="13" t="inlineStr">
        <is>
          <t>Inscriptions / கல்வெட்டு</t>
        </is>
      </c>
      <c r="J149" s="13" t="inlineStr">
        <is>
          <t>Vallipuram gold plate; inscription</t>
        </is>
      </c>
      <c r="K149" s="11" t="inlineStr">
        <is>
          <t>Unknown</t>
        </is>
      </c>
      <c r="L149" s="13" t="n"/>
      <c r="M149" s="14" t="inlineStr">
        <is>
          <t>https://siddham.network/tag/vasabha/</t>
        </is>
      </c>
    </row>
    <row r="150">
      <c r="A150" s="7" t="inlineStr">
        <is>
          <t>RP-0149</t>
        </is>
      </c>
      <c r="B150" s="8" t="n"/>
      <c r="C150" s="7" t="n"/>
      <c r="D150" s="9" t="inlineStr">
        <is>
          <t>Recent Excavations and Survey at Jaffna Fort in 2017 and Reflections on the Antiquity of Indian Ocean Trade</t>
        </is>
      </c>
      <c r="E150" s="9" t="inlineStr">
        <is>
          <t>C. Davis et al.</t>
        </is>
      </c>
      <c r="F150" s="9" t="inlineStr">
        <is>
          <t>Durham Research Online</t>
        </is>
      </c>
      <c r="G150" s="7" t="inlineStr">
        <is>
          <t>Journal article</t>
        </is>
      </c>
      <c r="H150" s="7" t="inlineStr">
        <is>
          <t>English</t>
        </is>
      </c>
      <c r="I150" s="9" t="inlineStr">
        <is>
          <t>Archaeology / தொல்லியல்</t>
        </is>
      </c>
      <c r="J150" s="9" t="inlineStr">
        <is>
          <t>excavation; Jaffna Fort; trade</t>
        </is>
      </c>
      <c r="K150" s="7" t="inlineStr">
        <is>
          <t>Unknown</t>
        </is>
      </c>
      <c r="L150" s="9" t="inlineStr">
        <is>
          <t>Year to verify</t>
        </is>
      </c>
      <c r="M150" s="10" t="inlineStr">
        <is>
          <t>https://durham-repository.worktribe.com/output/1656993/recent-excavations-and-survey-at-jaffna-fort-in-2017-and-reflections-on-the-antiquity-of-indian-ocean-trade</t>
        </is>
      </c>
    </row>
    <row r="151">
      <c r="A151" s="11" t="inlineStr">
        <is>
          <t>RP-0150</t>
        </is>
      </c>
      <c r="B151" s="12" t="n"/>
      <c r="C151" s="11" t="n"/>
      <c r="D151" s="13" t="inlineStr">
        <is>
          <t>The Archaeological Landscape of the Early Iron Age Burial Site: Ihala Kalawella Ulpatha and its Environs, Anuradhapura District</t>
        </is>
      </c>
      <c r="E151" s="13" t="n"/>
      <c r="F151" s="13" t="inlineStr">
        <is>
          <t>University of Peradeniya repository</t>
        </is>
      </c>
      <c r="G151" s="11" t="inlineStr">
        <is>
          <t>Thesis</t>
        </is>
      </c>
      <c r="H151" s="11" t="inlineStr">
        <is>
          <t>English</t>
        </is>
      </c>
      <c r="I151" s="13" t="inlineStr">
        <is>
          <t>Archaeology / தொல்லியல்</t>
        </is>
      </c>
      <c r="J151" s="13" t="inlineStr">
        <is>
          <t>megalithic; Iron Age burials</t>
        </is>
      </c>
      <c r="K151" s="11" t="inlineStr">
        <is>
          <t>Unknown</t>
        </is>
      </c>
      <c r="L151" s="13" t="inlineStr">
        <is>
          <t>Author/year to verify</t>
        </is>
      </c>
      <c r="M151" s="14" t="inlineStr">
        <is>
          <t>https://ir.lib.pdn.ac.lk/items/66613037-9ae3-4455-81e3-71f3235df265/full</t>
        </is>
      </c>
    </row>
    <row r="152">
      <c r="A152" s="7" t="inlineStr">
        <is>
          <t>RP-0151</t>
        </is>
      </c>
      <c r="B152" s="8" t="n"/>
      <c r="C152" s="7" t="n"/>
      <c r="D152" s="9" t="inlineStr">
        <is>
          <t>The Impact of Tamil Language on Sinhala Inscriptions in Ancient Sri Lanka</t>
        </is>
      </c>
      <c r="E152" s="9" t="n"/>
      <c r="F152" s="9" t="inlineStr">
        <is>
          <t>University of Jaffna repository</t>
        </is>
      </c>
      <c r="G152" s="7" t="inlineStr">
        <is>
          <t>Article</t>
        </is>
      </c>
      <c r="H152" s="7" t="inlineStr">
        <is>
          <t>English</t>
        </is>
      </c>
      <c r="I152" s="9" t="inlineStr">
        <is>
          <t>Inscriptions / கல்வெட்டு</t>
        </is>
      </c>
      <c r="J152" s="9" t="inlineStr">
        <is>
          <t>inscriptions; language contact</t>
        </is>
      </c>
      <c r="K152" s="7" t="inlineStr">
        <is>
          <t>Unknown</t>
        </is>
      </c>
      <c r="L152" s="9" t="inlineStr">
        <is>
          <t>Year/author to verify</t>
        </is>
      </c>
      <c r="M152" s="10" t="inlineStr">
        <is>
          <t>https://rer.jfn.ac.lk/items/fc0f248b-470f-449c-a7c6-8b8ec38517f0</t>
        </is>
      </c>
    </row>
    <row r="153">
      <c r="A153" s="11" t="inlineStr">
        <is>
          <t>RP-0152</t>
        </is>
      </c>
      <c r="B153" s="12" t="n"/>
      <c r="C153" s="11" t="n"/>
      <c r="D153" s="13" t="inlineStr">
        <is>
          <t>The Peopling of Sri Lanka from Prehistoric to Historic Times: Biological and Archaeological Evidence</t>
        </is>
      </c>
      <c r="E153" s="13" t="n"/>
      <c r="F153" s="13" t="inlineStr">
        <is>
          <t>ResearchGate</t>
        </is>
      </c>
      <c r="G153" s="11" t="inlineStr">
        <is>
          <t>Article</t>
        </is>
      </c>
      <c r="H153" s="11" t="inlineStr">
        <is>
          <t>English</t>
        </is>
      </c>
      <c r="I153" s="13" t="inlineStr">
        <is>
          <t>Archaeology / தொல்லியல்</t>
        </is>
      </c>
      <c r="J153" s="13" t="inlineStr">
        <is>
          <t>prehistory; archaeology</t>
        </is>
      </c>
      <c r="K153" s="11" t="inlineStr">
        <is>
          <t>Unknown</t>
        </is>
      </c>
      <c r="L153" s="13" t="n"/>
      <c r="M153" s="14" t="inlineStr">
        <is>
          <t>https://www.researchgate.net/publication/301336596_The_Peopling_of_Sri_Lanka_from_Prehistoric_to_Historic_Times_Biological_and_Archaeological_Evidence</t>
        </is>
      </c>
    </row>
    <row r="154">
      <c r="A154" s="7" t="inlineStr">
        <is>
          <t>RP-0153</t>
        </is>
      </c>
      <c r="B154" s="8" t="n"/>
      <c r="C154" s="7" t="n"/>
      <c r="D154" s="9" t="inlineStr">
        <is>
          <t>ஓலைச்சுவடிகளை எண்ணிமப்படுத்தலும் பாதுகாத்தலுக்குமான செயற்றிட்டம்</t>
        </is>
      </c>
      <c r="E154" s="9" t="n"/>
      <c r="F154" s="9" t="inlineStr">
        <is>
          <t>University of Jaffna Research Repository</t>
        </is>
      </c>
      <c r="G154" s="7" t="inlineStr">
        <is>
          <t>Journal article</t>
        </is>
      </c>
      <c r="H154" s="7" t="inlineStr">
        <is>
          <t>Tamil</t>
        </is>
      </c>
      <c r="I154" s="9" t="inlineStr">
        <is>
          <t>Archaeology / தொல்லியல்</t>
        </is>
      </c>
      <c r="J154" s="9" t="inlineStr">
        <is>
          <t>manuscripts; heritage</t>
        </is>
      </c>
      <c r="K154" s="7" t="inlineStr">
        <is>
          <t>Unknown</t>
        </is>
      </c>
      <c r="L154" s="9" t="inlineStr">
        <is>
          <t>Peripheral; year to verify</t>
        </is>
      </c>
      <c r="M154" s="10" t="inlineStr">
        <is>
          <t>http://repo.lib.jfn.ac.lk/xmlui/handle/123456789/10982</t>
        </is>
      </c>
    </row>
    <row r="155">
      <c r="A155" s="11" t="inlineStr">
        <is>
          <t>RP-0154</t>
        </is>
      </c>
      <c r="B155" s="12" t="n"/>
      <c r="C155" s="11" t="n"/>
      <c r="D155" s="13" t="inlineStr">
        <is>
          <t>சிங்கள மன்னராட்சியில் சோழர்கால இந்துக்கோயில்களும், பண்பாடும் : பொலன்னறுவை இராசதானியை அடிப்படையாகக் கொண்ட ஆய்வு</t>
        </is>
      </c>
      <c r="E155" s="13" t="n"/>
      <c r="F155" s="13" t="inlineStr">
        <is>
          <t>South Eastern University of Sri Lanka repository</t>
        </is>
      </c>
      <c r="G155" s="11" t="inlineStr">
        <is>
          <t>Thesis</t>
        </is>
      </c>
      <c r="H155" s="11" t="inlineStr">
        <is>
          <t>Tamil</t>
        </is>
      </c>
      <c r="I155" s="13" t="n"/>
      <c r="J155" s="13" t="inlineStr">
        <is>
          <t>Chola; Polonnaruwa; temples</t>
        </is>
      </c>
      <c r="K155" s="11" t="inlineStr">
        <is>
          <t>Unknown</t>
        </is>
      </c>
      <c r="L155" s="13" t="inlineStr">
        <is>
          <t>Year/author to verify</t>
        </is>
      </c>
      <c r="M155" s="14" t="inlineStr">
        <is>
          <t>https://dspace.lib.seu.ac.lk/items/2bce5ebf-dc84-4b9c-a7ed-ca9bf13f1e7a/full</t>
        </is>
      </c>
    </row>
    <row r="156">
      <c r="A156" s="7" t="inlineStr">
        <is>
          <t>RP-0155</t>
        </is>
      </c>
      <c r="B156" s="8" t="n"/>
      <c r="C156" s="7" t="n"/>
      <c r="D156" s="9" t="inlineStr">
        <is>
          <t>பண்டைய இந்துக்களின் போரியல் மரபில் தலைப்பலி</t>
        </is>
      </c>
      <c r="E156" s="9" t="n"/>
      <c r="F156" s="9" t="inlineStr">
        <is>
          <t>University of Jaffna Research Repository</t>
        </is>
      </c>
      <c r="G156" s="7" t="inlineStr">
        <is>
          <t>Journal article</t>
        </is>
      </c>
      <c r="H156" s="7" t="inlineStr">
        <is>
          <t>Tamil</t>
        </is>
      </c>
      <c r="I156" s="9" t="inlineStr">
        <is>
          <t>Hero stones / நடுகல்</t>
        </is>
      </c>
      <c r="J156" s="9" t="inlineStr">
        <is>
          <t>நடுகல்; head offering; war tradition</t>
        </is>
      </c>
      <c r="K156" s="7" t="inlineStr">
        <is>
          <t>Unknown</t>
        </is>
      </c>
      <c r="L156" s="9" t="inlineStr">
        <is>
          <t>Hero-stone related; author/year to verify</t>
        </is>
      </c>
      <c r="M156" s="10" t="inlineStr">
        <is>
          <t>http://repo.lib.jfn.ac.lk/xmlui/handle/123456789/9343</t>
        </is>
      </c>
    </row>
    <row r="157">
      <c r="A157" s="11" t="inlineStr">
        <is>
          <t>RP-0156</t>
        </is>
      </c>
      <c r="B157" s="12" t="n"/>
      <c r="C157" s="11" t="n"/>
      <c r="D157" s="13" t="inlineStr">
        <is>
          <t>பேராசிரியர் ஆ. வேலுப்பிள்ளையின் தமிழ்க் கல்வெட்டுப் பணிகள் - ஓர் ஆய்வு</t>
        </is>
      </c>
      <c r="E157" s="13" t="n"/>
      <c r="F157" s="13" t="inlineStr">
        <is>
          <t>University of Jaffna Research Repository</t>
        </is>
      </c>
      <c r="G157" s="11" t="inlineStr">
        <is>
          <t>Journal article</t>
        </is>
      </c>
      <c r="H157" s="11" t="inlineStr">
        <is>
          <t>Tamil</t>
        </is>
      </c>
      <c r="I157" s="13" t="inlineStr">
        <is>
          <t>Inscriptions / கல்வெட்டு</t>
        </is>
      </c>
      <c r="J157" s="13" t="inlineStr">
        <is>
          <t>கல்வெட்டு; Veluppillai; epigraphy</t>
        </is>
      </c>
      <c r="K157" s="11" t="inlineStr">
        <is>
          <t>Unknown</t>
        </is>
      </c>
      <c r="L157" s="13" t="inlineStr">
        <is>
          <t>Author/year to verify</t>
        </is>
      </c>
      <c r="M157" s="14" t="inlineStr">
        <is>
          <t>http://repo.lib.jfn.ac.lk/ujrr/handle/123456789/4870</t>
        </is>
      </c>
    </row>
  </sheetData>
  <autoFilter ref="A1:M15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1" customWidth="1" min="3" max="3"/>
    <col width="60" customWidth="1" min="4" max="4"/>
    <col width="28" customWidth="1" min="5" max="5"/>
    <col width="34" customWidth="1" min="6" max="6"/>
    <col width="18" customWidth="1" min="7" max="7"/>
    <col width="10" customWidth="1" min="8" max="8"/>
    <col width="30" customWidth="1" min="9" max="9"/>
    <col width="30" customWidth="1" min="10" max="10"/>
    <col width="14" customWidth="1" min="11" max="11"/>
    <col width="30" customWidth="1" min="12" max="12"/>
    <col width="45" customWidth="1" min="13" max="13"/>
  </cols>
  <sheetData>
    <row r="1" ht="30" customHeight="1">
      <c r="A1" s="6" t="inlineStr">
        <is>
          <t>ID</t>
        </is>
      </c>
      <c r="B1" s="6" t="inlineStr">
        <is>
          <t>Year</t>
        </is>
      </c>
      <c r="C1" s="6" t="inlineStr">
        <is>
          <t>Date</t>
        </is>
      </c>
      <c r="D1" s="6" t="inlineStr">
        <is>
          <t>Title</t>
        </is>
      </c>
      <c r="E1" s="6" t="inlineStr">
        <is>
          <t>Author / Editor</t>
        </is>
      </c>
      <c r="F1" s="6" t="inlineStr">
        <is>
          <t>Publisher / Source</t>
        </is>
      </c>
      <c r="G1" s="6" t="inlineStr">
        <is>
          <t>Type</t>
        </is>
      </c>
      <c r="H1" s="6" t="inlineStr">
        <is>
          <t>Language</t>
        </is>
      </c>
      <c r="I1" s="6" t="inlineStr">
        <is>
          <t>Themes</t>
        </is>
      </c>
      <c r="J1" s="6" t="inlineStr">
        <is>
          <t>Keywords</t>
        </is>
      </c>
      <c r="K1" s="6" t="inlineStr">
        <is>
          <t>Within 1996-2026</t>
        </is>
      </c>
      <c r="L1" s="6" t="inlineStr">
        <is>
          <t>Notes</t>
        </is>
      </c>
      <c r="M1" s="6" t="inlineStr">
        <is>
          <t>URL</t>
        </is>
      </c>
    </row>
    <row r="2">
      <c r="A2" s="7" t="inlineStr">
        <is>
          <t>NW-0001</t>
        </is>
      </c>
      <c r="B2" s="8" t="inlineStr">
        <is>
          <t>2026</t>
        </is>
      </c>
      <c r="C2" s="7" t="n"/>
      <c r="D2" s="9" t="inlineStr">
        <is>
          <t>Glimpses of an Ancient Civilisation: Society and Culture in Jaffna</t>
        </is>
      </c>
      <c r="E2" s="9" t="n"/>
      <c r="F2" s="9" t="inlineStr">
        <is>
          <t>The Island</t>
        </is>
      </c>
      <c r="G2" s="7" t="inlineStr">
        <is>
          <t>Book review</t>
        </is>
      </c>
      <c r="H2" s="7" t="inlineStr">
        <is>
          <t>English</t>
        </is>
      </c>
      <c r="I2" s="9" t="inlineStr">
        <is>
          <t>Brahmi / பிராமி</t>
        </is>
      </c>
      <c r="J2" s="9" t="inlineStr">
        <is>
          <t>Pathmanathan; book; Tamil-Brahmi</t>
        </is>
      </c>
      <c r="K2" s="7" t="inlineStr">
        <is>
          <t>Yes</t>
        </is>
      </c>
      <c r="L2" s="9" t="n"/>
      <c r="M2" s="10" t="inlineStr">
        <is>
          <t>https://island.lk/glimpses-of-an-ancient-civilisation-society-and-culture-in-jaffna/</t>
        </is>
      </c>
    </row>
    <row r="3">
      <c r="A3" s="11" t="inlineStr">
        <is>
          <t>NW-0002</t>
        </is>
      </c>
      <c r="B3" s="12" t="inlineStr">
        <is>
          <t>2026</t>
        </is>
      </c>
      <c r="C3" s="11" t="inlineStr">
        <is>
          <t>2026-01-13</t>
        </is>
      </c>
      <c r="D3" s="13" t="inlineStr">
        <is>
          <t>A Historian In Focus: The Dark Side Of S Pathmanathan</t>
        </is>
      </c>
      <c r="E3" s="13" t="inlineStr">
        <is>
          <t>Darshanie Ratnawalli</t>
        </is>
      </c>
      <c r="F3" s="13" t="inlineStr">
        <is>
          <t>Colombo Telegraph</t>
        </is>
      </c>
      <c r="G3" s="11" t="inlineStr">
        <is>
          <t>Opinion</t>
        </is>
      </c>
      <c r="H3" s="11" t="inlineStr">
        <is>
          <t>English</t>
        </is>
      </c>
      <c r="I3" s="13" t="inlineStr">
        <is>
          <t>Brahmi / பிராமி</t>
        </is>
      </c>
      <c r="J3" s="13" t="inlineStr">
        <is>
          <t>Brahmi; Pathmanathan; debate</t>
        </is>
      </c>
      <c r="K3" s="11" t="inlineStr">
        <is>
          <t>Yes</t>
        </is>
      </c>
      <c r="L3" s="13" t="n"/>
      <c r="M3" s="14" t="inlineStr">
        <is>
          <t>https://www.colombotelegraph.com/index.php/a-historian-in-focus-the-dark-side-of-s-pathmanathan/</t>
        </is>
      </c>
    </row>
    <row r="4">
      <c r="A4" s="7" t="inlineStr">
        <is>
          <t>NW-0003</t>
        </is>
      </c>
      <c r="B4" s="8" t="inlineStr">
        <is>
          <t>2026</t>
        </is>
      </c>
      <c r="C4" s="7" t="inlineStr">
        <is>
          <t>2026-01-23</t>
        </is>
      </c>
      <c r="D4" s="9" t="inlineStr">
        <is>
          <t>செங்கலடியில் அனுமதியின்றி நாட்டப்பட்ட தொல்பொருள் அடையாளப் பலகைகளை அகற்ற நடவடிக்கை</t>
        </is>
      </c>
      <c r="E4" s="9" t="n"/>
      <c r="F4" s="9" t="inlineStr">
        <is>
          <t>Tamilwin</t>
        </is>
      </c>
      <c r="G4" s="7" t="inlineStr">
        <is>
          <t>News</t>
        </is>
      </c>
      <c r="H4" s="7" t="inlineStr">
        <is>
          <t>Tamil</t>
        </is>
      </c>
      <c r="I4" s="9" t="inlineStr">
        <is>
          <t>Archaeology / தொல்லியல்</t>
        </is>
      </c>
      <c r="J4" s="9" t="inlineStr">
        <is>
          <t>தொல்லியல்; Chenkalady; signboards</t>
        </is>
      </c>
      <c r="K4" s="7" t="inlineStr">
        <is>
          <t>Yes</t>
        </is>
      </c>
      <c r="L4" s="9" t="inlineStr">
        <is>
          <t>Heritage dispute; date from URL timestamp</t>
        </is>
      </c>
      <c r="M4" s="10" t="inlineStr">
        <is>
          <t>https://tamilwin.com/article/remove-archaeological-permission-in-chengaladi-1769150736</t>
        </is>
      </c>
    </row>
    <row r="5">
      <c r="A5" s="11" t="inlineStr">
        <is>
          <t>NW-0004</t>
        </is>
      </c>
      <c r="B5" s="12" t="inlineStr">
        <is>
          <t>2026</t>
        </is>
      </c>
      <c r="C5" s="11" t="inlineStr">
        <is>
          <t>2026-04-18</t>
        </is>
      </c>
      <c r="D5" s="13" t="inlineStr">
        <is>
          <t>New book by Tamil historian re-examines early Jaffna civilisation through inscriptions and archaeology</t>
        </is>
      </c>
      <c r="E5" s="13" t="n"/>
      <c r="F5" s="13" t="inlineStr">
        <is>
          <t>Tamil Guardian</t>
        </is>
      </c>
      <c r="G5" s="11" t="inlineStr">
        <is>
          <t>News</t>
        </is>
      </c>
      <c r="H5" s="11" t="inlineStr">
        <is>
          <t>English</t>
        </is>
      </c>
      <c r="I5" s="13" t="inlineStr">
        <is>
          <t>Inscriptions / கல்வெட்டு; Archaeology / தொல்லியல்</t>
        </is>
      </c>
      <c r="J5" s="13" t="inlineStr">
        <is>
          <t>Pathmanathan; book launch; inscriptions</t>
        </is>
      </c>
      <c r="K5" s="11" t="inlineStr">
        <is>
          <t>Yes</t>
        </is>
      </c>
      <c r="L5" s="13" t="n"/>
      <c r="M5" s="14" t="inlineStr">
        <is>
          <t>https://www.tamilguardian.com/content/prof-pathmanathans-new-book-sheds-light-early-jaffna-civilisation</t>
        </is>
      </c>
    </row>
    <row r="6">
      <c r="A6" s="7" t="inlineStr">
        <is>
          <t>NW-0005</t>
        </is>
      </c>
      <c r="B6" s="8" t="inlineStr">
        <is>
          <t>2026</t>
        </is>
      </c>
      <c r="C6" s="7" t="inlineStr">
        <is>
          <t>2026-10-07</t>
        </is>
      </c>
      <c r="D6" s="9" t="inlineStr">
        <is>
          <t>Archaeology Department seeks 260 acres as monk targets second Hindu temple in Vavuniya</t>
        </is>
      </c>
      <c r="E6" s="9" t="n"/>
      <c r="F6" s="9" t="inlineStr">
        <is>
          <t>Tamil Guardian</t>
        </is>
      </c>
      <c r="G6" s="7" t="inlineStr">
        <is>
          <t>News</t>
        </is>
      </c>
      <c r="H6" s="7" t="inlineStr">
        <is>
          <t>English</t>
        </is>
      </c>
      <c r="I6" s="9" t="inlineStr">
        <is>
          <t>Archaeology / தொல்லியல்</t>
        </is>
      </c>
      <c r="J6" s="9" t="inlineStr">
        <is>
          <t>archaeology</t>
        </is>
      </c>
      <c r="K6" s="7" t="inlineStr">
        <is>
          <t>Yes</t>
        </is>
      </c>
      <c r="L6" s="9" t="inlineStr">
        <is>
          <t>Google News query: archaeology Vanni Tamil. Auto-collected 2026-10-14 (news); review.</t>
        </is>
      </c>
      <c r="M6" s="10" t="inlineStr">
        <is>
          <t>https://news.google.com/rss/articles/CBMiyAFBVV95cUxPck1TdFVQcDc3dXR2RzBfNko0V09ZWG44aUZsTWE3WmJIWWRkd3NXRDloS3FNbk9CbjFqNV9oTVo5MzA4MU1kYmU4b0VyZVRsMlNzOWJSSklRcnRySHNzaGRVWXl2VUhEVF9YV3JjVmNndC15STkwUmotOEhSTmNFQ1JZWUtTQktXNThKSzA3d25oWmpXVkxhVUZfaUpaOGpiaEx6enF2dmtmNGZpUXNRR3dEWTVETUdsb3BXY0FlWXFrVWNSMFdjNQ?oc=5</t>
        </is>
      </c>
    </row>
    <row r="7">
      <c r="A7" s="11" t="inlineStr">
        <is>
          <t>NW-0006</t>
        </is>
      </c>
      <c r="B7" s="12" t="inlineStr">
        <is>
          <t>2025</t>
        </is>
      </c>
      <c r="C7" s="11" t="inlineStr">
        <is>
          <t>2025-04-19</t>
        </is>
      </c>
      <c r="D7" s="13" t="inlineStr">
        <is>
          <t>UNESCO recognizes Sri Lanka's Trilingual Inscription and 'Panadurawaadaya' documents as World Heritage</t>
        </is>
      </c>
      <c r="E7" s="13" t="n"/>
      <c r="F7" s="13" t="inlineStr">
        <is>
          <t>Daily News (Sri Lanka)</t>
        </is>
      </c>
      <c r="G7" s="11" t="inlineStr">
        <is>
          <t>News</t>
        </is>
      </c>
      <c r="H7" s="11" t="inlineStr">
        <is>
          <t>English</t>
        </is>
      </c>
      <c r="I7" s="13" t="inlineStr">
        <is>
          <t>Inscriptions / கல்வெட்டு; Archaeology / தொல்லியல்</t>
        </is>
      </c>
      <c r="J7" s="13" t="inlineStr">
        <is>
          <t>Galle trilingual inscription; UNESCO</t>
        </is>
      </c>
      <c r="K7" s="11" t="inlineStr">
        <is>
          <t>Yes</t>
        </is>
      </c>
      <c r="L7" s="13" t="n"/>
      <c r="M7" s="14" t="inlineStr">
        <is>
          <t>https://www.dailynews.lk/2025/04/19/admin-catagories/breaking-news/763455/unesco-recognizes-sri-lankas-trilingual-inscription-and-panadurawaadaya-documents-as-world-heritage/</t>
        </is>
      </c>
    </row>
    <row r="8">
      <c r="A8" s="7" t="inlineStr">
        <is>
          <t>NW-0007</t>
        </is>
      </c>
      <c r="B8" s="8" t="inlineStr">
        <is>
          <t>2025</t>
        </is>
      </c>
      <c r="C8" s="7" t="inlineStr">
        <is>
          <t>2025-04-22</t>
        </is>
      </c>
      <c r="D8" s="9" t="inlineStr">
        <is>
          <t>Significance of Galle Trilingual Inscription's inclusion in the World Heritage List</t>
        </is>
      </c>
      <c r="E8" s="9" t="n"/>
      <c r="F8" s="9" t="inlineStr">
        <is>
          <t>Daily News (Sri Lanka)</t>
        </is>
      </c>
      <c r="G8" s="7" t="inlineStr">
        <is>
          <t>Feature</t>
        </is>
      </c>
      <c r="H8" s="7" t="inlineStr">
        <is>
          <t>English</t>
        </is>
      </c>
      <c r="I8" s="9" t="inlineStr">
        <is>
          <t>Inscriptions / கல்வெட்டு; Archaeology / தொல்லியல்</t>
        </is>
      </c>
      <c r="J8" s="9" t="inlineStr">
        <is>
          <t>Galle trilingual inscription; Tamil; UNESCO</t>
        </is>
      </c>
      <c r="K8" s="7" t="inlineStr">
        <is>
          <t>Yes</t>
        </is>
      </c>
      <c r="L8" s="9" t="n"/>
      <c r="M8" s="10" t="inlineStr">
        <is>
          <t>https://dailynews.lk/2025/04/22/features/764498/significance-of-galle-trilingual-inscriptions-inclusion-in-the-world-heritage-list/</t>
        </is>
      </c>
    </row>
    <row r="9">
      <c r="A9" s="11" t="inlineStr">
        <is>
          <t>NW-0008</t>
        </is>
      </c>
      <c r="B9" s="12" t="inlineStr">
        <is>
          <t>2025</t>
        </is>
      </c>
      <c r="C9" s="11" t="inlineStr">
        <is>
          <t>2025-11-01</t>
        </is>
      </c>
      <c r="D9" s="13" t="inlineStr">
        <is>
          <t>Sinhala Buddhist monk alleges archaeology department official planted 'artefacts' in Kurunthurmalai</t>
        </is>
      </c>
      <c r="E9" s="13" t="n"/>
      <c r="F9" s="13" t="inlineStr">
        <is>
          <t>Tamil Guardian</t>
        </is>
      </c>
      <c r="G9" s="11" t="inlineStr">
        <is>
          <t>News</t>
        </is>
      </c>
      <c r="H9" s="11" t="inlineStr">
        <is>
          <t>English</t>
        </is>
      </c>
      <c r="I9" s="13" t="inlineStr">
        <is>
          <t>Archaeology / தொல்லியல்</t>
        </is>
      </c>
      <c r="J9" s="13" t="inlineStr">
        <is>
          <t>archaeology</t>
        </is>
      </c>
      <c r="K9" s="11" t="inlineStr">
        <is>
          <t>Yes</t>
        </is>
      </c>
      <c r="L9" s="13" t="inlineStr">
        <is>
          <t>Google News query: archaeology Vanni Tamil. Auto-collected 2026-10-14 (news); review.</t>
        </is>
      </c>
      <c r="M9" s="14" t="inlineStr">
        <is>
          <t>https://news.google.com/rss/articles/CBMiqAFBVV95cUxQWTZoOUtnRWRBOE11dkVZMDdERkVIdUt0Z08tbk04b0h6LWFEUHdDQ1ZtdU1QSE83R0pVN0FPZTB6cWVpNC1ISGtGTUkzLWhDRFhtamJXeFo4ZjJpM2RUQWZGb3dTR0RHVzhmZ2ZQQ0RRVjhGMl9LclZOVFhlZlBTQUs3RElIQ3BSYzJlc0lLVGxfYmxhSnZIWldBdTRlMHlqekp0MzNsRGs?oc=5</t>
        </is>
      </c>
    </row>
    <row r="10">
      <c r="A10" s="7" t="inlineStr">
        <is>
          <t>NW-0009</t>
        </is>
      </c>
      <c r="B10" s="8" t="inlineStr">
        <is>
          <t>2025</t>
        </is>
      </c>
      <c r="C10" s="7" t="inlineStr">
        <is>
          <t>2025-11-21</t>
        </is>
      </c>
      <c r="D10" s="9" t="inlineStr">
        <is>
          <t>மட்டக்களப்பில் துரத்தியடிக்கப்பட்ட தொல்லியல் திணைக்களத்தினர்</t>
        </is>
      </c>
      <c r="E10" s="9" t="n"/>
      <c r="F10" s="9" t="inlineStr">
        <is>
          <t>IBC Tamil</t>
        </is>
      </c>
      <c r="G10" s="7" t="inlineStr">
        <is>
          <t>News</t>
        </is>
      </c>
      <c r="H10" s="7" t="inlineStr">
        <is>
          <t>Tamil</t>
        </is>
      </c>
      <c r="I10" s="9" t="inlineStr">
        <is>
          <t>Archaeology / தொல்லியல்</t>
        </is>
      </c>
      <c r="J10" s="9" t="inlineStr">
        <is>
          <t>தொல்லியல்; Batticaloa</t>
        </is>
      </c>
      <c r="K10" s="7" t="inlineStr">
        <is>
          <t>Yes</t>
        </is>
      </c>
      <c r="L10" s="9" t="inlineStr">
        <is>
          <t>Heritage dispute; date from URL timestamp</t>
        </is>
      </c>
      <c r="M10" s="10" t="inlineStr">
        <is>
          <t>https://ibctamil.com/article/department-of-archaeology-personnel-chased-away-1763743917</t>
        </is>
      </c>
    </row>
    <row r="11">
      <c r="A11" s="11" t="inlineStr">
        <is>
          <t>NW-0010</t>
        </is>
      </c>
      <c r="B11" s="12" t="inlineStr">
        <is>
          <t>2025</t>
        </is>
      </c>
      <c r="C11" s="11" t="inlineStr">
        <is>
          <t>2025-12-27</t>
        </is>
      </c>
      <c r="D11" s="13" t="inlineStr">
        <is>
          <t>வவுனியா கல்லுமலை பிள்ளையார் ஆலய வளாகத்தில் முளைக்கும் விகாரை!</t>
        </is>
      </c>
      <c r="E11" s="13" t="n"/>
      <c r="F11" s="13" t="inlineStr">
        <is>
          <t>IBC Tamil</t>
        </is>
      </c>
      <c r="G11" s="11" t="inlineStr">
        <is>
          <t>News</t>
        </is>
      </c>
      <c r="H11" s="11" t="inlineStr">
        <is>
          <t>Tamil</t>
        </is>
      </c>
      <c r="I11" s="13" t="inlineStr">
        <is>
          <t>Archaeology / தொல்லியல்</t>
        </is>
      </c>
      <c r="J11" s="13" t="inlineStr">
        <is>
          <t>தொல்லியல்; archaeology department; Vavuniya</t>
        </is>
      </c>
      <c r="K11" s="11" t="inlineStr">
        <is>
          <t>Yes</t>
        </is>
      </c>
      <c r="L11" s="13" t="inlineStr">
        <is>
          <t>Heritage dispute; date from URL timestamp</t>
        </is>
      </c>
      <c r="M11" s="14" t="inlineStr">
        <is>
          <t>https://ibctamil.com/article/archaeology-dep-to-construct-a-vihara-in-vavuniya-1766829487</t>
        </is>
      </c>
    </row>
    <row r="12">
      <c r="A12" s="7" t="inlineStr">
        <is>
          <t>NW-0011</t>
        </is>
      </c>
      <c r="B12" s="8" t="inlineStr">
        <is>
          <t>2025</t>
        </is>
      </c>
      <c r="C12" s="7" t="inlineStr">
        <is>
          <t>2025-12-27</t>
        </is>
      </c>
      <c r="D12" s="9" t="inlineStr">
        <is>
          <t>வவுனியா பிள்ளையார் ஆலய வளாகத்தில் விகாரை அமைக்கும் தொல்பொருள் திணைக்களம்</t>
        </is>
      </c>
      <c r="E12" s="9" t="n"/>
      <c r="F12" s="9" t="inlineStr">
        <is>
          <t>Tamilwin</t>
        </is>
      </c>
      <c r="G12" s="7" t="inlineStr">
        <is>
          <t>News</t>
        </is>
      </c>
      <c r="H12" s="7" t="inlineStr">
        <is>
          <t>Tamil</t>
        </is>
      </c>
      <c r="I12" s="9" t="inlineStr">
        <is>
          <t>Archaeology / தொல்லியல்</t>
        </is>
      </c>
      <c r="J12" s="9" t="inlineStr">
        <is>
          <t>தொல்லியல்; archaeology department; Vavuniya</t>
        </is>
      </c>
      <c r="K12" s="7" t="inlineStr">
        <is>
          <t>Yes</t>
        </is>
      </c>
      <c r="L12" s="9" t="inlineStr">
        <is>
          <t>Heritage dispute; date from URL timestamp</t>
        </is>
      </c>
      <c r="M12" s="10" t="inlineStr">
        <is>
          <t>https://tamilwin.com/article/viharaya-in-the-pillayar-temple-complex-vavuniya-1766838422</t>
        </is>
      </c>
    </row>
    <row r="13">
      <c r="A13" s="11" t="inlineStr">
        <is>
          <t>NW-0012</t>
        </is>
      </c>
      <c r="B13" s="12" t="inlineStr">
        <is>
          <t>2024</t>
        </is>
      </c>
      <c r="C13" s="11" t="inlineStr">
        <is>
          <t>2024-02-24</t>
        </is>
      </c>
      <c r="D13" s="13" t="inlineStr">
        <is>
          <t>இலங்கையில் கண்டுபிடிக்கப்பட்ட நிலக்கீழ் நகரம்</t>
        </is>
      </c>
      <c r="E13" s="13" t="n"/>
      <c r="F13" s="13" t="inlineStr">
        <is>
          <t>IBC Tamil</t>
        </is>
      </c>
      <c r="G13" s="11" t="inlineStr">
        <is>
          <t>News</t>
        </is>
      </c>
      <c r="H13" s="11" t="inlineStr">
        <is>
          <t>Tamil</t>
        </is>
      </c>
      <c r="I13" s="13" t="inlineStr">
        <is>
          <t>Archaeology / தொல்லியல்</t>
        </is>
      </c>
      <c r="J13" s="13" t="inlineStr">
        <is>
          <t>தொல்லியல்; Polonnaruwa</t>
        </is>
      </c>
      <c r="K13" s="11" t="inlineStr">
        <is>
          <t>Yes</t>
        </is>
      </c>
      <c r="L13" s="13" t="inlineStr">
        <is>
          <t>URL timestamp Feb 2024</t>
        </is>
      </c>
      <c r="M13" s="14" t="inlineStr">
        <is>
          <t>https://ibctamil.com/article/an-underground-city-discovered-in-polonnaruwa-sl-1708747886</t>
        </is>
      </c>
    </row>
    <row r="14">
      <c r="A14" s="7" t="inlineStr">
        <is>
          <t>NW-0013</t>
        </is>
      </c>
      <c r="B14" s="8" t="inlineStr">
        <is>
          <t>2024</t>
        </is>
      </c>
      <c r="C14" s="7" t="inlineStr">
        <is>
          <t>2024-07-06</t>
        </is>
      </c>
      <c r="D14" s="9" t="inlineStr">
        <is>
          <t>Exploring Sri Lanka's archaeological and cultural treasures</t>
        </is>
      </c>
      <c r="E14" s="9" t="n"/>
      <c r="F14" s="9" t="inlineStr">
        <is>
          <t>Wanderlust Travel Magazine</t>
        </is>
      </c>
      <c r="G14" s="7" t="inlineStr">
        <is>
          <t>News</t>
        </is>
      </c>
      <c r="H14" s="7" t="inlineStr">
        <is>
          <t>English</t>
        </is>
      </c>
      <c r="I14" s="9" t="inlineStr">
        <is>
          <t>Archaeology / தொல்லியல்</t>
        </is>
      </c>
      <c r="J14" s="9" t="inlineStr">
        <is>
          <t>archaeological</t>
        </is>
      </c>
      <c r="K14" s="7" t="inlineStr">
        <is>
          <t>Yes</t>
        </is>
      </c>
      <c r="L14" s="9" t="inlineStr">
        <is>
          <t>Google News query: rock art Sri Lanka. Auto-collected 2026-10-14 (news); review.</t>
        </is>
      </c>
      <c r="M14" s="10" t="inlineStr">
        <is>
          <t>https://news.google.com/rss/articles/CBMiggFBVV95cUxQczl0U3RlM2Y4UjFBSU1ULWtUTEpFaXZIb3pBLTRkTmpoOEh5Nzc4MzlMNVM4MGpEd0FhWFVJTE84ZnZ3ZnVDUWVjUnBOVThrTndsX3gxT0g0ZkxlWDQyLWVRNDdFZ25HXzdlZWZmQ2ZZZFlMUHVHYm1DLWdVZjVuNmdR?oc=5</t>
        </is>
      </c>
    </row>
    <row r="15">
      <c r="A15" s="11" t="inlineStr">
        <is>
          <t>NW-0014</t>
        </is>
      </c>
      <c r="B15" s="12" t="inlineStr">
        <is>
          <t>2024</t>
        </is>
      </c>
      <c r="C15" s="11" t="inlineStr">
        <is>
          <t>2024-08-22</t>
        </is>
      </c>
      <c r="D15" s="13" t="inlineStr">
        <is>
          <t>Fact Check: அனுமனின் கதாயுதம் ஒன்று இலங்கையில் தொல்லியல் அகழாய்வின் போது கண்டெடுக்கப்பட்டதா?</t>
        </is>
      </c>
      <c r="E15" s="13" t="n"/>
      <c r="F15" s="13" t="inlineStr">
        <is>
          <t>NewsMeter</t>
        </is>
      </c>
      <c r="G15" s="11" t="inlineStr">
        <is>
          <t>News</t>
        </is>
      </c>
      <c r="H15" s="11" t="inlineStr">
        <is>
          <t>Tamil</t>
        </is>
      </c>
      <c r="I15" s="13" t="inlineStr">
        <is>
          <t>Archaeology / தொல்லியல்</t>
        </is>
      </c>
      <c r="J15" s="13" t="inlineStr">
        <is>
          <t>தொல்லியல்</t>
        </is>
      </c>
      <c r="K15" s="11" t="inlineStr">
        <is>
          <t>Yes</t>
        </is>
      </c>
      <c r="L15" s="13" t="inlineStr">
        <is>
          <t>Google News query: தொல்லியல் இலங்கை தமிழ். Auto-collected 2026-10-14 (news); review.</t>
        </is>
      </c>
      <c r="M15" s="14" t="inlineStr">
        <is>
          <t>https://news.google.com/rss/articles/CBMinAFBVV95cUxPc0xxall2V0toUHFjdEpHdGd3YV9VWTZja0htbkJXNFEyNmVJMlF1WGJsZnlXeXVlemltbDRfMHdYYXlLZ0swRlVVbW1uU0pUc3ppZkc2Qmlnc0Y1WFl3SXpINzJFRUZYVWxNRDV5YUNEanAxZE4tMG9hT0hZQnNXYWNhM1VMRHV6b25iN3ZPZUNzZzJYeVB5VlZlUEY?oc=5</t>
        </is>
      </c>
    </row>
    <row r="16">
      <c r="A16" s="7" t="inlineStr">
        <is>
          <t>NW-0015</t>
        </is>
      </c>
      <c r="B16" s="8" t="inlineStr">
        <is>
          <t>2023</t>
        </is>
      </c>
      <c r="C16" s="7" t="inlineStr">
        <is>
          <t>2023-03-27</t>
        </is>
      </c>
      <c r="D16" s="9" t="inlineStr">
        <is>
          <t>வவுனியா - வெடுக்குநாறி மலை விவகாரம்: வன்மையாகக் கண்டிப்பதாகக் கூறும் அனந்தி!</t>
        </is>
      </c>
      <c r="E16" s="9" t="n"/>
      <c r="F16" s="9" t="inlineStr">
        <is>
          <t>Tamilwin</t>
        </is>
      </c>
      <c r="G16" s="7" t="inlineStr">
        <is>
          <t>News</t>
        </is>
      </c>
      <c r="H16" s="7" t="inlineStr">
        <is>
          <t>Tamil</t>
        </is>
      </c>
      <c r="I16" s="9" t="inlineStr">
        <is>
          <t>Archaeology / தொல்லியல்</t>
        </is>
      </c>
      <c r="J16" s="9" t="inlineStr">
        <is>
          <t>Vedukkunari hill; archaeology; heritage</t>
        </is>
      </c>
      <c r="K16" s="7" t="inlineStr">
        <is>
          <t>Yes</t>
        </is>
      </c>
      <c r="L16" s="9" t="inlineStr">
        <is>
          <t>Heritage dispute; date from URL timestamp</t>
        </is>
      </c>
      <c r="M16" s="10" t="inlineStr">
        <is>
          <t>https://tamilwin.com/article/vedukunari-hill-affair-1679899848</t>
        </is>
      </c>
    </row>
    <row r="17">
      <c r="A17" s="11" t="inlineStr">
        <is>
          <t>NW-0016</t>
        </is>
      </c>
      <c r="B17" s="12" t="inlineStr">
        <is>
          <t>2023</t>
        </is>
      </c>
      <c r="C17" s="11" t="inlineStr">
        <is>
          <t>2023-03-29</t>
        </is>
      </c>
      <c r="D17" s="13" t="inlineStr">
        <is>
          <t>இலங்கையின் தொல்லியல் சிறப்புமிக்க ஆதிலிங்கேஸ்வரர் ஆலயம் உடைப்பு - அரசாங்கம் என்ன சொல்கிறது?</t>
        </is>
      </c>
      <c r="E17" s="13" t="n"/>
      <c r="F17" s="13" t="inlineStr">
        <is>
          <t>BBC</t>
        </is>
      </c>
      <c r="G17" s="11" t="inlineStr">
        <is>
          <t>News</t>
        </is>
      </c>
      <c r="H17" s="11" t="inlineStr">
        <is>
          <t>Tamil</t>
        </is>
      </c>
      <c r="I17" s="13" t="inlineStr">
        <is>
          <t>Archaeology / தொல்லியல்</t>
        </is>
      </c>
      <c r="J17" s="13" t="inlineStr">
        <is>
          <t>தொல்லியல்</t>
        </is>
      </c>
      <c r="K17" s="11" t="inlineStr">
        <is>
          <t>Yes</t>
        </is>
      </c>
      <c r="L17" s="13" t="inlineStr">
        <is>
          <t>Google News query: தொல்லியல் இலங்கை தமிழ். Auto-collected 2026-10-14 (news); review.</t>
        </is>
      </c>
      <c r="M17" s="14" t="inlineStr">
        <is>
          <t>https://news.google.com/rss/articles/CBMiW0FVX3lxTE02dFpiVWFGNWlFWExhWUxUelI2X0tYY3kxak4tYWx2ZDhrSld0SC11ZzVxZXhLV3lNWEhMeUdaQUZfZWQ2MkNLMk9JMTNUUkVwRzhlUDFvZ3VlWlHSAWBBVV95cUxPOUhPNUd4LXgwN2hvRVJod0pXWnNDbjJ1S1U3U0xRVHpDQzZCYldGY3hBZWtCbGFycEt3N1U4bzNPT0dEeXVkRnc3QVdRLXNuU0l3ZXp3YlZ1dWJZSVRRQ04?oc=5</t>
        </is>
      </c>
    </row>
    <row r="18">
      <c r="A18" s="7" t="inlineStr">
        <is>
          <t>NW-0017</t>
        </is>
      </c>
      <c r="B18" s="8" t="inlineStr">
        <is>
          <t>2023</t>
        </is>
      </c>
      <c r="C18" s="7" t="inlineStr">
        <is>
          <t>2023-08-11</t>
        </is>
      </c>
      <c r="D18" s="9" t="inlineStr">
        <is>
          <t>கீரிமலை கேணியையும் தொல்லியல் திணைக்களம் கட்டுப்பாட்டுக்குள் கொண்டுவர முயற்சி - அகில இலங்கை இந்து மாமன்றம்</t>
        </is>
      </c>
      <c r="E18" s="9" t="n"/>
      <c r="F18" s="9" t="inlineStr">
        <is>
          <t>Lanka Truth</t>
        </is>
      </c>
      <c r="G18" s="7" t="inlineStr">
        <is>
          <t>News</t>
        </is>
      </c>
      <c r="H18" s="7" t="inlineStr">
        <is>
          <t>Tamil</t>
        </is>
      </c>
      <c r="I18" s="9" t="inlineStr">
        <is>
          <t>Archaeology / தொல்லியல்</t>
        </is>
      </c>
      <c r="J18" s="9" t="inlineStr">
        <is>
          <t>தொல்லியல்</t>
        </is>
      </c>
      <c r="K18" s="7" t="inlineStr">
        <is>
          <t>Yes</t>
        </is>
      </c>
      <c r="L18" s="9" t="inlineStr">
        <is>
          <t>Google News query: தொல்லியல் இலங்கை தமிழ். Auto-collected 2026-10-14 (news); review.</t>
        </is>
      </c>
      <c r="M18" s="10" t="inlineStr">
        <is>
          <t>https://news.google.com/rss/articles/CBMiSkFVX3lxTE9RWHRpZjlDZE92MEg4bC1VRXFNMjNpSlotREpZclVwU2tncGcyRWFNUnpxQ1ZJTmlRZS1VanBPWl9XNVdjcWhtd29R?oc=5</t>
        </is>
      </c>
    </row>
    <row r="19">
      <c r="A19" s="11" t="inlineStr">
        <is>
          <t>NW-0018</t>
        </is>
      </c>
      <c r="B19" s="12" t="inlineStr">
        <is>
          <t>2023</t>
        </is>
      </c>
      <c r="C19" s="11" t="inlineStr">
        <is>
          <t>2023-09-13</t>
        </is>
      </c>
      <c r="D19" s="13" t="inlineStr">
        <is>
          <t>இலங்கை இனவாத குழுக்கள் சர்ச்சைக்குரிய தொல்பொருள் பிரதேசம் தொடர்பாக இனவாத பதட்டங்களை கிளப்பி வருகின்றன</t>
        </is>
      </c>
      <c r="E19" s="13" t="n"/>
      <c r="F19" s="13" t="inlineStr">
        <is>
          <t>World Socialist Web Site</t>
        </is>
      </c>
      <c r="G19" s="11" t="inlineStr">
        <is>
          <t>News</t>
        </is>
      </c>
      <c r="H19" s="11" t="inlineStr">
        <is>
          <t>Tamil</t>
        </is>
      </c>
      <c r="I19" s="13" t="inlineStr">
        <is>
          <t>Archaeology / தொல்லியல்</t>
        </is>
      </c>
      <c r="J19" s="13" t="inlineStr">
        <is>
          <t>தொல்பொருள்</t>
        </is>
      </c>
      <c r="K19" s="11" t="inlineStr">
        <is>
          <t>Yes</t>
        </is>
      </c>
      <c r="L19" s="13" t="inlineStr">
        <is>
          <t>Google News query: தொல்லியல் இலங்கை தமிழ். Auto-collected 2026-10-14 (news); review.</t>
        </is>
      </c>
      <c r="M19" s="14" t="inlineStr">
        <is>
          <t>https://news.google.com/rss/articles/CBMiaEFVX3lxTE9mazdldjk2bWROTF9UYjJKOWhvMk9hQUwwcGdfbjgwYVN4a2phYktJU3RfWHpUSzFxZlpLQmhURWxacjJWYTNFZEFMNlFuWG13S1Rra1ZVZGdPcU40bmZxS2p5M09wT09h?oc=5</t>
        </is>
      </c>
    </row>
    <row r="20">
      <c r="A20" s="7" t="inlineStr">
        <is>
          <t>NW-0019</t>
        </is>
      </c>
      <c r="B20" s="8" t="inlineStr">
        <is>
          <t>2023</t>
        </is>
      </c>
      <c r="C20" s="7" t="inlineStr">
        <is>
          <t>2023-09-27</t>
        </is>
      </c>
      <c r="D20" s="9" t="inlineStr">
        <is>
          <t>Shared heritage of archaeological sites in the North and East</t>
        </is>
      </c>
      <c r="E20" s="9" t="n"/>
      <c r="F20" s="9" t="inlineStr">
        <is>
          <t>Daily Mirror - Sri Lanka</t>
        </is>
      </c>
      <c r="G20" s="7" t="inlineStr">
        <is>
          <t>News</t>
        </is>
      </c>
      <c r="H20" s="7" t="inlineStr">
        <is>
          <t>English</t>
        </is>
      </c>
      <c r="I20" s="9" t="inlineStr">
        <is>
          <t>Archaeology / தொல்லியல்</t>
        </is>
      </c>
      <c r="J20" s="9" t="inlineStr">
        <is>
          <t>archaeological</t>
        </is>
      </c>
      <c r="K20" s="7" t="inlineStr">
        <is>
          <t>Yes</t>
        </is>
      </c>
      <c r="L20" s="9" t="inlineStr">
        <is>
          <t>Google News query: Tamil inscription Sri Lanka. Auto-collected 2026-10-14 (news); review.</t>
        </is>
      </c>
      <c r="M20" s="10" t="inlineStr">
        <is>
          <t>https://news.google.com/rss/articles/CBMiqwFBVV95cUxPWG1naE01WFRxUkhWX2kwWWRWTlJaZy1heUNCOG9pcTZ5eUtqbjlPc1BRVHlBQm1ST0hvQmk5TDlMeVZXQlNwUXBWelhMdGNmLVc3ck0yR2MzWUtSS0xQdW5uRjhFa0lPTVZ2Q08yUkg3aXhLeGdtdllzYWZGV2pad2IzbkIwdk54T0tneHl3bzZUU0gyRWRIU2gwX21BUmV1Zm1Vc2pZNkx3cms?oc=5</t>
        </is>
      </c>
    </row>
    <row r="21">
      <c r="A21" s="11" t="inlineStr">
        <is>
          <t>NW-0020</t>
        </is>
      </c>
      <c r="B21" s="12" t="inlineStr">
        <is>
          <t>2023</t>
        </is>
      </c>
      <c r="C21" s="11" t="inlineStr">
        <is>
          <t>2023-11-09</t>
        </is>
      </c>
      <c r="D21" s="13" t="inlineStr">
        <is>
          <t>இலங்கையில் மிகப் பெரிய கல்வெட்டு கண்டுபிடிப்பு</t>
        </is>
      </c>
      <c r="E21" s="13" t="n"/>
      <c r="F21" s="13" t="inlineStr">
        <is>
          <t>මුල් පිටුව</t>
        </is>
      </c>
      <c r="G21" s="11" t="inlineStr">
        <is>
          <t>News</t>
        </is>
      </c>
      <c r="H21" s="11" t="inlineStr">
        <is>
          <t>Tamil</t>
        </is>
      </c>
      <c r="I21" s="13" t="inlineStr">
        <is>
          <t>Inscriptions / கல்வெட்டு</t>
        </is>
      </c>
      <c r="J21" s="13" t="inlineStr">
        <is>
          <t>கல்வெட்டு</t>
        </is>
      </c>
      <c r="K21" s="11" t="inlineStr">
        <is>
          <t>Yes</t>
        </is>
      </c>
      <c r="L21" s="13" t="inlineStr">
        <is>
          <t>Google News query: கல்வெட்டு இலங்கை. Auto-collected 2026-10-14 (news); review.</t>
        </is>
      </c>
      <c r="M21" s="14" t="inlineStr">
        <is>
          <t>https://news.google.com/rss/articles/CBMiV0FVX3lxTE0xSVZDa2M2cjhyOFJNVzZ4UEt2TnRyanBkaXBhSmxhTElobUFMNWhic0dWMlloejhDY3NaOGVEMnNnN0liY1B6cjR1OTFMOVowUUp1YzQ1WQ?oc=5</t>
        </is>
      </c>
    </row>
    <row r="22">
      <c r="A22" s="7" t="inlineStr">
        <is>
          <t>NW-0021</t>
        </is>
      </c>
      <c r="B22" s="8" t="inlineStr">
        <is>
          <t>2022</t>
        </is>
      </c>
      <c r="C22" s="7" t="inlineStr">
        <is>
          <t>2022-09-23</t>
        </is>
      </c>
      <c r="D22" s="9" t="inlineStr">
        <is>
          <t>குருந்தூர்மலை, திருக்கோணேஸ்வரம் ஆக்கிரமிப்புக்களை உடன் நிறுத்துக! சுமந்திரன்</t>
        </is>
      </c>
      <c r="E22" s="9" t="n"/>
      <c r="F22" s="9" t="inlineStr">
        <is>
          <t>Tamilwin</t>
        </is>
      </c>
      <c r="G22" s="7" t="inlineStr">
        <is>
          <t>News</t>
        </is>
      </c>
      <c r="H22" s="7" t="inlineStr">
        <is>
          <t>Tamil</t>
        </is>
      </c>
      <c r="I22" s="9" t="inlineStr">
        <is>
          <t>Archaeology / தொல்லியல்</t>
        </is>
      </c>
      <c r="J22" s="9" t="inlineStr">
        <is>
          <t>Kurunthurmalai; Koneswaram; archaeology</t>
        </is>
      </c>
      <c r="K22" s="7" t="inlineStr">
        <is>
          <t>Yes</t>
        </is>
      </c>
      <c r="L22" s="9" t="inlineStr">
        <is>
          <t>Heritage dispute; date from URL timestamp</t>
        </is>
      </c>
      <c r="M22" s="10" t="inlineStr">
        <is>
          <t>https://tamilwin.com/article/sri-lanka-parliament-sumanthiran-thirukoneshwaram-1663923669</t>
        </is>
      </c>
    </row>
    <row r="23">
      <c r="A23" s="11" t="inlineStr">
        <is>
          <t>NW-0022</t>
        </is>
      </c>
      <c r="B23" s="12" t="inlineStr">
        <is>
          <t>2021</t>
        </is>
      </c>
      <c r="C23" s="11" t="inlineStr">
        <is>
          <t>2021-11-22</t>
        </is>
      </c>
      <c r="D23" s="13" t="inlineStr">
        <is>
          <t>இலங்கை தமிழர் வரலாறு பற்றி இதுவரை அறியப்படாத புதிய கல்வெட்டு திருகோணமலையில் கண்டுபிடிப்பு</t>
        </is>
      </c>
      <c r="E23" s="13" t="n"/>
      <c r="F23" s="13" t="inlineStr">
        <is>
          <t>Virakesari</t>
        </is>
      </c>
      <c r="G23" s="11" t="inlineStr">
        <is>
          <t>News</t>
        </is>
      </c>
      <c r="H23" s="11" t="inlineStr">
        <is>
          <t>Tamil</t>
        </is>
      </c>
      <c r="I23" s="13" t="inlineStr">
        <is>
          <t>Inscriptions / கல்வெட்டு</t>
        </is>
      </c>
      <c r="J23" s="13" t="inlineStr">
        <is>
          <t>கல்வெட்டு; Trincomalee</t>
        </is>
      </c>
      <c r="K23" s="11" t="inlineStr">
        <is>
          <t>Yes</t>
        </is>
      </c>
      <c r="L23" s="13" t="inlineStr">
        <is>
          <t>URL timestamp suggests Nov 2021</t>
        </is>
      </c>
      <c r="M23" s="14" t="inlineStr">
        <is>
          <t>https://www.virakesari.lk/article/117633</t>
        </is>
      </c>
    </row>
    <row r="24">
      <c r="A24" s="7" t="inlineStr">
        <is>
          <t>NW-0023</t>
        </is>
      </c>
      <c r="B24" s="8" t="inlineStr">
        <is>
          <t>2021</t>
        </is>
      </c>
      <c r="C24" s="7" t="inlineStr">
        <is>
          <t>2021-11-22</t>
        </is>
      </c>
      <c r="D24" s="9" t="inlineStr">
        <is>
          <t>இலங்கை தமிழர் வரலாறு: புதிய தகவல்களைக் கூறும் 13ஆம் நூற்றாண்டு கல்வெட்டு</t>
        </is>
      </c>
      <c r="E24" s="9" t="n"/>
      <c r="F24" s="9" t="inlineStr">
        <is>
          <t>BBC</t>
        </is>
      </c>
      <c r="G24" s="7" t="inlineStr">
        <is>
          <t>News</t>
        </is>
      </c>
      <c r="H24" s="7" t="inlineStr">
        <is>
          <t>Tamil</t>
        </is>
      </c>
      <c r="I24" s="9" t="inlineStr">
        <is>
          <t>Inscriptions / கல்வெட்டு</t>
        </is>
      </c>
      <c r="J24" s="9" t="inlineStr">
        <is>
          <t>கல்வெட்டு</t>
        </is>
      </c>
      <c r="K24" s="7" t="inlineStr">
        <is>
          <t>Yes</t>
        </is>
      </c>
      <c r="L24" s="9" t="inlineStr">
        <is>
          <t>Google News query: கல்வெட்டு இலங்கை. Auto-collected 2026-10-14 (news); review.</t>
        </is>
      </c>
      <c r="M24" s="10" t="inlineStr">
        <is>
          <t>https://news.google.com/rss/articles/CBMiV0FVX3lxTE9uajJZaVFzTk1NVFFqRDNVVTNHU3dVc0xySDB6Tk9LbmxIeHR4SkozOUxJN2lQTlFMa2hjaXJXakVjaWJmZ0xJcW1EQ0k3bUUyLVpfbVpMUdIBXEFVX3lxTFAtSEZTSzdPd25Oa1FFMFB2NGNHRFVIYjB4NWdIbXl3a0pmNXlRcjItZjhmLWNxbHItLUFUamVkSWpxblA3YUU5SUoxclFVTDhNR1pXaVZTelFLc2N1?oc=5</t>
        </is>
      </c>
    </row>
    <row r="25">
      <c r="A25" s="11" t="inlineStr">
        <is>
          <t>NW-0024</t>
        </is>
      </c>
      <c r="B25" s="12" t="inlineStr">
        <is>
          <t>2021</t>
        </is>
      </c>
      <c r="C25" s="11" t="inlineStr">
        <is>
          <t>2023-01-03</t>
        </is>
      </c>
      <c r="D25" s="13" t="inlineStr">
        <is>
          <t>தமிழ் இராச்சியத்தின் தோற்றம் பற்றிய முன்னைய வரலாற்றுப் பார்வையை மீள் வாசிப்பிற்கு உட்படுத்தும் அரிய தமிழ்க் கல்வெட்டு திருகோணமலையில் கண்டுபிடிப்பு!</t>
        </is>
      </c>
      <c r="E25" s="13" t="inlineStr">
        <is>
          <t>பரமு புஷ்பரட்ணம்</t>
        </is>
      </c>
      <c r="F25" s="13" t="inlineStr">
        <is>
          <t>Athavan News</t>
        </is>
      </c>
      <c r="G25" s="11" t="inlineStr">
        <is>
          <t>News</t>
        </is>
      </c>
      <c r="H25" s="11" t="inlineStr">
        <is>
          <t>Tamil</t>
        </is>
      </c>
      <c r="I25" s="13" t="inlineStr">
        <is>
          <t>Inscriptions / கல்வெட்டு</t>
        </is>
      </c>
      <c r="J25" s="13" t="inlineStr">
        <is>
          <t>கல்வெட்டு; Trincomalee; Tamil kingdom</t>
        </is>
      </c>
      <c r="K25" s="11" t="inlineStr">
        <is>
          <t>Yes</t>
        </is>
      </c>
      <c r="L25" s="13" t="n"/>
      <c r="M25" s="14" t="inlineStr">
        <is>
          <t>https://athavannews.com/2021/1251617</t>
        </is>
      </c>
    </row>
    <row r="26">
      <c r="A26" s="7" t="inlineStr">
        <is>
          <t>NW-0025</t>
        </is>
      </c>
      <c r="B26" s="8" t="inlineStr">
        <is>
          <t>2020</t>
        </is>
      </c>
      <c r="C26" s="7" t="inlineStr">
        <is>
          <t>2020-12-01</t>
        </is>
      </c>
      <c r="D26" s="9" t="inlineStr">
        <is>
          <t>Sri Lanka’s archaeology department acquires ‘ancient monastery site’ in Jaffna</t>
        </is>
      </c>
      <c r="E26" s="9" t="n"/>
      <c r="F26" s="9" t="inlineStr">
        <is>
          <t>Tamil Guardian</t>
        </is>
      </c>
      <c r="G26" s="7" t="inlineStr">
        <is>
          <t>News</t>
        </is>
      </c>
      <c r="H26" s="7" t="inlineStr">
        <is>
          <t>English</t>
        </is>
      </c>
      <c r="I26" s="9" t="inlineStr">
        <is>
          <t>Archaeology / தொல்லியல்</t>
        </is>
      </c>
      <c r="J26" s="9" t="inlineStr">
        <is>
          <t>archaeology</t>
        </is>
      </c>
      <c r="K26" s="7" t="inlineStr">
        <is>
          <t>Yes</t>
        </is>
      </c>
      <c r="L26" s="9" t="inlineStr">
        <is>
          <t>Google News query: archaeology Jaffna. Auto-collected 2026-10-14 (news); review.</t>
        </is>
      </c>
      <c r="M26" s="10" t="inlineStr">
        <is>
          <t>https://news.google.com/rss/articles/CBMirwFBVV95cUxOcjFjTFg2ZzhVRzlEakRZekNFeXQzR2ZuQUdDcXFNdG9rQ2JoV2RaYzNnOF9La29FX3BnZXRvY3d3SnlCakNhQVg1dVJ3WnVkT3BwYWZYTnlTdTVoOXBlVDJKc3ZMbmo0bEhmM1pkUGRfdHk2NmEwVFpUNkE3c1FOQl9qVXdEa0JiSXQwWmJvek91dVN0Y0M5NGwxQkQtUDQxLXFib25oWkdNWnlNOGJV?oc=5</t>
        </is>
      </c>
    </row>
    <row r="27">
      <c r="A27" s="11" t="inlineStr">
        <is>
          <t>NW-0026</t>
        </is>
      </c>
      <c r="B27" s="12" t="inlineStr">
        <is>
          <t>2019</t>
        </is>
      </c>
      <c r="C27" s="11" t="inlineStr">
        <is>
          <t>2019-03-17</t>
        </is>
      </c>
      <c r="D27" s="13" t="inlineStr">
        <is>
          <t>இலங்கையில் பெருங்கற்காலத்தில் தமிழர்கள் வாழ்ந்த இடம்; அழிந்து வருவதாக மக்கள் கவலை</t>
        </is>
      </c>
      <c r="E27" s="13" t="n"/>
      <c r="F27" s="13" t="inlineStr">
        <is>
          <t>BBC</t>
        </is>
      </c>
      <c r="G27" s="11" t="inlineStr">
        <is>
          <t>News</t>
        </is>
      </c>
      <c r="H27" s="11" t="inlineStr">
        <is>
          <t>Tamil</t>
        </is>
      </c>
      <c r="I27" s="13" t="inlineStr">
        <is>
          <t>Archaeology / தொல்லியல்</t>
        </is>
      </c>
      <c r="J27" s="13" t="inlineStr">
        <is>
          <t>பெருங்கற்</t>
        </is>
      </c>
      <c r="K27" s="11" t="inlineStr">
        <is>
          <t>Yes</t>
        </is>
      </c>
      <c r="L27" s="13" t="inlineStr">
        <is>
          <t>Google News query: தொல்லியல் இலங்கை தமிழ். Auto-collected 2026-10-14 (news); review.</t>
        </is>
      </c>
      <c r="M27" s="14" t="inlineStr">
        <is>
          <t>https://news.google.com/rss/articles/CBMiV0FVX3lxTE81SUxqWmhQSjVTVWh3S1VLZGV2MHAyTjNDOHBDeHhXX0pCZVJjakRFSnRZQWtxRXdLS2lwakp5eGNiZC1RbGxRUVFrMWpfRDc1VnNSZUFSc9IBXEFVX3lxTFBNa3dMSUJMS0hJVEhnNXZpTzB3b2RFWWhhNDJhN0JDdTFsOU13bVVJZ2RfdUNPVkItQUlHcm9sTEF6NE4xckhmd3gyZVlQTlFTaTQ5NXBfWUx3MnlH?oc=5</t>
        </is>
      </c>
    </row>
    <row r="28">
      <c r="A28" s="7" t="inlineStr">
        <is>
          <t>NW-0027</t>
        </is>
      </c>
      <c r="B28" s="8" t="inlineStr">
        <is>
          <t>2019</t>
        </is>
      </c>
      <c r="C28" s="7" t="inlineStr">
        <is>
          <t>2019-05-30</t>
        </is>
      </c>
      <c r="D28" s="9" t="inlineStr">
        <is>
          <t>30.05.19 SL Archaeology Dept steps up controversial construction work in Trincomalee</t>
        </is>
      </c>
      <c r="E28" s="9" t="n"/>
      <c r="F28" s="9" t="inlineStr">
        <is>
          <t>TamilNet</t>
        </is>
      </c>
      <c r="G28" s="7" t="inlineStr">
        <is>
          <t>News</t>
        </is>
      </c>
      <c r="H28" s="7" t="inlineStr">
        <is>
          <t>English</t>
        </is>
      </c>
      <c r="I28" s="9" t="inlineStr">
        <is>
          <t>Archaeology / தொல்லியல்</t>
        </is>
      </c>
      <c r="J28" s="9" t="inlineStr">
        <is>
          <t>archaeology</t>
        </is>
      </c>
      <c r="K28" s="7" t="inlineStr">
        <is>
          <t>Yes</t>
        </is>
      </c>
      <c r="L28" s="9" t="inlineStr">
        <is>
          <t>Google News query: archaeology Vanni Tamil. Auto-collected 2026-10-14 (news); review.</t>
        </is>
      </c>
      <c r="M28" s="10" t="inlineStr">
        <is>
          <t>https://news.google.com/rss/articles/CBMiZEFVX3lxTFBaOXhuY19ZUk1ySExJdXFObDBJWDEzMmtqZVhLNTNoNVhhZWhvQm1Idy1uUWRiU1h2Nkg4UWRMTmtNLVhOWU0zSzdBWFZjdzEwQnJtX0FLd1FnWXlpYVl0TU9OSG0?oc=5</t>
        </is>
      </c>
    </row>
    <row r="29">
      <c r="A29" s="11" t="inlineStr">
        <is>
          <t>NW-0028</t>
        </is>
      </c>
      <c r="B29" s="12" t="inlineStr">
        <is>
          <t>2019</t>
        </is>
      </c>
      <c r="C29" s="11" t="inlineStr">
        <is>
          <t>2019-08-19</t>
        </is>
      </c>
      <c r="D29" s="13" t="inlineStr">
        <is>
          <t>Tamil archaeological site under threat from granite mining</t>
        </is>
      </c>
      <c r="E29" s="13" t="n"/>
      <c r="F29" s="13" t="inlineStr">
        <is>
          <t>Tamil Guardian</t>
        </is>
      </c>
      <c r="G29" s="11" t="inlineStr">
        <is>
          <t>News</t>
        </is>
      </c>
      <c r="H29" s="11" t="inlineStr">
        <is>
          <t>English</t>
        </is>
      </c>
      <c r="I29" s="13" t="inlineStr">
        <is>
          <t>Archaeology / தொல்லியல்</t>
        </is>
      </c>
      <c r="J29" s="13" t="inlineStr">
        <is>
          <t>archaeological</t>
        </is>
      </c>
      <c r="K29" s="11" t="inlineStr">
        <is>
          <t>Yes</t>
        </is>
      </c>
      <c r="L29" s="13" t="inlineStr">
        <is>
          <t>Google News query: archaeology Vanni Tamil. Auto-collected 2026-10-14 (news); review.</t>
        </is>
      </c>
      <c r="M29" s="14" t="inlineStr">
        <is>
          <t>https://news.google.com/rss/articles/CBMilgFBVV95cUxPWjg3MzRjZlBYMTRYN2tEcGc5VXRTM25lZTlxYXl1RnhwLTdRQlRxYURPNE1oSGt0VFMxQ2pvNEg1LURmdF9rZ1NhZUNUU2lmSHIyMFpQTFU4cXAxTjZhN3Jsd2FhajVVdjN1dS1zUmptcFNJU0t1dlREZVRTbHAzV1JsTDM4dk9TLXQ2S0dIa3BBVzNnTnc?oc=5</t>
        </is>
      </c>
    </row>
    <row r="30">
      <c r="A30" s="7" t="inlineStr">
        <is>
          <t>NW-0029</t>
        </is>
      </c>
      <c r="B30" s="8" t="inlineStr">
        <is>
          <t>2019</t>
        </is>
      </c>
      <c r="C30" s="7" t="inlineStr">
        <is>
          <t>2019-09-30</t>
        </is>
      </c>
      <c r="D30" s="9" t="inlineStr">
        <is>
          <t>Monument to Tamil king in disrepair as Sri Lanka’s archaeology department ignores destruction</t>
        </is>
      </c>
      <c r="E30" s="9" t="n"/>
      <c r="F30" s="9" t="inlineStr">
        <is>
          <t>Tamil Guardian</t>
        </is>
      </c>
      <c r="G30" s="7" t="inlineStr">
        <is>
          <t>News</t>
        </is>
      </c>
      <c r="H30" s="7" t="inlineStr">
        <is>
          <t>English</t>
        </is>
      </c>
      <c r="I30" s="9" t="inlineStr">
        <is>
          <t>Archaeology / தொல்லியல்</t>
        </is>
      </c>
      <c r="J30" s="9" t="inlineStr">
        <is>
          <t>archaeology</t>
        </is>
      </c>
      <c r="K30" s="7" t="inlineStr">
        <is>
          <t>Yes</t>
        </is>
      </c>
      <c r="L30" s="9" t="inlineStr">
        <is>
          <t>Google News query: archaeology Vanni Tamil. Auto-collected 2026-10-14 (news); review.</t>
        </is>
      </c>
      <c r="M30" s="10" t="inlineStr">
        <is>
          <t>https://news.google.com/rss/articles/CBMivgFBVV95cUxORWRSQ0xORzJLQ2RoNE9KNWhjRnlENktmc2RIZk1VcXIwaWlLZTUwb09YcG1Pc3d2Yk00M0o5cWVsUUV5RmlhajdNeHJaS1dNZmcwUFU1SFh1TEVVbzF4Q0w5R2NvVjZzR1gwbWxIWXNadWlVNHloMUFzdW1yemNIdHE3WWlWbGNUNkpwVUFiTGU3RUJHZ2J1NHFmd2haakE3cGc0T21JMHU2T05TQWkzNWg2NzFkV0hmcWRJVWxn?oc=5</t>
        </is>
      </c>
    </row>
    <row r="31">
      <c r="A31" s="11" t="inlineStr">
        <is>
          <t>NW-0030</t>
        </is>
      </c>
      <c r="B31" s="12" t="inlineStr">
        <is>
          <t>2019</t>
        </is>
      </c>
      <c r="C31" s="11" t="inlineStr">
        <is>
          <t>2019-10-01</t>
        </is>
      </c>
      <c r="D31" s="13" t="inlineStr">
        <is>
          <t>பல ஆண்டுகளுக்குப் பின் தம்பலகாமத்தில் கண்டுபிடிக்கப்பட்ட அரிய தமிழ்க்கல்வெட்டு</t>
        </is>
      </c>
      <c r="E31" s="13" t="n"/>
      <c r="F31" s="13" t="inlineStr">
        <is>
          <t>Virakesari</t>
        </is>
      </c>
      <c r="G31" s="11" t="inlineStr">
        <is>
          <t>News</t>
        </is>
      </c>
      <c r="H31" s="11" t="inlineStr">
        <is>
          <t>Tamil</t>
        </is>
      </c>
      <c r="I31" s="13" t="inlineStr">
        <is>
          <t>Inscriptions / கல்வெட்டு</t>
        </is>
      </c>
      <c r="J31" s="13" t="inlineStr">
        <is>
          <t>கல்வெட்டு</t>
        </is>
      </c>
      <c r="K31" s="11" t="inlineStr">
        <is>
          <t>Yes</t>
        </is>
      </c>
      <c r="L31" s="13" t="inlineStr">
        <is>
          <t>Google News query: கல்வெட்டு இலங்கை. Auto-collected 2026-10-14 (news); review.</t>
        </is>
      </c>
      <c r="M31" s="14" t="inlineStr">
        <is>
          <t>https://news.google.com/rss/articles/CBMiUEFVX3lxTFBoclkwMTRjdmdKLWZ2aVE4Tk5VNUd5VlAyeVM4WG5EVHBNUFFfT2lwTkVweC1qLTJNODhBRE1wdUcxdVpvU3NVXzJFeGFKMXFp?oc=5</t>
        </is>
      </c>
    </row>
    <row r="32">
      <c r="A32" s="7" t="inlineStr">
        <is>
          <t>NW-0031</t>
        </is>
      </c>
      <c r="B32" s="8" t="inlineStr">
        <is>
          <t>2018</t>
        </is>
      </c>
      <c r="C32" s="7" t="inlineStr">
        <is>
          <t>2018-02-11</t>
        </is>
      </c>
      <c r="D32" s="9" t="inlineStr">
        <is>
          <t>Head to the East for a feast of archaeological sites</t>
        </is>
      </c>
      <c r="E32" s="9" t="n"/>
      <c r="F32" s="9" t="inlineStr">
        <is>
          <t>Sunday Times (Sri Lanka)</t>
        </is>
      </c>
      <c r="G32" s="7" t="inlineStr">
        <is>
          <t>Feature</t>
        </is>
      </c>
      <c r="H32" s="7" t="inlineStr">
        <is>
          <t>English</t>
        </is>
      </c>
      <c r="I32" s="9" t="inlineStr">
        <is>
          <t>Archaeology / தொல்லியல்</t>
        </is>
      </c>
      <c r="J32" s="9" t="inlineStr">
        <is>
          <t>archaeology; Eastern Province</t>
        </is>
      </c>
      <c r="K32" s="7" t="inlineStr">
        <is>
          <t>Yes</t>
        </is>
      </c>
      <c r="L32" s="9" t="n"/>
      <c r="M32" s="10" t="inlineStr">
        <is>
          <t>https://www.sundaytimes.lk/180211/plus/head-to-the-east-for-a-feast-of-archaeological-sites-281129.html</t>
        </is>
      </c>
    </row>
    <row r="33">
      <c r="A33" s="11" t="inlineStr">
        <is>
          <t>NW-0032</t>
        </is>
      </c>
      <c r="B33" s="12" t="inlineStr">
        <is>
          <t>2018</t>
        </is>
      </c>
      <c r="C33" s="11" t="inlineStr">
        <is>
          <t>2018-08-16</t>
        </is>
      </c>
      <c r="D33" s="13" t="inlineStr">
        <is>
          <t>New Delhi with ‘cultural presence’ not concerned about Chinese ‘heritage archaeology’ in Kayts</t>
        </is>
      </c>
      <c r="E33" s="13" t="n"/>
      <c r="F33" s="13" t="inlineStr">
        <is>
          <t>TamilNet</t>
        </is>
      </c>
      <c r="G33" s="11" t="inlineStr">
        <is>
          <t>News</t>
        </is>
      </c>
      <c r="H33" s="11" t="inlineStr">
        <is>
          <t>English</t>
        </is>
      </c>
      <c r="I33" s="13" t="inlineStr">
        <is>
          <t>Archaeology / தொல்லியல்</t>
        </is>
      </c>
      <c r="J33" s="13" t="inlineStr">
        <is>
          <t>archaeology</t>
        </is>
      </c>
      <c r="K33" s="11" t="inlineStr">
        <is>
          <t>Yes</t>
        </is>
      </c>
      <c r="L33" s="13" t="inlineStr">
        <is>
          <t>Google News query: archaeology Jaffna. Auto-collected 2026-10-14 (news); review.</t>
        </is>
      </c>
      <c r="M33" s="14" t="inlineStr">
        <is>
          <t>https://news.google.com/rss/articles/CBMiZEFVX3lxTE1OS2ZQSnVTU3JtZVR3Umthby1VWWZYdU1yakJCUExKQ0IzVG56Vm1JRDZDWkF2YV9waVZzWnowWWtkbjFxSWJMVlVSN01SRUtXeTdjNl9YQ0NlZloxUzU0N1ljeVQ?oc=5</t>
        </is>
      </c>
    </row>
    <row r="34">
      <c r="A34" s="7" t="inlineStr">
        <is>
          <t>NW-0033</t>
        </is>
      </c>
      <c r="B34" s="8" t="inlineStr">
        <is>
          <t>2018</t>
        </is>
      </c>
      <c r="C34" s="7" t="inlineStr">
        <is>
          <t>2018-09-15</t>
        </is>
      </c>
      <c r="D34" s="9" t="inlineStr">
        <is>
          <t>China and Sri Lanka unite in Maritime Silk Road archaeological research</t>
        </is>
      </c>
      <c r="E34" s="9" t="n"/>
      <c r="F34" s="9" t="inlineStr">
        <is>
          <t>CGTN</t>
        </is>
      </c>
      <c r="G34" s="7" t="inlineStr">
        <is>
          <t>News</t>
        </is>
      </c>
      <c r="H34" s="7" t="inlineStr">
        <is>
          <t>English</t>
        </is>
      </c>
      <c r="I34" s="9" t="inlineStr">
        <is>
          <t>Archaeology / தொல்லியல்</t>
        </is>
      </c>
      <c r="J34" s="9" t="inlineStr">
        <is>
          <t>archaeological</t>
        </is>
      </c>
      <c r="K34" s="7" t="inlineStr">
        <is>
          <t>Yes</t>
        </is>
      </c>
      <c r="L34" s="9" t="inlineStr">
        <is>
          <t>Google News query: archaeology Jaffna. Auto-collected 2026-10-14 (news); review.</t>
        </is>
      </c>
      <c r="M34" s="10" t="inlineStr">
        <is>
          <t>https://news.google.com/rss/articles/CBMiekFVX3lxTE1nWlpPYTI1SEhvalJHYk9hYlBjX09Ib2hFNVlaTWxEcGhjS25hTnZuWm9uaDdic2U0cHZyQ2RITWpkSTBTRHdCZ25jeTFlSkF0WFdCb2dENmgwLXdvRDZKRlB0c1lhQWxvX1VxdTVSSTdvM0E2TW93WllB0gF_QVVfeXFMT1dFYWh0UEZ3NmR3dC04MUpNZGVvaFp4Q2oyZndXaHlEeHVlV3Y4dWJRWEN0WW1nTmpZZ2pnLVM3VXU2dW5SY2NLamNFcUFNZmVsdXk3U2czUzN2bjlfMk9oaUhDUWhvaTVYdmQ3bUxKMll6dWRBRGFHOE9odGgydw?oc=5</t>
        </is>
      </c>
    </row>
    <row r="35">
      <c r="A35" s="11" t="inlineStr">
        <is>
          <t>NW-0034</t>
        </is>
      </c>
      <c r="B35" s="12" t="inlineStr">
        <is>
          <t>2017</t>
        </is>
      </c>
      <c r="C35" s="11" t="inlineStr">
        <is>
          <t>2017-01-04</t>
        </is>
      </c>
      <c r="D35" s="13" t="inlineStr">
        <is>
          <t>Standing the test of time</t>
        </is>
      </c>
      <c r="E35" s="13" t="n"/>
      <c r="F35" s="13" t="inlineStr">
        <is>
          <t>Daily News (Sri Lanka)</t>
        </is>
      </c>
      <c r="G35" s="11" t="inlineStr">
        <is>
          <t>Feature</t>
        </is>
      </c>
      <c r="H35" s="11" t="inlineStr">
        <is>
          <t>English</t>
        </is>
      </c>
      <c r="I35" s="13" t="inlineStr">
        <is>
          <t>Archaeology / தொல்லியல்</t>
        </is>
      </c>
      <c r="J35" s="13" t="inlineStr">
        <is>
          <t>archaeology</t>
        </is>
      </c>
      <c r="K35" s="11" t="inlineStr">
        <is>
          <t>Yes</t>
        </is>
      </c>
      <c r="L35" s="13" t="inlineStr">
        <is>
          <t>Relevance to verify</t>
        </is>
      </c>
      <c r="M35" s="14" t="inlineStr">
        <is>
          <t>https://archives1.dailynews.lk/2017/01/04/features/103659</t>
        </is>
      </c>
    </row>
    <row r="36">
      <c r="A36" s="7" t="inlineStr">
        <is>
          <t>NW-0035</t>
        </is>
      </c>
      <c r="B36" s="8" t="inlineStr">
        <is>
          <t>2017</t>
        </is>
      </c>
      <c r="C36" s="7" t="inlineStr">
        <is>
          <t>2017-12-20</t>
        </is>
      </c>
      <c r="D36" s="9" t="inlineStr">
        <is>
          <t>Sri Lankan troops in Jaffna lectured on ‘archaeology’</t>
        </is>
      </c>
      <c r="E36" s="9" t="n"/>
      <c r="F36" s="9" t="inlineStr">
        <is>
          <t>Tamil Guardian</t>
        </is>
      </c>
      <c r="G36" s="7" t="inlineStr">
        <is>
          <t>News</t>
        </is>
      </c>
      <c r="H36" s="7" t="inlineStr">
        <is>
          <t>English</t>
        </is>
      </c>
      <c r="I36" s="9" t="inlineStr">
        <is>
          <t>Archaeology / தொல்லியல்</t>
        </is>
      </c>
      <c r="J36" s="9" t="inlineStr">
        <is>
          <t>archaeology</t>
        </is>
      </c>
      <c r="K36" s="7" t="inlineStr">
        <is>
          <t>Yes</t>
        </is>
      </c>
      <c r="L36" s="9" t="inlineStr">
        <is>
          <t>Google News query: archaeology Jaffna. Auto-collected 2026-10-14 (news); review.</t>
        </is>
      </c>
      <c r="M36" s="10" t="inlineStr">
        <is>
          <t>https://news.google.com/rss/articles/CBMiiwFBVV95cUxPcWJrT2RRWFB4dzZmS1RJY0FoOFZoQzY1ZWJsM0kzZGc4ZlNtZDZIVzBFYVdxdlZsbXNVeF9xOGJqLWh3d0xCNnIxRm5TV2d5RFN0QWJ1ZFJCazdrM1hlVmRXNHBub0pCdHd6Wk1LcTFnY3dydi1xd0J0dUxUNThpZVdnTjJGOUZHVXhF?oc=5</t>
        </is>
      </c>
    </row>
    <row r="37">
      <c r="A37" s="11" t="inlineStr">
        <is>
          <t>NW-0036</t>
        </is>
      </c>
      <c r="B37" s="12" t="inlineStr">
        <is>
          <t>2014</t>
        </is>
      </c>
      <c r="C37" s="11" t="inlineStr">
        <is>
          <t>2014-06-06</t>
        </is>
      </c>
      <c r="D37" s="13" t="inlineStr">
        <is>
          <t>06.06.14 SL Army conducts ‘archaeology’, The Hindu relays ‘history’</t>
        </is>
      </c>
      <c r="E37" s="13" t="n"/>
      <c r="F37" s="13" t="inlineStr">
        <is>
          <t>TamilNet</t>
        </is>
      </c>
      <c r="G37" s="11" t="inlineStr">
        <is>
          <t>News</t>
        </is>
      </c>
      <c r="H37" s="11" t="inlineStr">
        <is>
          <t>English</t>
        </is>
      </c>
      <c r="I37" s="13" t="inlineStr">
        <is>
          <t>Archaeology / தொல்லியல்</t>
        </is>
      </c>
      <c r="J37" s="13" t="inlineStr">
        <is>
          <t>archaeology</t>
        </is>
      </c>
      <c r="K37" s="11" t="inlineStr">
        <is>
          <t>Yes</t>
        </is>
      </c>
      <c r="L37" s="13" t="inlineStr">
        <is>
          <t>Google News query: archaeology Jaffna. Auto-collected 2026-10-14 (news); review.</t>
        </is>
      </c>
      <c r="M37" s="14" t="inlineStr">
        <is>
          <t>https://news.google.com/rss/articles/CBMiZEFVX3lxTE1LRUlucXZoVEVIaGlNTU1tN3BjNmpYdGQ3eVhfeTJVb1JMTGhWMndLQVhWTl9VOUZrSm92Z3NFak5OQ05rdGdLLTN2SFNaR0tkT21zVHV0NTdncGN2QmVyT1YyVnA?oc=5</t>
        </is>
      </c>
    </row>
    <row r="38">
      <c r="A38" s="7" t="inlineStr">
        <is>
          <t>NW-0037</t>
        </is>
      </c>
      <c r="B38" s="8" t="inlineStr">
        <is>
          <t>2014</t>
        </is>
      </c>
      <c r="C38" s="7" t="inlineStr">
        <is>
          <t>2014-09-21</t>
        </is>
      </c>
      <c r="D38" s="9" t="inlineStr">
        <is>
          <t>A visit marked in stone</t>
        </is>
      </c>
      <c r="E38" s="9" t="inlineStr">
        <is>
          <t>Vinusha Paulraj, Purnima Pilapitiya</t>
        </is>
      </c>
      <c r="F38" s="9" t="inlineStr">
        <is>
          <t>Sunday Times (Sri Lanka)</t>
        </is>
      </c>
      <c r="G38" s="7" t="inlineStr">
        <is>
          <t>Feature</t>
        </is>
      </c>
      <c r="H38" s="7" t="inlineStr">
        <is>
          <t>English</t>
        </is>
      </c>
      <c r="I38" s="9" t="inlineStr">
        <is>
          <t>Inscriptions / கல்வெட்டு</t>
        </is>
      </c>
      <c r="J38" s="9" t="inlineStr">
        <is>
          <t>Galle trilingual inscription; Tamil</t>
        </is>
      </c>
      <c r="K38" s="7" t="inlineStr">
        <is>
          <t>Yes</t>
        </is>
      </c>
      <c r="L38" s="9" t="n"/>
      <c r="M38" s="10" t="inlineStr">
        <is>
          <t>https://www.sundaytimes.lk/140921/plus/a-visit-marked-in-stone-118621.html</t>
        </is>
      </c>
    </row>
    <row r="39">
      <c r="A39" s="11" t="inlineStr">
        <is>
          <t>NW-0038</t>
        </is>
      </c>
      <c r="B39" s="12" t="inlineStr">
        <is>
          <t>2013</t>
        </is>
      </c>
      <c r="C39" s="11" t="inlineStr">
        <is>
          <t>2013-03-10</t>
        </is>
      </c>
      <c r="D39" s="13" t="inlineStr">
        <is>
          <t>(Rock painting feature)</t>
        </is>
      </c>
      <c r="E39" s="13" t="n"/>
      <c r="F39" s="13" t="inlineStr">
        <is>
          <t>Sunday Observer</t>
        </is>
      </c>
      <c r="G39" s="11" t="inlineStr">
        <is>
          <t>Feature</t>
        </is>
      </c>
      <c r="H39" s="11" t="inlineStr">
        <is>
          <t>English</t>
        </is>
      </c>
      <c r="I39" s="13" t="inlineStr">
        <is>
          <t>Rock art / பாறை ஓவியம்</t>
        </is>
      </c>
      <c r="J39" s="13" t="inlineStr">
        <is>
          <t>rock paintings</t>
        </is>
      </c>
      <c r="K39" s="11" t="inlineStr">
        <is>
          <t>Yes</t>
        </is>
      </c>
      <c r="L39" s="13" t="inlineStr">
        <is>
          <t>Title to verify</t>
        </is>
      </c>
      <c r="M39" s="14" t="inlineStr">
        <is>
          <t>https://archives.sundayobserver.lk/2013/03/10/mon13.asp</t>
        </is>
      </c>
    </row>
    <row r="40">
      <c r="A40" s="7" t="inlineStr">
        <is>
          <t>NW-0039</t>
        </is>
      </c>
      <c r="B40" s="8" t="inlineStr">
        <is>
          <t>2013</t>
        </is>
      </c>
      <c r="C40" s="7" t="inlineStr">
        <is>
          <t>2013-07-27</t>
        </is>
      </c>
      <c r="D40" s="9" t="inlineStr">
        <is>
          <t>Sinhala archaeology focuses operation in North-East corridor</t>
        </is>
      </c>
      <c r="E40" s="9" t="n"/>
      <c r="F40" s="9" t="inlineStr">
        <is>
          <t>TamilNet</t>
        </is>
      </c>
      <c r="G40" s="7" t="inlineStr">
        <is>
          <t>News</t>
        </is>
      </c>
      <c r="H40" s="7" t="inlineStr">
        <is>
          <t>English</t>
        </is>
      </c>
      <c r="I40" s="9" t="inlineStr">
        <is>
          <t>Archaeology / தொல்லியல்</t>
        </is>
      </c>
      <c r="J40" s="9" t="inlineStr">
        <is>
          <t>archaeology; North-East</t>
        </is>
      </c>
      <c r="K40" s="7" t="inlineStr">
        <is>
          <t>Yes</t>
        </is>
      </c>
      <c r="L40" s="9" t="n"/>
      <c r="M40" s="10" t="inlineStr">
        <is>
          <t>https://www.tamilnet.com/art.html?artid=36503&amp;catid=79</t>
        </is>
      </c>
    </row>
    <row r="41">
      <c r="A41" s="11" t="inlineStr">
        <is>
          <t>NW-0040</t>
        </is>
      </c>
      <c r="B41" s="12" t="inlineStr">
        <is>
          <t>2013</t>
        </is>
      </c>
      <c r="C41" s="11" t="inlineStr">
        <is>
          <t>2013-09-13</t>
        </is>
      </c>
      <c r="D41" s="13" t="inlineStr">
        <is>
          <t>13.09.13 Sri Lanka archaeology claims finding ‘Sinhala Prakrit’ in Delft</t>
        </is>
      </c>
      <c r="E41" s="13" t="n"/>
      <c r="F41" s="13" t="inlineStr">
        <is>
          <t>TamilNet</t>
        </is>
      </c>
      <c r="G41" s="11" t="inlineStr">
        <is>
          <t>News</t>
        </is>
      </c>
      <c r="H41" s="11" t="inlineStr">
        <is>
          <t>English</t>
        </is>
      </c>
      <c r="I41" s="13" t="inlineStr">
        <is>
          <t>Archaeology / தொல்லியல்</t>
        </is>
      </c>
      <c r="J41" s="13" t="inlineStr">
        <is>
          <t>archaeology</t>
        </is>
      </c>
      <c r="K41" s="11" t="inlineStr">
        <is>
          <t>Yes</t>
        </is>
      </c>
      <c r="L41" s="13" t="inlineStr">
        <is>
          <t>Google News query: Tamil inscription Sri Lanka. Auto-collected 2026-10-14 (news); review.</t>
        </is>
      </c>
      <c r="M41" s="14" t="inlineStr">
        <is>
          <t>https://news.google.com/rss/articles/CBMiZEFVX3lxTE9kekJTQWdVczhfMzVmbF9ETVpFUHFGbEw2Mk5LR2JoSXFEelNqZEE5TmJ2VkhubTZJcnJKeE1MLUNTeTdGZFkwbkJQU3dwLTBRSkluenBvbnJraDk3cHN3aER3SW8?oc=5</t>
        </is>
      </c>
    </row>
    <row r="42">
      <c r="A42" s="7" t="inlineStr">
        <is>
          <t>NW-0041</t>
        </is>
      </c>
      <c r="B42" s="8" t="inlineStr">
        <is>
          <t>2012</t>
        </is>
      </c>
      <c r="C42" s="7" t="inlineStr">
        <is>
          <t>2012-10-30</t>
        </is>
      </c>
      <c r="D42" s="9" t="inlineStr">
        <is>
          <t>Tamil went to Oman 20 centuries ago</t>
        </is>
      </c>
      <c r="E42" s="9" t="n"/>
      <c r="F42" s="9" t="inlineStr">
        <is>
          <t>TamilNet</t>
        </is>
      </c>
      <c r="G42" s="7" t="inlineStr">
        <is>
          <t>News</t>
        </is>
      </c>
      <c r="H42" s="7" t="inlineStr">
        <is>
          <t>English</t>
        </is>
      </c>
      <c r="I42" s="9" t="inlineStr">
        <is>
          <t>Brahmi / பிராமி</t>
        </is>
      </c>
      <c r="J42" s="9" t="inlineStr">
        <is>
          <t>Tamil Brahmi; overseas</t>
        </is>
      </c>
      <c r="K42" s="7" t="inlineStr">
        <is>
          <t>Yes</t>
        </is>
      </c>
      <c r="L42" s="9" t="n"/>
      <c r="M42" s="10" t="inlineStr">
        <is>
          <t>https://tamilnet.com/art.html?artid=35707&amp;catid=79</t>
        </is>
      </c>
    </row>
    <row r="43">
      <c r="A43" s="11" t="inlineStr">
        <is>
          <t>NW-0042</t>
        </is>
      </c>
      <c r="B43" s="12" t="inlineStr">
        <is>
          <t>2011</t>
        </is>
      </c>
      <c r="C43" s="11" t="n"/>
      <c r="D43" s="13" t="inlineStr">
        <is>
          <t>Would the heritage monuments which characterize our culture be considered during road development?</t>
        </is>
      </c>
      <c r="E43" s="13" t="inlineStr">
        <is>
          <t>S. Sajitharan</t>
        </is>
      </c>
      <c r="F43" s="13" t="inlineStr">
        <is>
          <t>Sunday Yarl Thinakkural</t>
        </is>
      </c>
      <c r="G43" s="11" t="inlineStr">
        <is>
          <t>Feature</t>
        </is>
      </c>
      <c r="H43" s="11" t="inlineStr">
        <is>
          <t>Tamil</t>
        </is>
      </c>
      <c r="I43" s="13" t="inlineStr">
        <is>
          <t>Archaeology / தொல்லியல்</t>
        </is>
      </c>
      <c r="J43" s="13" t="inlineStr">
        <is>
          <t>heritage; monuments</t>
        </is>
      </c>
      <c r="K43" s="11" t="inlineStr">
        <is>
          <t>Yes</t>
        </is>
      </c>
      <c r="L43" s="13" t="n"/>
      <c r="M43" s="14" t="inlineStr">
        <is>
          <t>https://www.his.jfn.ac.lk/?p=791</t>
        </is>
      </c>
    </row>
    <row r="44">
      <c r="A44" s="7" t="inlineStr">
        <is>
          <t>NW-0043</t>
        </is>
      </c>
      <c r="B44" s="8" t="inlineStr">
        <is>
          <t>2011</t>
        </is>
      </c>
      <c r="C44" s="7" t="inlineStr">
        <is>
          <t>2011-02-15</t>
        </is>
      </c>
      <c r="D44" s="9" t="inlineStr">
        <is>
          <t>அழிந்த சிவன் கோயிலின் எச்சங்கள்</t>
        </is>
      </c>
      <c r="E44" s="9" t="n"/>
      <c r="F44" s="9" t="inlineStr">
        <is>
          <t>Thinakaran</t>
        </is>
      </c>
      <c r="G44" s="7" t="inlineStr">
        <is>
          <t>Feature</t>
        </is>
      </c>
      <c r="H44" s="7" t="inlineStr">
        <is>
          <t>Tamil</t>
        </is>
      </c>
      <c r="I44" s="9" t="inlineStr">
        <is>
          <t>Archaeology / தொல்லியல்</t>
        </is>
      </c>
      <c r="J44" s="9" t="inlineStr">
        <is>
          <t>தொல்லியல்; temple ruins</t>
        </is>
      </c>
      <c r="K44" s="7" t="inlineStr">
        <is>
          <t>Yes</t>
        </is>
      </c>
      <c r="L44" s="9" t="n"/>
      <c r="M44" s="10" t="inlineStr">
        <is>
          <t>https://archives.thinakaran.lk/2011/02/15/?fn=i1102155&amp;p=1</t>
        </is>
      </c>
    </row>
    <row r="45">
      <c r="A45" s="11" t="inlineStr">
        <is>
          <t>NW-0044</t>
        </is>
      </c>
      <c r="B45" s="12" t="inlineStr">
        <is>
          <t>2010</t>
        </is>
      </c>
      <c r="C45" s="11" t="inlineStr">
        <is>
          <t>2010-06-27</t>
        </is>
      </c>
      <c r="D45" s="13" t="inlineStr">
        <is>
          <t>Tamil Brahmi inscription found in Tissamaharama</t>
        </is>
      </c>
      <c r="E45" s="13" t="n"/>
      <c r="F45" s="13" t="inlineStr">
        <is>
          <t>TamilNet</t>
        </is>
      </c>
      <c r="G45" s="11" t="inlineStr">
        <is>
          <t>News</t>
        </is>
      </c>
      <c r="H45" s="11" t="inlineStr">
        <is>
          <t>English</t>
        </is>
      </c>
      <c r="I45" s="13" t="inlineStr">
        <is>
          <t>Inscriptions / கல்வெட்டு; Brahmi / பிராமி</t>
        </is>
      </c>
      <c r="J45" s="13" t="inlineStr">
        <is>
          <t>Tamil Brahmi; Tissamaharama</t>
        </is>
      </c>
      <c r="K45" s="11" t="inlineStr">
        <is>
          <t>Yes</t>
        </is>
      </c>
      <c r="L45" s="13" t="n"/>
      <c r="M45" s="14" t="inlineStr">
        <is>
          <t>https://tamilnet.com/art.html?artid=32063&amp;catid=79</t>
        </is>
      </c>
    </row>
    <row r="46">
      <c r="A46" s="7" t="inlineStr">
        <is>
          <t>NW-0045</t>
        </is>
      </c>
      <c r="B46" s="8" t="inlineStr">
        <is>
          <t>2010</t>
        </is>
      </c>
      <c r="C46" s="7" t="inlineStr">
        <is>
          <t>2010-07-28</t>
        </is>
      </c>
      <c r="D46" s="9" t="inlineStr">
        <is>
          <t>Tissamaharama potsherd evidences ordinary early Tamils among population</t>
        </is>
      </c>
      <c r="E46" s="9" t="n"/>
      <c r="F46" s="9" t="inlineStr">
        <is>
          <t>TamilNet</t>
        </is>
      </c>
      <c r="G46" s="7" t="inlineStr">
        <is>
          <t>News</t>
        </is>
      </c>
      <c r="H46" s="7" t="inlineStr">
        <is>
          <t>English</t>
        </is>
      </c>
      <c r="I46" s="9" t="inlineStr">
        <is>
          <t>Brahmi / பிராமி</t>
        </is>
      </c>
      <c r="J46" s="9" t="inlineStr">
        <is>
          <t>Tamil Brahmi; potsherd</t>
        </is>
      </c>
      <c r="K46" s="7" t="inlineStr">
        <is>
          <t>Yes</t>
        </is>
      </c>
      <c r="L46" s="9" t="n"/>
      <c r="M46" s="10" t="inlineStr">
        <is>
          <t>https://www.tamilnet.com/art.html?artid=32303&amp;catid=79</t>
        </is>
      </c>
    </row>
    <row r="47">
      <c r="A47" s="11" t="inlineStr">
        <is>
          <t>NW-0046</t>
        </is>
      </c>
      <c r="B47" s="12" t="inlineStr">
        <is>
          <t>2010</t>
        </is>
      </c>
      <c r="C47" s="11" t="inlineStr">
        <is>
          <t>2010-09-08</t>
        </is>
      </c>
      <c r="D47" s="13" t="inlineStr">
        <is>
          <t>08.09.10 SL Army, Archaeology dept appropriate lands of uprooted Tamils in Maathakal</t>
        </is>
      </c>
      <c r="E47" s="13" t="n"/>
      <c r="F47" s="13" t="inlineStr">
        <is>
          <t>TamilNet</t>
        </is>
      </c>
      <c r="G47" s="11" t="inlineStr">
        <is>
          <t>News</t>
        </is>
      </c>
      <c r="H47" s="11" t="inlineStr">
        <is>
          <t>English</t>
        </is>
      </c>
      <c r="I47" s="13" t="inlineStr">
        <is>
          <t>Archaeology / தொல்லியல்</t>
        </is>
      </c>
      <c r="J47" s="13" t="inlineStr">
        <is>
          <t>archaeology</t>
        </is>
      </c>
      <c r="K47" s="11" t="inlineStr">
        <is>
          <t>Yes</t>
        </is>
      </c>
      <c r="L47" s="13" t="inlineStr">
        <is>
          <t>Google News query: archaeology Jaffna. Auto-collected 2026-10-14 (news); review.</t>
        </is>
      </c>
      <c r="M47" s="14" t="inlineStr">
        <is>
          <t>https://news.google.com/rss/articles/CBMiZEFVX3lxTFBENjVRODRyaWJQVnFWX19mQTFVTHlJcWZ3Si1fVFdPbHB0WDFZS19OVllKLTU2RGdqRHMyV3dBbVgzQjdSXzQtUW1hcGFMcXBIMTlVTHo2d0lFRVQzaVdDNzFlM0Y?oc=5</t>
        </is>
      </c>
    </row>
    <row r="48">
      <c r="A48" s="7" t="inlineStr">
        <is>
          <t>NW-0047</t>
        </is>
      </c>
      <c r="B48" s="8" t="inlineStr">
        <is>
          <t>2010</t>
        </is>
      </c>
      <c r="C48" s="7" t="inlineStr">
        <is>
          <t>2010-10-21</t>
        </is>
      </c>
      <c r="D48" s="9" t="inlineStr">
        <is>
          <t>Tissamaharama Tamil Brahmi inscription missing</t>
        </is>
      </c>
      <c r="E48" s="9" t="n"/>
      <c r="F48" s="9" t="inlineStr">
        <is>
          <t>TamilNet</t>
        </is>
      </c>
      <c r="G48" s="7" t="inlineStr">
        <is>
          <t>News</t>
        </is>
      </c>
      <c r="H48" s="7" t="inlineStr">
        <is>
          <t>English</t>
        </is>
      </c>
      <c r="I48" s="9" t="inlineStr">
        <is>
          <t>Inscriptions / கல்வெட்டு; Brahmi / பிராமி</t>
        </is>
      </c>
      <c r="J48" s="9" t="inlineStr">
        <is>
          <t>Tamil Brahmi; Tissamaharama</t>
        </is>
      </c>
      <c r="K48" s="7" t="inlineStr">
        <is>
          <t>Yes</t>
        </is>
      </c>
      <c r="L48" s="9" t="n"/>
      <c r="M48" s="10" t="inlineStr">
        <is>
          <t>https://tamilnet.com/art.html?artid=32843&amp;catid=79</t>
        </is>
      </c>
    </row>
    <row r="49">
      <c r="A49" s="11" t="inlineStr">
        <is>
          <t>NW-0048</t>
        </is>
      </c>
      <c r="B49" s="12" t="inlineStr">
        <is>
          <t>2010</t>
        </is>
      </c>
      <c r="C49" s="11" t="inlineStr">
        <is>
          <t>2010-10-23</t>
        </is>
      </c>
      <c r="D49" s="13" t="inlineStr">
        <is>
          <t>Millennium old Tamil inscription found in Trincomalee</t>
        </is>
      </c>
      <c r="E49" s="13" t="n"/>
      <c r="F49" s="13" t="inlineStr">
        <is>
          <t>TamilNet</t>
        </is>
      </c>
      <c r="G49" s="11" t="inlineStr">
        <is>
          <t>News</t>
        </is>
      </c>
      <c r="H49" s="11" t="inlineStr">
        <is>
          <t>English</t>
        </is>
      </c>
      <c r="I49" s="13" t="inlineStr">
        <is>
          <t>Inscriptions / கல்வெட்டு</t>
        </is>
      </c>
      <c r="J49" s="13" t="inlineStr">
        <is>
          <t>Tamil inscription; Trincomalee</t>
        </is>
      </c>
      <c r="K49" s="11" t="inlineStr">
        <is>
          <t>Yes</t>
        </is>
      </c>
      <c r="L49" s="13" t="n"/>
      <c r="M49" s="14" t="inlineStr">
        <is>
          <t>https://www.tamilnet.com/art.html?artid=32850&amp;catid=13</t>
        </is>
      </c>
    </row>
    <row r="50">
      <c r="A50" s="7" t="inlineStr">
        <is>
          <t>NW-0049</t>
        </is>
      </c>
      <c r="B50" s="8" t="inlineStr">
        <is>
          <t>2009</t>
        </is>
      </c>
      <c r="C50" s="7" t="inlineStr">
        <is>
          <t>2009-09-18</t>
        </is>
      </c>
      <c r="D50" s="9" t="inlineStr">
        <is>
          <t>Inscriptions of ancient and medieval Sri Lanka</t>
        </is>
      </c>
      <c r="E50" s="9" t="n"/>
      <c r="F50" s="9" t="inlineStr">
        <is>
          <t>Daily News (Sri Lanka)</t>
        </is>
      </c>
      <c r="G50" s="7" t="inlineStr">
        <is>
          <t>Feature</t>
        </is>
      </c>
      <c r="H50" s="7" t="inlineStr">
        <is>
          <t>English</t>
        </is>
      </c>
      <c r="I50" s="9" t="inlineStr">
        <is>
          <t>Inscriptions / கல்வெட்டு</t>
        </is>
      </c>
      <c r="J50" s="9" t="inlineStr">
        <is>
          <t>inscriptions</t>
        </is>
      </c>
      <c r="K50" s="7" t="inlineStr">
        <is>
          <t>Yes</t>
        </is>
      </c>
      <c r="L50" s="9" t="inlineStr">
        <is>
          <t>Author to verify</t>
        </is>
      </c>
      <c r="M50" s="10" t="inlineStr">
        <is>
          <t>https://archives.dailynews.lk/2009/09/18/fea30.asp</t>
        </is>
      </c>
    </row>
    <row r="51">
      <c r="A51" s="11" t="inlineStr">
        <is>
          <t>NW-0050</t>
        </is>
      </c>
      <c r="B51" s="12" t="inlineStr">
        <is>
          <t>2008</t>
        </is>
      </c>
      <c r="C51" s="11" t="inlineStr">
        <is>
          <t>2008-05-04</t>
        </is>
      </c>
      <c r="D51" s="13" t="inlineStr">
        <is>
          <t>A solid work in range and richness (review of Rock and Wall Paintings of Sri Lanka)</t>
        </is>
      </c>
      <c r="E51" s="13" t="inlineStr">
        <is>
          <t>Ashley Halpé</t>
        </is>
      </c>
      <c r="F51" s="13" t="inlineStr">
        <is>
          <t>Sunday Times (Sri Lanka)</t>
        </is>
      </c>
      <c r="G51" s="11" t="inlineStr">
        <is>
          <t>Book review</t>
        </is>
      </c>
      <c r="H51" s="11" t="inlineStr">
        <is>
          <t>English</t>
        </is>
      </c>
      <c r="I51" s="13" t="inlineStr">
        <is>
          <t>Rock art / பாறை ஓவியம்</t>
        </is>
      </c>
      <c r="J51" s="13" t="inlineStr">
        <is>
          <t>rock art; review</t>
        </is>
      </c>
      <c r="K51" s="11" t="inlineStr">
        <is>
          <t>Yes</t>
        </is>
      </c>
      <c r="L51" s="13" t="n"/>
      <c r="M51" s="14" t="inlineStr">
        <is>
          <t>https://www.sundaytimes.lk/080504/Plus/plus000025.html</t>
        </is>
      </c>
    </row>
    <row r="52">
      <c r="A52" s="7" t="inlineStr">
        <is>
          <t>NW-0051</t>
        </is>
      </c>
      <c r="B52" s="8" t="inlineStr">
        <is>
          <t>2000</t>
        </is>
      </c>
      <c r="C52" s="7" t="inlineStr">
        <is>
          <t>2000-04-23</t>
        </is>
      </c>
      <c r="D52" s="9" t="inlineStr">
        <is>
          <t>Coins of history</t>
        </is>
      </c>
      <c r="E52" s="9" t="inlineStr">
        <is>
          <t>D. C. Ranatunga</t>
        </is>
      </c>
      <c r="F52" s="9" t="inlineStr">
        <is>
          <t>Sunday Times (Sri Lanka)</t>
        </is>
      </c>
      <c r="G52" s="7" t="inlineStr">
        <is>
          <t>Book review</t>
        </is>
      </c>
      <c r="H52" s="7" t="inlineStr">
        <is>
          <t>English</t>
        </is>
      </c>
      <c r="I52" s="9" t="inlineStr">
        <is>
          <t>Coins / நாணயம்</t>
        </is>
      </c>
      <c r="J52" s="9" t="inlineStr">
        <is>
          <t>coins; Tissamaharama</t>
        </is>
      </c>
      <c r="K52" s="7" t="inlineStr">
        <is>
          <t>Yes</t>
        </is>
      </c>
      <c r="L52" s="9" t="n"/>
      <c r="M52" s="10" t="inlineStr">
        <is>
          <t>https://www.sundaytimes.lk/000423/plus3.html</t>
        </is>
      </c>
    </row>
    <row r="53">
      <c r="A53" s="11" t="inlineStr">
        <is>
          <t>NW-0052</t>
        </is>
      </c>
      <c r="B53" s="12" t="n"/>
      <c r="C53" s="11" t="n"/>
      <c r="D53" s="13" t="inlineStr">
        <is>
          <t>2,000-year-old Tamil-Brahmi inscriptions discovered in Egypt's Valley of the Kings</t>
        </is>
      </c>
      <c r="E53" s="13" t="n"/>
      <c r="F53" s="13" t="inlineStr">
        <is>
          <t>Tamil Guardian</t>
        </is>
      </c>
      <c r="G53" s="11" t="inlineStr">
        <is>
          <t>News</t>
        </is>
      </c>
      <c r="H53" s="11" t="inlineStr">
        <is>
          <t>English</t>
        </is>
      </c>
      <c r="I53" s="13" t="inlineStr">
        <is>
          <t>Inscriptions / கல்வெட்டு; Brahmi / பிராமி</t>
        </is>
      </c>
      <c r="J53" s="13" t="inlineStr">
        <is>
          <t>Tamil Brahmi; overseas</t>
        </is>
      </c>
      <c r="K53" s="11" t="inlineStr">
        <is>
          <t>Unknown</t>
        </is>
      </c>
      <c r="L53" s="13" t="inlineStr">
        <is>
          <t>Context item (not Sri Lanka)</t>
        </is>
      </c>
      <c r="M53" s="14" t="inlineStr">
        <is>
          <t>https://www.tamilguardian.com/content/2000-year-old-tamil-brahmi-inscriptions-discovered-egypts-valley-kings</t>
        </is>
      </c>
    </row>
    <row r="54">
      <c r="A54" s="7" t="inlineStr">
        <is>
          <t>NW-0053</t>
        </is>
      </c>
      <c r="B54" s="8" t="n"/>
      <c r="C54" s="7" t="n"/>
      <c r="D54" s="9" t="inlineStr">
        <is>
          <t>3,400 year old human remains discovered in Velanai, Jaffna</t>
        </is>
      </c>
      <c r="E54" s="9" t="n"/>
      <c r="F54" s="9" t="inlineStr">
        <is>
          <t>Tamil Guardian</t>
        </is>
      </c>
      <c r="G54" s="7" t="inlineStr">
        <is>
          <t>News</t>
        </is>
      </c>
      <c r="H54" s="7" t="inlineStr">
        <is>
          <t>English</t>
        </is>
      </c>
      <c r="I54" s="9" t="inlineStr">
        <is>
          <t>Archaeology / தொல்லியல்</t>
        </is>
      </c>
      <c r="J54" s="9" t="inlineStr">
        <is>
          <t>archaeology; Velanai; megalithic</t>
        </is>
      </c>
      <c r="K54" s="7" t="inlineStr">
        <is>
          <t>Unknown</t>
        </is>
      </c>
      <c r="L54" s="9" t="n"/>
      <c r="M54" s="10" t="inlineStr">
        <is>
          <t>https://www.tamilguardian.com/content/3400-year-old-human-remains-discovered-velanai-jaffna</t>
        </is>
      </c>
    </row>
    <row r="55">
      <c r="A55" s="11" t="inlineStr">
        <is>
          <t>NW-0054</t>
        </is>
      </c>
      <c r="B55" s="12" t="n"/>
      <c r="C55" s="11" t="n"/>
      <c r="D55" s="13" t="inlineStr">
        <is>
          <t>3300-year-old archaeological site discovered in Sri Lanka</t>
        </is>
      </c>
      <c r="E55" s="13" t="n"/>
      <c r="F55" s="13" t="inlineStr">
        <is>
          <t>History News Network</t>
        </is>
      </c>
      <c r="G55" s="11" t="inlineStr">
        <is>
          <t>News</t>
        </is>
      </c>
      <c r="H55" s="11" t="inlineStr">
        <is>
          <t>English</t>
        </is>
      </c>
      <c r="I55" s="13" t="inlineStr">
        <is>
          <t>Archaeology / தொல்லியல்</t>
        </is>
      </c>
      <c r="J55" s="13" t="inlineStr">
        <is>
          <t>archaeology; megalithic</t>
        </is>
      </c>
      <c r="K55" s="11" t="inlineStr">
        <is>
          <t>Unknown</t>
        </is>
      </c>
      <c r="L55" s="13" t="inlineStr">
        <is>
          <t>Year to verify</t>
        </is>
      </c>
      <c r="M55" s="14" t="inlineStr">
        <is>
          <t>https://www.historynewsnetwork.org/article/117404</t>
        </is>
      </c>
    </row>
    <row r="56">
      <c r="A56" s="7" t="inlineStr">
        <is>
          <t>NW-0055</t>
        </is>
      </c>
      <c r="B56" s="8" t="n"/>
      <c r="C56" s="7" t="n"/>
      <c r="D56" s="9" t="inlineStr">
        <is>
          <t>Ancient Pandyan coins bring intrigue and dispute in Sri Lanka</t>
        </is>
      </c>
      <c r="E56" s="9" t="n"/>
      <c r="F56" s="9" t="inlineStr">
        <is>
          <t>Tamil Guardian</t>
        </is>
      </c>
      <c r="G56" s="7" t="inlineStr">
        <is>
          <t>News</t>
        </is>
      </c>
      <c r="H56" s="7" t="inlineStr">
        <is>
          <t>English</t>
        </is>
      </c>
      <c r="I56" s="9" t="inlineStr">
        <is>
          <t>Coins / நாணயம்</t>
        </is>
      </c>
      <c r="J56" s="9" t="inlineStr">
        <is>
          <t>coins; Pandya</t>
        </is>
      </c>
      <c r="K56" s="7" t="inlineStr">
        <is>
          <t>Unknown</t>
        </is>
      </c>
      <c r="L56" s="9" t="n"/>
      <c r="M56" s="10" t="inlineStr">
        <is>
          <t>https://www.tamilguardian.com/content/ancient-pandyan-coins-bring-intrigue-and-dispute-sri-lanka</t>
        </is>
      </c>
    </row>
    <row r="57">
      <c r="A57" s="11" t="inlineStr">
        <is>
          <t>NW-0056</t>
        </is>
      </c>
      <c r="B57" s="12" t="n"/>
      <c r="C57" s="11" t="n"/>
      <c r="D57" s="13" t="inlineStr">
        <is>
          <t>Book Review: The Historian As Bridge</t>
        </is>
      </c>
      <c r="E57" s="13" t="n"/>
      <c r="F57" s="13" t="inlineStr">
        <is>
          <t>Colombo Telegraph</t>
        </is>
      </c>
      <c r="G57" s="11" t="inlineStr">
        <is>
          <t>Review</t>
        </is>
      </c>
      <c r="H57" s="11" t="inlineStr">
        <is>
          <t>English</t>
        </is>
      </c>
      <c r="I57" s="13" t="n"/>
      <c r="J57" s="13" t="inlineStr">
        <is>
          <t>book review</t>
        </is>
      </c>
      <c r="K57" s="11" t="inlineStr">
        <is>
          <t>Unknown</t>
        </is>
      </c>
      <c r="L57" s="13" t="n"/>
      <c r="M57" s="14" t="inlineStr">
        <is>
          <t>https://www.colombotelegraph.com/index.php/book-review-the-historian-as-bridge/</t>
        </is>
      </c>
    </row>
    <row r="58">
      <c r="A58" s="7" t="inlineStr">
        <is>
          <t>NW-0057</t>
        </is>
      </c>
      <c r="B58" s="8" t="n"/>
      <c r="C58" s="7" t="n"/>
      <c r="D58" s="9" t="inlineStr">
        <is>
          <t>C V Wigneswaran on Pathmanathan's book</t>
        </is>
      </c>
      <c r="E58" s="9" t="n"/>
      <c r="F58" s="9" t="inlineStr">
        <is>
          <t>Sunday Observer</t>
        </is>
      </c>
      <c r="G58" s="7" t="inlineStr">
        <is>
          <t>Feature</t>
        </is>
      </c>
      <c r="H58" s="7" t="inlineStr">
        <is>
          <t>English</t>
        </is>
      </c>
      <c r="I58" s="9" t="n"/>
      <c r="J58" s="9" t="inlineStr">
        <is>
          <t>book review; Pathmanathan</t>
        </is>
      </c>
      <c r="K58" s="7" t="inlineStr">
        <is>
          <t>Unknown</t>
        </is>
      </c>
      <c r="L58" s="9" t="n"/>
      <c r="M58" s="10" t="inlineStr">
        <is>
          <t>https://archives1.sundayobserver.lk/node/26758</t>
        </is>
      </c>
    </row>
    <row r="59">
      <c r="A59" s="11" t="inlineStr">
        <is>
          <t>NW-0058</t>
        </is>
      </c>
      <c r="B59" s="12" t="n"/>
      <c r="C59" s="11" t="n"/>
      <c r="D59" s="13" t="inlineStr">
        <is>
          <t>Little known facets of Sri Lankan history: a Chola princess and the old name for Jaffna</t>
        </is>
      </c>
      <c r="E59" s="13" t="n"/>
      <c r="F59" s="13" t="inlineStr">
        <is>
          <t>The Island</t>
        </is>
      </c>
      <c r="G59" s="11" t="inlineStr">
        <is>
          <t>Feature</t>
        </is>
      </c>
      <c r="H59" s="11" t="inlineStr">
        <is>
          <t>English</t>
        </is>
      </c>
      <c r="I59" s="13" t="n"/>
      <c r="J59" s="13" t="inlineStr">
        <is>
          <t>Chola; Jaffna</t>
        </is>
      </c>
      <c r="K59" s="11" t="inlineStr">
        <is>
          <t>Unknown</t>
        </is>
      </c>
      <c r="L59" s="13" t="n"/>
      <c r="M59" s="14" t="inlineStr">
        <is>
          <t>https://island.lk/little-known-facets-of-sri-lankan-historya-chola-princess-and-the-old-name-for-jaffna/</t>
        </is>
      </c>
    </row>
    <row r="60">
      <c r="A60" s="7" t="inlineStr">
        <is>
          <t>NW-0059</t>
        </is>
      </c>
      <c r="B60" s="8" t="n"/>
      <c r="C60" s="7" t="n"/>
      <c r="D60" s="9" t="inlineStr">
        <is>
          <t>Mandarin and Tamil: a historical perspective</t>
        </is>
      </c>
      <c r="E60" s="9" t="n"/>
      <c r="F60" s="9" t="inlineStr">
        <is>
          <t>The Island</t>
        </is>
      </c>
      <c r="G60" s="7" t="inlineStr">
        <is>
          <t>Feature</t>
        </is>
      </c>
      <c r="H60" s="7" t="inlineStr">
        <is>
          <t>English</t>
        </is>
      </c>
      <c r="I60" s="9" t="inlineStr">
        <is>
          <t>Inscriptions / கல்வெட்டு</t>
        </is>
      </c>
      <c r="J60" s="9" t="inlineStr">
        <is>
          <t>Galle trilingual inscription; Tamil</t>
        </is>
      </c>
      <c r="K60" s="7" t="inlineStr">
        <is>
          <t>Unknown</t>
        </is>
      </c>
      <c r="L60" s="9" t="inlineStr">
        <is>
          <t>Year to verify</t>
        </is>
      </c>
      <c r="M60" s="10" t="inlineStr">
        <is>
          <t>https://island.lk/mandarin-and-tamil-a-historical-perspective/</t>
        </is>
      </c>
    </row>
    <row r="61">
      <c r="A61" s="11" t="inlineStr">
        <is>
          <t>NW-0060</t>
        </is>
      </c>
      <c r="B61" s="12" t="n"/>
      <c r="C61" s="11" t="n"/>
      <c r="D61" s="13" t="inlineStr">
        <is>
          <t>Neelagiri Hela Bithusithuwam</t>
        </is>
      </c>
      <c r="E61" s="13" t="n"/>
      <c r="F61" s="13" t="inlineStr">
        <is>
          <t>Sunday Observer</t>
        </is>
      </c>
      <c r="G61" s="11" t="inlineStr">
        <is>
          <t>Feature</t>
        </is>
      </c>
      <c r="H61" s="11" t="inlineStr">
        <is>
          <t>English</t>
        </is>
      </c>
      <c r="I61" s="13" t="inlineStr">
        <is>
          <t>Rock art / பாறை ஓவியம்</t>
        </is>
      </c>
      <c r="J61" s="13" t="inlineStr">
        <is>
          <t>paintings; Neelagiri</t>
        </is>
      </c>
      <c r="K61" s="11" t="inlineStr">
        <is>
          <t>Unknown</t>
        </is>
      </c>
      <c r="L61" s="13" t="n"/>
      <c r="M61" s="14" t="inlineStr">
        <is>
          <t>https://archives1.sundayobserver.lk/node/59637</t>
        </is>
      </c>
    </row>
    <row r="62">
      <c r="A62" s="7" t="inlineStr">
        <is>
          <t>NW-0061</t>
        </is>
      </c>
      <c r="B62" s="8" t="n"/>
      <c r="C62" s="7" t="n"/>
      <c r="D62" s="9" t="inlineStr">
        <is>
          <t>Reptiles in rock and time: unveiling Sri Lanka's ancient herpetological art</t>
        </is>
      </c>
      <c r="E62" s="9" t="n"/>
      <c r="F62" s="9" t="inlineStr">
        <is>
          <t>The Island</t>
        </is>
      </c>
      <c r="G62" s="7" t="inlineStr">
        <is>
          <t>News</t>
        </is>
      </c>
      <c r="H62" s="7" t="inlineStr">
        <is>
          <t>English</t>
        </is>
      </c>
      <c r="I62" s="9" t="inlineStr">
        <is>
          <t>Rock art / பாறை ஓவியம்</t>
        </is>
      </c>
      <c r="J62" s="9" t="inlineStr">
        <is>
          <t>rock art; பாறை ஓவியம்</t>
        </is>
      </c>
      <c r="K62" s="7" t="inlineStr">
        <is>
          <t>Unknown</t>
        </is>
      </c>
      <c r="L62" s="9" t="n"/>
      <c r="M62" s="10" t="inlineStr">
        <is>
          <t>https://island.lk/reptiles-in-rock-and-time-unveiling-sri-lankas-ancient-herpetological-art/</t>
        </is>
      </c>
    </row>
    <row r="63">
      <c r="A63" s="11" t="inlineStr">
        <is>
          <t>NW-0062</t>
        </is>
      </c>
      <c r="B63" s="12" t="n"/>
      <c r="C63" s="11" t="n"/>
      <c r="D63" s="13" t="inlineStr">
        <is>
          <t>Scripts in ancient Sri Lanka</t>
        </is>
      </c>
      <c r="E63" s="13" t="n"/>
      <c r="F63" s="13" t="inlineStr">
        <is>
          <t>Sunday Observer</t>
        </is>
      </c>
      <c r="G63" s="11" t="inlineStr">
        <is>
          <t>Feature</t>
        </is>
      </c>
      <c r="H63" s="11" t="inlineStr">
        <is>
          <t>English</t>
        </is>
      </c>
      <c r="I63" s="13" t="inlineStr">
        <is>
          <t>Brahmi / பிராமி</t>
        </is>
      </c>
      <c r="J63" s="13" t="inlineStr">
        <is>
          <t>Brahmi; Tamil Brahmi</t>
        </is>
      </c>
      <c r="K63" s="11" t="inlineStr">
        <is>
          <t>Unknown</t>
        </is>
      </c>
      <c r="L63" s="13" t="n"/>
      <c r="M63" s="14" t="inlineStr">
        <is>
          <t>https://archives1.sundayobserver.lk/node/44600</t>
        </is>
      </c>
    </row>
    <row r="64">
      <c r="A64" s="7" t="inlineStr">
        <is>
          <t>NW-0063</t>
        </is>
      </c>
      <c r="B64" s="8" t="n"/>
      <c r="C64" s="7" t="n"/>
      <c r="D64" s="9" t="inlineStr">
        <is>
          <t>Sri Lanka threatens legal action over Hindu worship at Kurunthur Malai</t>
        </is>
      </c>
      <c r="E64" s="9" t="n"/>
      <c r="F64" s="9" t="inlineStr">
        <is>
          <t>Tamil Guardian</t>
        </is>
      </c>
      <c r="G64" s="7" t="inlineStr">
        <is>
          <t>News</t>
        </is>
      </c>
      <c r="H64" s="7" t="inlineStr">
        <is>
          <t>English</t>
        </is>
      </c>
      <c r="I64" s="9" t="inlineStr">
        <is>
          <t>Archaeology / தொல்லியல்</t>
        </is>
      </c>
      <c r="J64" s="9" t="inlineStr">
        <is>
          <t>Kurunthurmalai; archaeology department</t>
        </is>
      </c>
      <c r="K64" s="7" t="inlineStr">
        <is>
          <t>Unknown</t>
        </is>
      </c>
      <c r="L64" s="9" t="n"/>
      <c r="M64" s="10" t="inlineStr">
        <is>
          <t>https://www.tamilguardian.com/index.php/node/955066</t>
        </is>
      </c>
    </row>
    <row r="65">
      <c r="A65" s="11" t="inlineStr">
        <is>
          <t>NW-0064</t>
        </is>
      </c>
      <c r="B65" s="12" t="n"/>
      <c r="C65" s="11" t="n"/>
      <c r="D65" s="13" t="inlineStr">
        <is>
          <t>Sri Lanka's Role In South Asia's Earliest Writing Controversy</t>
        </is>
      </c>
      <c r="E65" s="13" t="n"/>
      <c r="F65" s="13" t="inlineStr">
        <is>
          <t>Colombo Telegraph</t>
        </is>
      </c>
      <c r="G65" s="11" t="inlineStr">
        <is>
          <t>Opinion</t>
        </is>
      </c>
      <c r="H65" s="11" t="inlineStr">
        <is>
          <t>English</t>
        </is>
      </c>
      <c r="I65" s="13" t="inlineStr">
        <is>
          <t>Brahmi / பிராமி</t>
        </is>
      </c>
      <c r="J65" s="13" t="inlineStr">
        <is>
          <t>Brahmi; early writing</t>
        </is>
      </c>
      <c r="K65" s="11" t="inlineStr">
        <is>
          <t>Unknown</t>
        </is>
      </c>
      <c r="L65" s="13" t="n"/>
      <c r="M65" s="14" t="inlineStr">
        <is>
          <t>https://www.colombotelegraph.com/index.php/sri-lankas-role-in-south-asias-earliest-writing-controversy/</t>
        </is>
      </c>
    </row>
    <row r="66">
      <c r="A66" s="7" t="inlineStr">
        <is>
          <t>NW-0065</t>
        </is>
      </c>
      <c r="B66" s="8" t="n"/>
      <c r="C66" s="7" t="n"/>
      <c r="D66" s="9" t="inlineStr">
        <is>
          <t>Tamil civilisation - is it the oldest?</t>
        </is>
      </c>
      <c r="E66" s="9" t="n"/>
      <c r="F66" s="9" t="inlineStr">
        <is>
          <t>Tamil Guardian</t>
        </is>
      </c>
      <c r="G66" s="7" t="inlineStr">
        <is>
          <t>Feature</t>
        </is>
      </c>
      <c r="H66" s="7" t="inlineStr">
        <is>
          <t>English</t>
        </is>
      </c>
      <c r="I66" s="9" t="inlineStr">
        <is>
          <t>Archaeology / தொல்லியல்</t>
        </is>
      </c>
      <c r="J66" s="9" t="inlineStr">
        <is>
          <t>archaeology debate</t>
        </is>
      </c>
      <c r="K66" s="7" t="inlineStr">
        <is>
          <t>Unknown</t>
        </is>
      </c>
      <c r="L66" s="9" t="n"/>
      <c r="M66" s="10" t="inlineStr">
        <is>
          <t>https://www.tamilguardian.com/content/tamil-civilisation-it-oldest</t>
        </is>
      </c>
    </row>
    <row r="67">
      <c r="A67" s="11" t="inlineStr">
        <is>
          <t>NW-0066</t>
        </is>
      </c>
      <c r="B67" s="12" t="n"/>
      <c r="C67" s="11" t="n"/>
      <c r="D67" s="13" t="inlineStr">
        <is>
          <t>The Tamils Are The Original Inhabitants Of Sri Lanka</t>
        </is>
      </c>
      <c r="E67" s="13" t="n"/>
      <c r="F67" s="13" t="inlineStr">
        <is>
          <t>Colombo Telegraph</t>
        </is>
      </c>
      <c r="G67" s="11" t="inlineStr">
        <is>
          <t>Opinion</t>
        </is>
      </c>
      <c r="H67" s="11" t="inlineStr">
        <is>
          <t>English</t>
        </is>
      </c>
      <c r="I67" s="13" t="inlineStr">
        <is>
          <t>Archaeology / தொல்லியல்</t>
        </is>
      </c>
      <c r="J67" s="13" t="inlineStr">
        <is>
          <t>archaeology; history debate</t>
        </is>
      </c>
      <c r="K67" s="11" t="inlineStr">
        <is>
          <t>Unknown</t>
        </is>
      </c>
      <c r="L67" s="13" t="n"/>
      <c r="M67" s="14" t="inlineStr">
        <is>
          <t>https://www.colombotelegraph.com/index.php/the-tamils-are-the-original-inhabitants-of-sri-lanka/</t>
        </is>
      </c>
    </row>
    <row r="68">
      <c r="A68" s="7" t="inlineStr">
        <is>
          <t>NW-0067</t>
        </is>
      </c>
      <c r="B68" s="8" t="n"/>
      <c r="C68" s="7" t="n"/>
      <c r="D68" s="9" t="inlineStr">
        <is>
          <t>Trilingual inscription in Tamil, Chinese, and Persian recognised by UNESCO</t>
        </is>
      </c>
      <c r="E68" s="9" t="n"/>
      <c r="F68" s="9" t="inlineStr">
        <is>
          <t>Tamil Guardian</t>
        </is>
      </c>
      <c r="G68" s="7" t="inlineStr">
        <is>
          <t>News</t>
        </is>
      </c>
      <c r="H68" s="7" t="inlineStr">
        <is>
          <t>English</t>
        </is>
      </c>
      <c r="I68" s="9" t="inlineStr">
        <is>
          <t>Inscriptions / கல்வெட்டு</t>
        </is>
      </c>
      <c r="J68" s="9" t="inlineStr">
        <is>
          <t>Galle trilingual inscription</t>
        </is>
      </c>
      <c r="K68" s="7" t="inlineStr">
        <is>
          <t>Unknown</t>
        </is>
      </c>
      <c r="L68" s="9" t="n"/>
      <c r="M68" s="10" t="inlineStr">
        <is>
          <t>https://www.tamilguardian.com/index.php/content/trilingual-inscription-tamil-chinese-and-persian-recognised-unesco</t>
        </is>
      </c>
    </row>
    <row r="69">
      <c r="A69" s="11" t="inlineStr">
        <is>
          <t>NW-0068</t>
        </is>
      </c>
      <c r="B69" s="12" t="n"/>
      <c r="C69" s="11" t="n"/>
      <c r="D69" s="13" t="inlineStr">
        <is>
          <t>UNESCO and 'Trilingual inscription'</t>
        </is>
      </c>
      <c r="E69" s="13" t="n"/>
      <c r="F69" s="13" t="inlineStr">
        <is>
          <t>The Island</t>
        </is>
      </c>
      <c r="G69" s="11" t="inlineStr">
        <is>
          <t>Opinion</t>
        </is>
      </c>
      <c r="H69" s="11" t="inlineStr">
        <is>
          <t>English</t>
        </is>
      </c>
      <c r="I69" s="13" t="inlineStr">
        <is>
          <t>Inscriptions / கல்வெட்டு</t>
        </is>
      </c>
      <c r="J69" s="13" t="inlineStr">
        <is>
          <t>Galle trilingual inscription</t>
        </is>
      </c>
      <c r="K69" s="11" t="inlineStr">
        <is>
          <t>Unknown</t>
        </is>
      </c>
      <c r="L69" s="13" t="inlineStr">
        <is>
          <t>2025 (to verify)</t>
        </is>
      </c>
      <c r="M69" s="14" t="inlineStr">
        <is>
          <t>https://island.lk/unesco-and-trilingual-inscription/</t>
        </is>
      </c>
    </row>
    <row r="70">
      <c r="A70" s="7" t="inlineStr">
        <is>
          <t>NW-0069</t>
        </is>
      </c>
      <c r="B70" s="8" t="n"/>
      <c r="C70" s="7" t="n"/>
      <c r="D70" s="9" t="inlineStr">
        <is>
          <t>இலங்கையில் 2300 ஆண்டுகளுக்கு முன்பு தமிழர்கள் வாழ்ந்தார்கள் என்பதை நிரூபிக்கும் ஐந்து பிராமிக் கல்வெட்டுக்கள்</t>
        </is>
      </c>
      <c r="E70" s="9" t="n"/>
      <c r="F70" s="9" t="inlineStr">
        <is>
          <t>Thinakkural</t>
        </is>
      </c>
      <c r="G70" s="7" t="inlineStr">
        <is>
          <t>Feature</t>
        </is>
      </c>
      <c r="H70" s="7" t="inlineStr">
        <is>
          <t>Tamil</t>
        </is>
      </c>
      <c r="I70" s="9" t="inlineStr">
        <is>
          <t>Inscriptions / கல்வெட்டு; Brahmi / பிராமி</t>
        </is>
      </c>
      <c r="J70" s="9" t="inlineStr">
        <is>
          <t>பிராமி; கல்வெட்டு</t>
        </is>
      </c>
      <c r="K70" s="7" t="inlineStr">
        <is>
          <t>Unknown</t>
        </is>
      </c>
      <c r="L70" s="9" t="n"/>
      <c r="M70" s="10" t="inlineStr">
        <is>
          <t>https://thinakkural.lk/article/45056</t>
        </is>
      </c>
    </row>
    <row r="71">
      <c r="A71" s="11" t="inlineStr">
        <is>
          <t>NW-0070</t>
        </is>
      </c>
      <c r="B71" s="12" t="n"/>
      <c r="C71" s="11" t="n"/>
      <c r="D71" s="13" t="inlineStr">
        <is>
          <t>கலிங்கமாகன் பற்றிய முக்கிய கல்வெட்டு: அண்மையில் கண்டறியப்பட்ட தமிழர் வரலாறு</t>
        </is>
      </c>
      <c r="E71" s="13" t="n"/>
      <c r="F71" s="13" t="inlineStr">
        <is>
          <t>Tamil Mirror</t>
        </is>
      </c>
      <c r="G71" s="11" t="inlineStr">
        <is>
          <t>Feature</t>
        </is>
      </c>
      <c r="H71" s="11" t="inlineStr">
        <is>
          <t>Tamil</t>
        </is>
      </c>
      <c r="I71" s="13" t="inlineStr">
        <is>
          <t>Inscriptions / கல்வெட்டு</t>
        </is>
      </c>
      <c r="J71" s="13" t="inlineStr">
        <is>
          <t>கல்வெட்டு; Kalinga Magha</t>
        </is>
      </c>
      <c r="K71" s="11" t="inlineStr">
        <is>
          <t>Unknown</t>
        </is>
      </c>
      <c r="L71" s="13" t="n"/>
      <c r="M71" s="14" t="inlineStr">
        <is>
          <t>https://www.tamilmirror.lk/91-286936</t>
        </is>
      </c>
    </row>
    <row r="72">
      <c r="A72" s="7" t="inlineStr">
        <is>
          <t>NW-0071</t>
        </is>
      </c>
      <c r="B72" s="8" t="n"/>
      <c r="C72" s="7" t="n"/>
      <c r="D72" s="9" t="inlineStr">
        <is>
          <t>யாழ்ப்பாண அரசுகால வரலாறு கூறும் சங்கிலியன் தோரண வாசல்</t>
        </is>
      </c>
      <c r="E72" s="9" t="inlineStr">
        <is>
          <t>P. Pushparatnam</t>
        </is>
      </c>
      <c r="F72" s="9" t="inlineStr">
        <is>
          <t>Virakesari</t>
        </is>
      </c>
      <c r="G72" s="7" t="inlineStr">
        <is>
          <t>Feature</t>
        </is>
      </c>
      <c r="H72" s="7" t="inlineStr">
        <is>
          <t>Tamil</t>
        </is>
      </c>
      <c r="I72" s="9" t="inlineStr">
        <is>
          <t>Archaeology / தொல்லியல்</t>
        </is>
      </c>
      <c r="J72" s="9" t="inlineStr">
        <is>
          <t>Jaffna kingdom; Sangiliyan; தொல்லியல்</t>
        </is>
      </c>
      <c r="K72" s="7" t="inlineStr">
        <is>
          <t>Unknown</t>
        </is>
      </c>
      <c r="L72" s="9" t="n"/>
      <c r="M72" s="10" t="inlineStr">
        <is>
          <t>https://www.virakesari.lk/article/160191</t>
        </is>
      </c>
    </row>
  </sheetData>
  <autoFilter ref="A1:M7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1" customWidth="1" min="3" max="3"/>
    <col width="60" customWidth="1" min="4" max="4"/>
    <col width="28" customWidth="1" min="5" max="5"/>
    <col width="34" customWidth="1" min="6" max="6"/>
    <col width="18" customWidth="1" min="7" max="7"/>
    <col width="10" customWidth="1" min="8" max="8"/>
    <col width="30" customWidth="1" min="9" max="9"/>
    <col width="30" customWidth="1" min="10" max="10"/>
    <col width="14" customWidth="1" min="11" max="11"/>
    <col width="30" customWidth="1" min="12" max="12"/>
    <col width="45" customWidth="1" min="13" max="13"/>
  </cols>
  <sheetData>
    <row r="1" ht="30" customHeight="1">
      <c r="A1" s="6" t="inlineStr">
        <is>
          <t>ID</t>
        </is>
      </c>
      <c r="B1" s="6" t="inlineStr">
        <is>
          <t>Year</t>
        </is>
      </c>
      <c r="C1" s="6" t="inlineStr">
        <is>
          <t>Date</t>
        </is>
      </c>
      <c r="D1" s="6" t="inlineStr">
        <is>
          <t>Title</t>
        </is>
      </c>
      <c r="E1" s="6" t="inlineStr">
        <is>
          <t>Author / Editor</t>
        </is>
      </c>
      <c r="F1" s="6" t="inlineStr">
        <is>
          <t>Publisher / Source</t>
        </is>
      </c>
      <c r="G1" s="6" t="inlineStr">
        <is>
          <t>Type</t>
        </is>
      </c>
      <c r="H1" s="6" t="inlineStr">
        <is>
          <t>Language</t>
        </is>
      </c>
      <c r="I1" s="6" t="inlineStr">
        <is>
          <t>Themes</t>
        </is>
      </c>
      <c r="J1" s="6" t="inlineStr">
        <is>
          <t>Keywords</t>
        </is>
      </c>
      <c r="K1" s="6" t="inlineStr">
        <is>
          <t>Within 1996-2026</t>
        </is>
      </c>
      <c r="L1" s="6" t="inlineStr">
        <is>
          <t>Notes</t>
        </is>
      </c>
      <c r="M1" s="6" t="inlineStr">
        <is>
          <t>URL</t>
        </is>
      </c>
    </row>
    <row r="2">
      <c r="A2" s="7" t="inlineStr">
        <is>
          <t>MG-0001</t>
        </is>
      </c>
      <c r="B2" s="8" t="inlineStr">
        <is>
          <t>2026</t>
        </is>
      </c>
      <c r="C2" s="7" t="inlineStr">
        <is>
          <t>2026-01-09</t>
        </is>
      </c>
      <c r="D2" s="9" t="inlineStr">
        <is>
          <t>மாந்தை: பண்டைய இலங்கையின் நெடுங்கடல் வர்த்தகத் துறைநகர்</t>
        </is>
      </c>
      <c r="E2" s="9" t="inlineStr">
        <is>
          <t>Siva Thiagarajah</t>
        </is>
      </c>
      <c r="F2" s="9" t="inlineStr">
        <is>
          <t>Ezhuna (எழுநா)</t>
        </is>
      </c>
      <c r="G2" s="7" t="inlineStr">
        <is>
          <t>Online magazine article</t>
        </is>
      </c>
      <c r="H2" s="7" t="inlineStr">
        <is>
          <t>Tamil</t>
        </is>
      </c>
      <c r="I2" s="9" t="inlineStr">
        <is>
          <t>Archaeology / தொல்லியல்</t>
        </is>
      </c>
      <c r="J2" s="9" t="inlineStr">
        <is>
          <t>தொல்லியல்; Mantai; port</t>
        </is>
      </c>
      <c r="K2" s="7" t="inlineStr">
        <is>
          <t>Yes</t>
        </is>
      </c>
      <c r="L2" s="9" t="inlineStr">
        <is>
          <t>Series: Kantarodai civilization of ancient Jaffna</t>
        </is>
      </c>
      <c r="M2" s="10" t="inlineStr">
        <is>
          <t>https://www.ezhunaonline.com/manthai-the-seafaring-trading-center-of-ancient-sri-lanka/</t>
        </is>
      </c>
    </row>
    <row r="3">
      <c r="A3" s="11" t="inlineStr">
        <is>
          <t>MG-0002</t>
        </is>
      </c>
      <c r="B3" s="12" t="inlineStr">
        <is>
          <t>2026</t>
        </is>
      </c>
      <c r="C3" s="11" t="inlineStr">
        <is>
          <t>2026-02-09</t>
        </is>
      </c>
      <c r="D3" s="13" t="inlineStr">
        <is>
          <t>மரபிலிருந்து மாறி மரபாகுதல்: யாழ்ப்பாணத்துத் தென்மோடிக் கூத்து</t>
        </is>
      </c>
      <c r="E3" s="13" t="inlineStr">
        <is>
          <t>சின்னையா மௌனகுரு</t>
        </is>
      </c>
      <c r="F3" s="13" t="inlineStr">
        <is>
          <t>Ezhuna (எழுநா)</t>
        </is>
      </c>
      <c r="G3" s="11" t="inlineStr">
        <is>
          <t>Online magazine article</t>
        </is>
      </c>
      <c r="H3" s="11" t="inlineStr">
        <is>
          <t>Tamil</t>
        </is>
      </c>
      <c r="I3" s="13" t="n"/>
      <c r="J3" s="13" t="n"/>
      <c r="K3" s="11" t="inlineStr">
        <is>
          <t>Yes</t>
        </is>
      </c>
      <c r="L3" s="13" t="inlineStr">
        <is>
          <t>Auto-collected 2026-10-14 (ezhuna); review.</t>
        </is>
      </c>
      <c r="M3" s="14" t="inlineStr">
        <is>
          <t>https://www.ezhunaonline.com/from-tradition-to-tradition-the-southern-modic-koothu-of-jaffna/</t>
        </is>
      </c>
    </row>
    <row r="4">
      <c r="A4" s="7" t="inlineStr">
        <is>
          <t>MG-0003</t>
        </is>
      </c>
      <c r="B4" s="8" t="inlineStr">
        <is>
          <t>2026</t>
        </is>
      </c>
      <c r="C4" s="7" t="inlineStr">
        <is>
          <t>2026-02-12</t>
        </is>
      </c>
      <c r="D4" s="9" t="inlineStr">
        <is>
          <t>பண்டைய யாழ்ப்பாணத்தில் புராதன சமய நடைமுறைகள் – பகுதி 2</t>
        </is>
      </c>
      <c r="E4" s="9" t="inlineStr">
        <is>
          <t>Siva Thiagarajah</t>
        </is>
      </c>
      <c r="F4" s="9" t="inlineStr">
        <is>
          <t>Ezhuna (எழுநா)</t>
        </is>
      </c>
      <c r="G4" s="7" t="inlineStr">
        <is>
          <t>Online magazine article</t>
        </is>
      </c>
      <c r="H4" s="7" t="inlineStr">
        <is>
          <t>Tamil</t>
        </is>
      </c>
      <c r="I4" s="9" t="n"/>
      <c r="J4" s="9" t="inlineStr">
        <is>
          <t>religion; Jaffna</t>
        </is>
      </c>
      <c r="K4" s="7" t="inlineStr">
        <is>
          <t>Yes</t>
        </is>
      </c>
      <c r="L4" s="9" t="inlineStr">
        <is>
          <t>Series: Kantarodai civilization of ancient Jaffna</t>
        </is>
      </c>
      <c r="M4" s="10" t="inlineStr">
        <is>
          <t>https://www.ezhunaonline.com/ancient-religious-practices-in-ancient-jaffna-part-2/</t>
        </is>
      </c>
    </row>
    <row r="5">
      <c r="A5" s="11" t="inlineStr">
        <is>
          <t>MG-0004</t>
        </is>
      </c>
      <c r="B5" s="12" t="inlineStr">
        <is>
          <t>2026</t>
        </is>
      </c>
      <c r="C5" s="11" t="inlineStr">
        <is>
          <t>2026-03-13</t>
        </is>
      </c>
      <c r="D5" s="13" t="inlineStr">
        <is>
          <t>யாழ்ப்பாண பௌத்தம் கி.மு. 100 – கி.பி. 1200 – பகுதி 2</t>
        </is>
      </c>
      <c r="E5" s="13" t="inlineStr">
        <is>
          <t>Siva Thiagarajah</t>
        </is>
      </c>
      <c r="F5" s="13" t="inlineStr">
        <is>
          <t>Ezhuna (எழுநா)</t>
        </is>
      </c>
      <c r="G5" s="11" t="inlineStr">
        <is>
          <t>Online magazine article</t>
        </is>
      </c>
      <c r="H5" s="11" t="inlineStr">
        <is>
          <t>Tamil</t>
        </is>
      </c>
      <c r="I5" s="13" t="inlineStr">
        <is>
          <t>Archaeology / தொல்லியல்</t>
        </is>
      </c>
      <c r="J5" s="13" t="inlineStr">
        <is>
          <t>Buddhism; Jaffna; archaeology</t>
        </is>
      </c>
      <c r="K5" s="11" t="inlineStr">
        <is>
          <t>Yes</t>
        </is>
      </c>
      <c r="L5" s="13" t="inlineStr">
        <is>
          <t>Series: Kantarodai civilization of ancient Jaffna</t>
        </is>
      </c>
      <c r="M5" s="14" t="inlineStr">
        <is>
          <t>https://www.ezhunaonline.com/jaffna-buddhism-100-bc-1200-ad-part-2/</t>
        </is>
      </c>
    </row>
    <row r="6">
      <c r="A6" s="7" t="inlineStr">
        <is>
          <t>MG-0005</t>
        </is>
      </c>
      <c r="B6" s="8" t="inlineStr">
        <is>
          <t>2026</t>
        </is>
      </c>
      <c r="C6" s="7" t="inlineStr">
        <is>
          <t>2026-04-06</t>
        </is>
      </c>
      <c r="D6" s="9" t="inlineStr">
        <is>
          <t>கந்தரோடையிலும் வடஇலங்கையின் பிற இடங்களிலும் கண்ட ஆதிகால நாணயங்கள் – பகுதி 1</t>
        </is>
      </c>
      <c r="E6" s="9" t="inlineStr">
        <is>
          <t>Siva Thiagarajah</t>
        </is>
      </c>
      <c r="F6" s="9" t="inlineStr">
        <is>
          <t>Ezhuna (எழுநா)</t>
        </is>
      </c>
      <c r="G6" s="7" t="inlineStr">
        <is>
          <t>Online magazine article</t>
        </is>
      </c>
      <c r="H6" s="7" t="inlineStr">
        <is>
          <t>Tamil</t>
        </is>
      </c>
      <c r="I6" s="9" t="inlineStr">
        <is>
          <t>Coins / நாணயம்</t>
        </is>
      </c>
      <c r="J6" s="9" t="inlineStr">
        <is>
          <t>coins; Kantarodai</t>
        </is>
      </c>
      <c r="K6" s="7" t="inlineStr">
        <is>
          <t>Yes</t>
        </is>
      </c>
      <c r="L6" s="9" t="inlineStr">
        <is>
          <t>Series: Kantarodai civilization of ancient Jaffna</t>
        </is>
      </c>
      <c r="M6" s="10" t="inlineStr">
        <is>
          <t>https://www.ezhunaonline.com/ancient-coins-found-in-kandy-and-northern-sri-lanka-part-1/</t>
        </is>
      </c>
    </row>
    <row r="7">
      <c r="A7" s="11" t="inlineStr">
        <is>
          <t>MG-0006</t>
        </is>
      </c>
      <c r="B7" s="12" t="inlineStr">
        <is>
          <t>2026</t>
        </is>
      </c>
      <c r="C7" s="11" t="inlineStr">
        <is>
          <t>2026-04-09</t>
        </is>
      </c>
      <c r="D7" s="13" t="inlineStr">
        <is>
          <t>கந்தரோடையிலும் வடஇலங்கையின் பிற இடங்களிலும் கண்ட ஆதிகால நாணயங்கள் – பகுதி 2</t>
        </is>
      </c>
      <c r="E7" s="13" t="inlineStr">
        <is>
          <t>Siva Thiagarajah</t>
        </is>
      </c>
      <c r="F7" s="13" t="inlineStr">
        <is>
          <t>Ezhuna (எழுநா)</t>
        </is>
      </c>
      <c r="G7" s="11" t="inlineStr">
        <is>
          <t>Online magazine article</t>
        </is>
      </c>
      <c r="H7" s="11" t="inlineStr">
        <is>
          <t>Tamil</t>
        </is>
      </c>
      <c r="I7" s="13" t="inlineStr">
        <is>
          <t>Coins / நாணயம்</t>
        </is>
      </c>
      <c r="J7" s="13" t="inlineStr">
        <is>
          <t>coins; Kantarodai</t>
        </is>
      </c>
      <c r="K7" s="11" t="inlineStr">
        <is>
          <t>Yes</t>
        </is>
      </c>
      <c r="L7" s="13" t="inlineStr">
        <is>
          <t>Series: Kantarodai civilization of ancient Jaffna</t>
        </is>
      </c>
      <c r="M7" s="14" t="inlineStr">
        <is>
          <t>https://www.ezhunaonline.com/ancient-coins-found-in-kandy-and-northern-sri-lanka-part-2/</t>
        </is>
      </c>
    </row>
    <row r="8">
      <c r="A8" s="7" t="inlineStr">
        <is>
          <t>MG-0007</t>
        </is>
      </c>
      <c r="B8" s="8" t="inlineStr">
        <is>
          <t>2026</t>
        </is>
      </c>
      <c r="C8" s="7" t="inlineStr">
        <is>
          <t>2026-05-19</t>
        </is>
      </c>
      <c r="D8" s="9" t="inlineStr">
        <is>
          <t>கந்தரோடை நாகரிகத்தின் தோற்றமும் படிமுறை வளர்ச்சியும் – பகுதி 4</t>
        </is>
      </c>
      <c r="E8" s="9" t="inlineStr">
        <is>
          <t>Siva Thiagarajah</t>
        </is>
      </c>
      <c r="F8" s="9" t="inlineStr">
        <is>
          <t>Ezhuna (எழுநா)</t>
        </is>
      </c>
      <c r="G8" s="7" t="inlineStr">
        <is>
          <t>Online magazine article</t>
        </is>
      </c>
      <c r="H8" s="7" t="inlineStr">
        <is>
          <t>Tamil</t>
        </is>
      </c>
      <c r="I8" s="9" t="inlineStr">
        <is>
          <t>Archaeology / தொல்லியல்</t>
        </is>
      </c>
      <c r="J8" s="9" t="inlineStr">
        <is>
          <t>தொல்லியல்; Kantarodai</t>
        </is>
      </c>
      <c r="K8" s="7" t="inlineStr">
        <is>
          <t>Yes</t>
        </is>
      </c>
      <c r="L8" s="9" t="inlineStr">
        <is>
          <t>Series: Kantarodai civilization of ancient Jaffna</t>
        </is>
      </c>
      <c r="M8" s="10" t="inlineStr">
        <is>
          <t>https://www.ezhunaonline.com/origin-and-gradual-development-of-the-gandharoda-civilization-part-4/</t>
        </is>
      </c>
    </row>
    <row r="9">
      <c r="A9" s="11" t="inlineStr">
        <is>
          <t>MG-0008</t>
        </is>
      </c>
      <c r="B9" s="12" t="inlineStr">
        <is>
          <t>2026</t>
        </is>
      </c>
      <c r="C9" s="11" t="inlineStr">
        <is>
          <t>2026-06-22</t>
        </is>
      </c>
      <c r="D9" s="13" t="inlineStr">
        <is>
          <t>இலங்கையின் மகாவம்ச வரலாற்றைப் புரட்டிப்போட்ட கந்தரோடைத் தொல்லியலும் ஆதி இரும்புக்காலம் பற்றிய அறிவியல் ஆய்வுகளும் – பகுதி 5</t>
        </is>
      </c>
      <c r="E9" s="13" t="inlineStr">
        <is>
          <t>Siva Thiagarajah</t>
        </is>
      </c>
      <c r="F9" s="13" t="inlineStr">
        <is>
          <t>Ezhuna (எழுநா)</t>
        </is>
      </c>
      <c r="G9" s="11" t="inlineStr">
        <is>
          <t>Online magazine article</t>
        </is>
      </c>
      <c r="H9" s="11" t="inlineStr">
        <is>
          <t>Tamil</t>
        </is>
      </c>
      <c r="I9" s="13" t="inlineStr">
        <is>
          <t>Archaeology / தொல்லியல்</t>
        </is>
      </c>
      <c r="J9" s="13" t="inlineStr">
        <is>
          <t>தொல்லியல்; Kantarodai; Iron Age</t>
        </is>
      </c>
      <c r="K9" s="11" t="inlineStr">
        <is>
          <t>Yes</t>
        </is>
      </c>
      <c r="L9" s="13" t="inlineStr">
        <is>
          <t>Series: Kantarodai civilization of ancient Jaffna</t>
        </is>
      </c>
      <c r="M9" s="14" t="inlineStr">
        <is>
          <t>https://www.ezhunaonline.com/the-gandarodai-archaeological-site-and-scientific-studies-on-the-early-iron-age-that-overturned-the-mahavamsa-history-of-sri-lanka-part-5/</t>
        </is>
      </c>
    </row>
    <row r="10">
      <c r="A10" s="7" t="inlineStr">
        <is>
          <t>MG-0009</t>
        </is>
      </c>
      <c r="B10" s="8" t="inlineStr">
        <is>
          <t>2026</t>
        </is>
      </c>
      <c r="C10" s="7" t="inlineStr">
        <is>
          <t>2026-06-30</t>
        </is>
      </c>
      <c r="D10" s="9" t="inlineStr">
        <is>
          <t>தொல்லியலும் கடந்த காலத்தை ஆயுதமாக்குதலும் – பகுதி 2</t>
        </is>
      </c>
      <c r="E10" s="9" t="inlineStr">
        <is>
          <t>மீநிலங்கோ தெய்வேந்திரன்</t>
        </is>
      </c>
      <c r="F10" s="9" t="inlineStr">
        <is>
          <t>Ezhuna (எழுநா)</t>
        </is>
      </c>
      <c r="G10" s="7" t="inlineStr">
        <is>
          <t>Online magazine article</t>
        </is>
      </c>
      <c r="H10" s="7" t="inlineStr">
        <is>
          <t>Tamil</t>
        </is>
      </c>
      <c r="I10" s="9" t="n"/>
      <c r="J10" s="9" t="n"/>
      <c r="K10" s="7" t="inlineStr">
        <is>
          <t>Yes</t>
        </is>
      </c>
      <c r="L10" s="9" t="inlineStr">
        <is>
          <t>Auto-collected 2026-10-14 (ezhuna); review.</t>
        </is>
      </c>
      <c r="M10" s="10" t="inlineStr">
        <is>
          <t>https://www.ezhunaonline.com/archaeology-and-weaponizing-the-past-part-2/</t>
        </is>
      </c>
    </row>
    <row r="11">
      <c r="A11" s="11" t="inlineStr">
        <is>
          <t>MG-0010</t>
        </is>
      </c>
      <c r="B11" s="12" t="inlineStr">
        <is>
          <t>2026</t>
        </is>
      </c>
      <c r="C11" s="11" t="inlineStr">
        <is>
          <t>2026-07-15</t>
        </is>
      </c>
      <c r="D11" s="13" t="inlineStr">
        <is>
          <t>திராவிட மக்களின் மரபணு மூலங்களும் தமிழ்மொழியின் படிமுறைத் தோற்றமும் – அறிமுகம்</t>
        </is>
      </c>
      <c r="E11" s="13" t="inlineStr">
        <is>
          <t>சிவ தியாகராஜா</t>
        </is>
      </c>
      <c r="F11" s="13" t="inlineStr">
        <is>
          <t>Ezhuna (எழுநா)</t>
        </is>
      </c>
      <c r="G11" s="11" t="inlineStr">
        <is>
          <t>Online magazine article</t>
        </is>
      </c>
      <c r="H11" s="11" t="inlineStr">
        <is>
          <t>Tamil</t>
        </is>
      </c>
      <c r="I11" s="13" t="n"/>
      <c r="J11" s="13" t="n"/>
      <c r="K11" s="11" t="inlineStr">
        <is>
          <t>Yes</t>
        </is>
      </c>
      <c r="L11" s="13" t="inlineStr">
        <is>
          <t>Auto-collected 2026-10-14 (ezhuna); review.</t>
        </is>
      </c>
      <c r="M11" s="14" t="inlineStr">
        <is>
          <t>https://www.ezhunaonline.com/the-genetic-origins-of-the-dravidian-people-and-the-evolutionary-emergence-of-the-tamil-language-an-introduction/</t>
        </is>
      </c>
    </row>
    <row r="12">
      <c r="A12" s="7" t="inlineStr">
        <is>
          <t>MG-0011</t>
        </is>
      </c>
      <c r="B12" s="8" t="inlineStr">
        <is>
          <t>2026</t>
        </is>
      </c>
      <c r="C12" s="7" t="inlineStr">
        <is>
          <t>2026-09-15</t>
        </is>
      </c>
      <c r="D12" s="9" t="inlineStr">
        <is>
          <t>2500 ஆண்டுகளுக்கு முற்பட்ட யாழ்ப்பாணத்து மக்களின் உணவுப் பழக்கவழக்கங்கள்: ஆனைக்கோட்டை அகழ்வாய்வில் வெளிச்சத்திற்கு வந்திருக்கும் உண்மைகள்</t>
        </is>
      </c>
      <c r="E12" s="9" t="inlineStr">
        <is>
          <t>பரமு புஷ்பரட்ணம்</t>
        </is>
      </c>
      <c r="F12" s="9" t="inlineStr">
        <is>
          <t>Ezhuna (எழுநா)</t>
        </is>
      </c>
      <c r="G12" s="7" t="inlineStr">
        <is>
          <t>Online magazine article</t>
        </is>
      </c>
      <c r="H12" s="7" t="inlineStr">
        <is>
          <t>Tamil</t>
        </is>
      </c>
      <c r="I12" s="9" t="inlineStr">
        <is>
          <t>Archaeology / தொல்லியல்</t>
        </is>
      </c>
      <c r="J12" s="9" t="n"/>
      <c r="K12" s="7" t="inlineStr">
        <is>
          <t>Yes</t>
        </is>
      </c>
      <c r="L12" s="9" t="inlineStr">
        <is>
          <t>Auto-collected 2026-10-14 (ezhuna); review.</t>
        </is>
      </c>
      <c r="M12" s="10" t="inlineStr">
        <is>
          <t>https://www.ezhunaonline.com/dietary-habits-of-the-people-of-jaffna-2500-years-ago-facts-revealed-by-the-anaicottai-excavation/</t>
        </is>
      </c>
    </row>
    <row r="13">
      <c r="A13" s="11" t="inlineStr">
        <is>
          <t>MG-0012</t>
        </is>
      </c>
      <c r="B13" s="12" t="inlineStr">
        <is>
          <t>2025</t>
        </is>
      </c>
      <c r="C13" s="11" t="inlineStr">
        <is>
          <t>2025-01-11</t>
        </is>
      </c>
      <c r="D13" s="13" t="inlineStr">
        <is>
          <t>ஒச்சாப்பு கல்லு எனும் பண்டைய நாகர் குடியிருப்பு</t>
        </is>
      </c>
      <c r="E13" s="13" t="inlineStr">
        <is>
          <t>N. K. S. Thiruchelvam</t>
        </is>
      </c>
      <c r="F13" s="13" t="inlineStr">
        <is>
          <t>Ezhuna (எழுநா)</t>
        </is>
      </c>
      <c r="G13" s="11" t="inlineStr">
        <is>
          <t>Online magazine article</t>
        </is>
      </c>
      <c r="H13" s="11" t="inlineStr">
        <is>
          <t>Tamil</t>
        </is>
      </c>
      <c r="I13" s="13" t="inlineStr">
        <is>
          <t>Archaeology / தொல்லியல்</t>
        </is>
      </c>
      <c r="J13" s="13" t="inlineStr">
        <is>
          <t>தொல்லியல்; Naga settlement; Ochappu Kallu</t>
        </is>
      </c>
      <c r="K13" s="11" t="inlineStr">
        <is>
          <t>Yes</t>
        </is>
      </c>
      <c r="L13" s="13" t="inlineStr">
        <is>
          <t>Series: Naga people in Sri Lankan Brahmi inscriptions</t>
        </is>
      </c>
      <c r="M13" s="14" t="inlineStr">
        <is>
          <t>https://www.ezhunaonline.com/ochapu-kallu-is-an-ancient-nagar-settlement/</t>
        </is>
      </c>
    </row>
    <row r="14">
      <c r="A14" s="7" t="inlineStr">
        <is>
          <t>MG-0013</t>
        </is>
      </c>
      <c r="B14" s="8" t="inlineStr">
        <is>
          <t>2025</t>
        </is>
      </c>
      <c r="C14" s="7" t="inlineStr">
        <is>
          <t>2025-01-24</t>
        </is>
      </c>
      <c r="D14" s="9" t="inlineStr">
        <is>
          <t>பிராமணன் திவக்கனின் தங்கத் திருமலையில் நாகர் பற்றிய கல்வெட்டு</t>
        </is>
      </c>
      <c r="E14" s="9" t="inlineStr">
        <is>
          <t>N. K. S. Thiruchelvam</t>
        </is>
      </c>
      <c r="F14" s="9" t="inlineStr">
        <is>
          <t>Ezhuna (எழுநா)</t>
        </is>
      </c>
      <c r="G14" s="7" t="inlineStr">
        <is>
          <t>Online magazine article</t>
        </is>
      </c>
      <c r="H14" s="7" t="inlineStr">
        <is>
          <t>Tamil</t>
        </is>
      </c>
      <c r="I14" s="9" t="inlineStr">
        <is>
          <t>Inscriptions / கல்வெட்டு</t>
        </is>
      </c>
      <c r="J14" s="9" t="inlineStr">
        <is>
          <t>கல்வெட்டு; Naga</t>
        </is>
      </c>
      <c r="K14" s="7" t="inlineStr">
        <is>
          <t>Yes</t>
        </is>
      </c>
      <c r="L14" s="9" t="inlineStr">
        <is>
          <t>Series: Naga people in Sri Lankan Brahmi inscriptions</t>
        </is>
      </c>
      <c r="M14" s="10" t="inlineStr">
        <is>
          <t>https://www.ezhunaonline.com/inscription-about-nagar-on-thanga-tirumala-by-brahmin-divakan/</t>
        </is>
      </c>
    </row>
    <row r="15">
      <c r="A15" s="11" t="inlineStr">
        <is>
          <t>MG-0014</t>
        </is>
      </c>
      <c r="B15" s="12" t="inlineStr">
        <is>
          <t>2025</t>
        </is>
      </c>
      <c r="C15" s="11" t="inlineStr">
        <is>
          <t>2025-01-30</t>
        </is>
      </c>
      <c r="D15" s="13" t="inlineStr">
        <is>
          <t>கழிகாமமலையின் எல்லையில்</t>
        </is>
      </c>
      <c r="E15" s="13" t="inlineStr">
        <is>
          <t>Vivekanantharaja Thulanchanan</t>
        </is>
      </c>
      <c r="F15" s="13" t="inlineStr">
        <is>
          <t>Ezhuna (எழுநா)</t>
        </is>
      </c>
      <c r="G15" s="11" t="inlineStr">
        <is>
          <t>Online magazine article</t>
        </is>
      </c>
      <c r="H15" s="11" t="inlineStr">
        <is>
          <t>Tamil</t>
        </is>
      </c>
      <c r="I15" s="13" t="n"/>
      <c r="J15" s="13" t="inlineStr">
        <is>
          <t>East coast; history</t>
        </is>
      </c>
      <c r="K15" s="11" t="inlineStr">
        <is>
          <t>Yes</t>
        </is>
      </c>
      <c r="L15" s="13" t="inlineStr">
        <is>
          <t>Series: East coast of Sri Lanka - a historical perspective</t>
        </is>
      </c>
      <c r="M15" s="14" t="inlineStr">
        <is>
          <t>https://www.ezhunaonline.com/on-the-border-of-ghazigamalai/</t>
        </is>
      </c>
    </row>
    <row r="16">
      <c r="A16" s="7" t="inlineStr">
        <is>
          <t>MG-0015</t>
        </is>
      </c>
      <c r="B16" s="8" t="inlineStr">
        <is>
          <t>2025</t>
        </is>
      </c>
      <c r="C16" s="7" t="inlineStr">
        <is>
          <t>2025-02-09</t>
        </is>
      </c>
      <c r="D16" s="9" t="inlineStr">
        <is>
          <t>அரிட்ட பர்வத மலை எனும் ரிட்டிகல மலையில் காணப்படும் நாகர் பற்றிய கல்வெட்டுகள்</t>
        </is>
      </c>
      <c r="E16" s="9" t="inlineStr">
        <is>
          <t>N. K. S. Thiruchelvam</t>
        </is>
      </c>
      <c r="F16" s="9" t="inlineStr">
        <is>
          <t>Ezhuna (எழுநா)</t>
        </is>
      </c>
      <c r="G16" s="7" t="inlineStr">
        <is>
          <t>Online magazine article</t>
        </is>
      </c>
      <c r="H16" s="7" t="inlineStr">
        <is>
          <t>Tamil</t>
        </is>
      </c>
      <c r="I16" s="9" t="inlineStr">
        <is>
          <t>Inscriptions / கல்வெட்டு</t>
        </is>
      </c>
      <c r="J16" s="9" t="inlineStr">
        <is>
          <t>கல்வெட்டு; Naga; Ritigala</t>
        </is>
      </c>
      <c r="K16" s="7" t="inlineStr">
        <is>
          <t>Yes</t>
        </is>
      </c>
      <c r="L16" s="9" t="inlineStr">
        <is>
          <t>Series: Naga people in Sri Lankan Brahmi inscriptions</t>
        </is>
      </c>
      <c r="M16" s="10" t="inlineStr">
        <is>
          <t>https://www.ezhunaonline.com/inscriptions-about-nagar-found-on-rittikala-hill-arita-parvata-hill/</t>
        </is>
      </c>
    </row>
    <row r="17">
      <c r="A17" s="11" t="inlineStr">
        <is>
          <t>MG-0016</t>
        </is>
      </c>
      <c r="B17" s="12" t="inlineStr">
        <is>
          <t>2025</t>
        </is>
      </c>
      <c r="C17" s="11" t="inlineStr">
        <is>
          <t>2025-02-22</t>
        </is>
      </c>
      <c r="D17" s="13" t="inlineStr">
        <is>
          <t>ரிதி விகாரை மலையில் நாக மகாராஜன் பற்றிய கல்வெட்டு</t>
        </is>
      </c>
      <c r="E17" s="13" t="inlineStr">
        <is>
          <t>N. K. S. Thiruchelvam</t>
        </is>
      </c>
      <c r="F17" s="13" t="inlineStr">
        <is>
          <t>Ezhuna (எழுநா)</t>
        </is>
      </c>
      <c r="G17" s="11" t="inlineStr">
        <is>
          <t>Online magazine article</t>
        </is>
      </c>
      <c r="H17" s="11" t="inlineStr">
        <is>
          <t>Tamil</t>
        </is>
      </c>
      <c r="I17" s="13" t="inlineStr">
        <is>
          <t>Inscriptions / கல்வெட்டு</t>
        </is>
      </c>
      <c r="J17" s="13" t="inlineStr">
        <is>
          <t>கல்வெட்டு; Naga; Ritigala</t>
        </is>
      </c>
      <c r="K17" s="11" t="inlineStr">
        <is>
          <t>Yes</t>
        </is>
      </c>
      <c r="L17" s="13" t="inlineStr">
        <is>
          <t>Series: Naga people in Sri Lankan Brahmi inscriptions</t>
        </is>
      </c>
      <c r="M17" s="14" t="inlineStr">
        <is>
          <t>https://www.ezhunaonline.com/inscription-of-naga-maharaja-on-rithi-viharai-hill/</t>
        </is>
      </c>
    </row>
    <row r="18">
      <c r="A18" s="7" t="inlineStr">
        <is>
          <t>MG-0017</t>
        </is>
      </c>
      <c r="B18" s="8" t="inlineStr">
        <is>
          <t>2025</t>
        </is>
      </c>
      <c r="C18" s="7" t="inlineStr">
        <is>
          <t>2025-02-25</t>
        </is>
      </c>
      <c r="D18" s="9" t="inlineStr">
        <is>
          <t>பண்டைய யாழ்ப்பாணத்தின் கந்தரோடை நாகரிகம்</t>
        </is>
      </c>
      <c r="E18" s="9" t="inlineStr">
        <is>
          <t>Siva Thiagarajah</t>
        </is>
      </c>
      <c r="F18" s="9" t="inlineStr">
        <is>
          <t>Ezhuna (எழுநா)</t>
        </is>
      </c>
      <c r="G18" s="7" t="inlineStr">
        <is>
          <t>Online magazine article</t>
        </is>
      </c>
      <c r="H18" s="7" t="inlineStr">
        <is>
          <t>Tamil</t>
        </is>
      </c>
      <c r="I18" s="9" t="inlineStr">
        <is>
          <t>Archaeology / தொல்லியல்</t>
        </is>
      </c>
      <c r="J18" s="9" t="inlineStr">
        <is>
          <t>தொல்லியல்; Kantarodai</t>
        </is>
      </c>
      <c r="K18" s="7" t="inlineStr">
        <is>
          <t>Yes</t>
        </is>
      </c>
      <c r="L18" s="9" t="inlineStr">
        <is>
          <t>Series: Kantarodai civilization of ancient Jaffna</t>
        </is>
      </c>
      <c r="M18" s="10" t="inlineStr">
        <is>
          <t>https://www.ezhunaonline.com/gandharoda-civilization-of-ancient-jaffna/</t>
        </is>
      </c>
    </row>
    <row r="19">
      <c r="A19" s="11" t="inlineStr">
        <is>
          <t>MG-0018</t>
        </is>
      </c>
      <c r="B19" s="12" t="inlineStr">
        <is>
          <t>2025</t>
        </is>
      </c>
      <c r="C19" s="11" t="inlineStr">
        <is>
          <t>2025-03-05</t>
        </is>
      </c>
      <c r="D19" s="13" t="inlineStr">
        <is>
          <t>யாழ்ப்பாணத்தின் நிலவியல், நில அமைப்பியல், ஆதிக் குடியிருப்புகள்</t>
        </is>
      </c>
      <c r="E19" s="13" t="inlineStr">
        <is>
          <t>Siva Thiagarajah</t>
        </is>
      </c>
      <c r="F19" s="13" t="inlineStr">
        <is>
          <t>Ezhuna (எழுநா)</t>
        </is>
      </c>
      <c r="G19" s="11" t="inlineStr">
        <is>
          <t>Online magazine article</t>
        </is>
      </c>
      <c r="H19" s="11" t="inlineStr">
        <is>
          <t>Tamil</t>
        </is>
      </c>
      <c r="I19" s="13" t="inlineStr">
        <is>
          <t>Archaeology / தொல்லியல்</t>
        </is>
      </c>
      <c r="J19" s="13" t="inlineStr">
        <is>
          <t>settlements; Jaffna</t>
        </is>
      </c>
      <c r="K19" s="11" t="inlineStr">
        <is>
          <t>Yes</t>
        </is>
      </c>
      <c r="L19" s="13" t="inlineStr">
        <is>
          <t>Series: Kantarodai civilization of ancient Jaffna</t>
        </is>
      </c>
      <c r="M19" s="14" t="inlineStr">
        <is>
          <t>https://www.ezhunaonline.com/geology-topography-and-ancient-settlements-of-jaffna/</t>
        </is>
      </c>
    </row>
    <row r="20">
      <c r="A20" s="7" t="inlineStr">
        <is>
          <t>MG-0019</t>
        </is>
      </c>
      <c r="B20" s="8" t="inlineStr">
        <is>
          <t>2025</t>
        </is>
      </c>
      <c r="C20" s="7" t="inlineStr">
        <is>
          <t>2025-03-11</t>
        </is>
      </c>
      <c r="D20" s="9" t="inlineStr">
        <is>
          <t>2000 ஆண்டுகளுக்கு முன்பு சித்தர்கள் வாழ்ந்த ஆண்டியாகல மலைக் கல்வெட்டு</t>
        </is>
      </c>
      <c r="E20" s="9" t="inlineStr">
        <is>
          <t>N. K. S. Thiruchelvam</t>
        </is>
      </c>
      <c r="F20" s="9" t="inlineStr">
        <is>
          <t>Ezhuna (எழுநா)</t>
        </is>
      </c>
      <c r="G20" s="7" t="inlineStr">
        <is>
          <t>Online magazine article</t>
        </is>
      </c>
      <c r="H20" s="7" t="inlineStr">
        <is>
          <t>Tamil</t>
        </is>
      </c>
      <c r="I20" s="9" t="inlineStr">
        <is>
          <t>Inscriptions / கல்வெட்டு</t>
        </is>
      </c>
      <c r="J20" s="9" t="inlineStr">
        <is>
          <t>கல்வெட்டு; Andiyagala</t>
        </is>
      </c>
      <c r="K20" s="7" t="inlineStr">
        <is>
          <t>Yes</t>
        </is>
      </c>
      <c r="L20" s="9" t="inlineStr">
        <is>
          <t>Series: Naga people in Sri Lankan Brahmi inscriptions</t>
        </is>
      </c>
      <c r="M20" s="10" t="inlineStr">
        <is>
          <t>https://www.ezhunaonline.com/andiyagala-hill-inscription-where-siddhas-lived-2000-years-ago/</t>
        </is>
      </c>
    </row>
    <row r="21">
      <c r="A21" s="11" t="inlineStr">
        <is>
          <t>MG-0020</t>
        </is>
      </c>
      <c r="B21" s="12" t="inlineStr">
        <is>
          <t>2025</t>
        </is>
      </c>
      <c r="C21" s="11" t="inlineStr">
        <is>
          <t>2025-03-30</t>
        </is>
      </c>
      <c r="D21" s="13" t="inlineStr">
        <is>
          <t>நாக குலத்தவர் பற்றிக் கூறும் ஹிபவுவ கல்வெட்டு</t>
        </is>
      </c>
      <c r="E21" s="13" t="inlineStr">
        <is>
          <t>N. K. S. Thiruchelvam</t>
        </is>
      </c>
      <c r="F21" s="13" t="inlineStr">
        <is>
          <t>Ezhuna (எழுநா)</t>
        </is>
      </c>
      <c r="G21" s="11" t="inlineStr">
        <is>
          <t>Online magazine article</t>
        </is>
      </c>
      <c r="H21" s="11" t="inlineStr">
        <is>
          <t>Tamil</t>
        </is>
      </c>
      <c r="I21" s="13" t="inlineStr">
        <is>
          <t>Inscriptions / கல்வெட்டு</t>
        </is>
      </c>
      <c r="J21" s="13" t="inlineStr">
        <is>
          <t>கல்வெட்டு; Naga; Hibauwa</t>
        </is>
      </c>
      <c r="K21" s="11" t="inlineStr">
        <is>
          <t>Yes</t>
        </is>
      </c>
      <c r="L21" s="13" t="inlineStr">
        <is>
          <t>Series: Naga people in Sri Lankan Brahmi inscriptions</t>
        </is>
      </c>
      <c r="M21" s="14" t="inlineStr">
        <is>
          <t>https://www.ezhunaonline.com/hibauwa-inscription-about-the-naga-clan/</t>
        </is>
      </c>
    </row>
    <row r="22">
      <c r="A22" s="7" t="inlineStr">
        <is>
          <t>MG-0021</t>
        </is>
      </c>
      <c r="B22" s="8" t="inlineStr">
        <is>
          <t>2025</t>
        </is>
      </c>
      <c r="C22" s="7" t="inlineStr">
        <is>
          <t>2025-04-10</t>
        </is>
      </c>
      <c r="D22" s="9" t="inlineStr">
        <is>
          <t>வரலாறு மற்றும் இலக்கியப் பதிவுகளில் நாகநாடும் நாகர்களும் – பகுதி 2</t>
        </is>
      </c>
      <c r="E22" s="9" t="inlineStr">
        <is>
          <t>Siva Thiagarajah</t>
        </is>
      </c>
      <c r="F22" s="9" t="inlineStr">
        <is>
          <t>Ezhuna (எழுநா)</t>
        </is>
      </c>
      <c r="G22" s="7" t="inlineStr">
        <is>
          <t>Online magazine article</t>
        </is>
      </c>
      <c r="H22" s="7" t="inlineStr">
        <is>
          <t>Tamil</t>
        </is>
      </c>
      <c r="I22" s="9" t="n"/>
      <c r="J22" s="9" t="inlineStr">
        <is>
          <t>Naga; Naganadu</t>
        </is>
      </c>
      <c r="K22" s="7" t="inlineStr">
        <is>
          <t>Yes</t>
        </is>
      </c>
      <c r="L22" s="9" t="inlineStr">
        <is>
          <t>Series: Kantarodai civilization of ancient Jaffna</t>
        </is>
      </c>
      <c r="M22" s="10" t="inlineStr">
        <is>
          <t>https://www.ezhunaonline.com/nagaland-and-the-nagas-in-history-and-literary-records-part-2/</t>
        </is>
      </c>
    </row>
    <row r="23">
      <c r="A23" s="11" t="inlineStr">
        <is>
          <t>MG-0022</t>
        </is>
      </c>
      <c r="B23" s="12" t="inlineStr">
        <is>
          <t>2025</t>
        </is>
      </c>
      <c r="C23" s="11" t="inlineStr">
        <is>
          <t>2025-05-05</t>
        </is>
      </c>
      <c r="D23" s="13" t="inlineStr">
        <is>
          <t>தொல்பொருட்களின் தேதிக்கணிப்புகள் (The Dating of Archaeological Artefacts)</t>
        </is>
      </c>
      <c r="E23" s="13" t="inlineStr">
        <is>
          <t>Siva Thiagarajah</t>
        </is>
      </c>
      <c r="F23" s="13" t="inlineStr">
        <is>
          <t>Ezhuna (எழுநா)</t>
        </is>
      </c>
      <c r="G23" s="11" t="inlineStr">
        <is>
          <t>Online magazine article</t>
        </is>
      </c>
      <c r="H23" s="11" t="inlineStr">
        <is>
          <t>Tamil</t>
        </is>
      </c>
      <c r="I23" s="13" t="inlineStr">
        <is>
          <t>Archaeology / தொல்லியல்</t>
        </is>
      </c>
      <c r="J23" s="13" t="inlineStr">
        <is>
          <t>தொல்லியல்; dating</t>
        </is>
      </c>
      <c r="K23" s="11" t="inlineStr">
        <is>
          <t>Yes</t>
        </is>
      </c>
      <c r="L23" s="13" t="inlineStr">
        <is>
          <t>Series: Kantarodai civilization of ancient Jaffna</t>
        </is>
      </c>
      <c r="M23" s="14" t="inlineStr">
        <is>
          <t>https://www.ezhunaonline.com/the-dating-of-archaeological-artefacts/</t>
        </is>
      </c>
    </row>
    <row r="24">
      <c r="A24" s="7" t="inlineStr">
        <is>
          <t>MG-0023</t>
        </is>
      </c>
      <c r="B24" s="8" t="inlineStr">
        <is>
          <t>2025</t>
        </is>
      </c>
      <c r="C24" s="7" t="inlineStr">
        <is>
          <t>2025-06-13</t>
        </is>
      </c>
      <c r="D24" s="9" t="inlineStr">
        <is>
          <t>கந்தரோடைத் தொல்லியல் (Archaeology of Kantarodai) – பகுதி 3</t>
        </is>
      </c>
      <c r="E24" s="9" t="inlineStr">
        <is>
          <t>Siva Thiagarajah</t>
        </is>
      </c>
      <c r="F24" s="9" t="inlineStr">
        <is>
          <t>Ezhuna (எழுநா)</t>
        </is>
      </c>
      <c r="G24" s="7" t="inlineStr">
        <is>
          <t>Online magazine article</t>
        </is>
      </c>
      <c r="H24" s="7" t="inlineStr">
        <is>
          <t>Tamil</t>
        </is>
      </c>
      <c r="I24" s="9" t="inlineStr">
        <is>
          <t>Archaeology / தொல்லியல்</t>
        </is>
      </c>
      <c r="J24" s="9" t="inlineStr">
        <is>
          <t>தொல்லியல்; Kantarodai</t>
        </is>
      </c>
      <c r="K24" s="7" t="inlineStr">
        <is>
          <t>Yes</t>
        </is>
      </c>
      <c r="L24" s="9" t="inlineStr">
        <is>
          <t>Series: Kantarodai civilization of ancient Jaffna</t>
        </is>
      </c>
      <c r="M24" s="10" t="inlineStr">
        <is>
          <t>https://www.ezhunaonline.com/archaeology-of-kantarodai-part-3/</t>
        </is>
      </c>
    </row>
    <row r="25">
      <c r="A25" s="11" t="inlineStr">
        <is>
          <t>MG-0024</t>
        </is>
      </c>
      <c r="B25" s="12" t="inlineStr">
        <is>
          <t>2025</t>
        </is>
      </c>
      <c r="C25" s="11" t="inlineStr">
        <is>
          <t>2025-07-11</t>
        </is>
      </c>
      <c r="D25" s="13" t="inlineStr">
        <is>
          <t>ஆனைக்கோட்டைத் தொல்லியலாய்வு</t>
        </is>
      </c>
      <c r="E25" s="13" t="inlineStr">
        <is>
          <t>Siva Thiagarajah</t>
        </is>
      </c>
      <c r="F25" s="13" t="inlineStr">
        <is>
          <t>Ezhuna (எழுநா)</t>
        </is>
      </c>
      <c r="G25" s="11" t="inlineStr">
        <is>
          <t>Online magazine article</t>
        </is>
      </c>
      <c r="H25" s="11" t="inlineStr">
        <is>
          <t>Tamil</t>
        </is>
      </c>
      <c r="I25" s="13" t="inlineStr">
        <is>
          <t>Inscriptions / கல்வெட்டு; Archaeology / தொல்லியல்</t>
        </is>
      </c>
      <c r="J25" s="13" t="inlineStr">
        <is>
          <t>தொல்லியல்; Anaikoddai; seal</t>
        </is>
      </c>
      <c r="K25" s="11" t="inlineStr">
        <is>
          <t>Yes</t>
        </is>
      </c>
      <c r="L25" s="13" t="inlineStr">
        <is>
          <t>Series: Kantarodai civilization of ancient Jaffna</t>
        </is>
      </c>
      <c r="M25" s="14" t="inlineStr">
        <is>
          <t>https://www.ezhunaonline.com/anaikottai-archaeological-survey/</t>
        </is>
      </c>
    </row>
    <row r="26">
      <c r="A26" s="7" t="inlineStr">
        <is>
          <t>MG-0025</t>
        </is>
      </c>
      <c r="B26" s="8" t="inlineStr">
        <is>
          <t>2025</t>
        </is>
      </c>
      <c r="C26" s="7" t="inlineStr">
        <is>
          <t>2025-07-14</t>
        </is>
      </c>
      <c r="D26" s="9" t="inlineStr">
        <is>
          <t>மன்னன் நாகன் பற்றிக் கூறும் கள்ளஞ்சிய பாறைக் கல்வெட்டு</t>
        </is>
      </c>
      <c r="E26" s="9" t="inlineStr">
        <is>
          <t>N. K. S. Thiruchelvam</t>
        </is>
      </c>
      <c r="F26" s="9" t="inlineStr">
        <is>
          <t>Ezhuna (எழுநா)</t>
        </is>
      </c>
      <c r="G26" s="7" t="inlineStr">
        <is>
          <t>Online magazine article</t>
        </is>
      </c>
      <c r="H26" s="7" t="inlineStr">
        <is>
          <t>Tamil</t>
        </is>
      </c>
      <c r="I26" s="9" t="inlineStr">
        <is>
          <t>Inscriptions / கல்வெட்டு</t>
        </is>
      </c>
      <c r="J26" s="9" t="inlineStr">
        <is>
          <t>கல்வெட்டு; Naga; Kallanchiya</t>
        </is>
      </c>
      <c r="K26" s="7" t="inlineStr">
        <is>
          <t>Yes</t>
        </is>
      </c>
      <c r="L26" s="9" t="inlineStr">
        <is>
          <t>Series: Naga people in Sri Lankan Brahmi inscriptions</t>
        </is>
      </c>
      <c r="M26" s="10" t="inlineStr">
        <is>
          <t>https://www.ezhunaonline.com/the-kallanchiya-rock-inscription-tells-of-king-nagan/</t>
        </is>
      </c>
    </row>
    <row r="27">
      <c r="A27" s="11" t="inlineStr">
        <is>
          <t>MG-0026</t>
        </is>
      </c>
      <c r="B27" s="12" t="inlineStr">
        <is>
          <t>2025</t>
        </is>
      </c>
      <c r="C27" s="11" t="inlineStr">
        <is>
          <t>2025-08-25</t>
        </is>
      </c>
      <c r="D27" s="13" t="inlineStr">
        <is>
          <t>யாழ்ப்பாணப் பட்டினம்: பொங்கொலிநீர்ச் சிங்கைநகர் – பகுதி 2</t>
        </is>
      </c>
      <c r="E27" s="13" t="inlineStr">
        <is>
          <t>Siva Thiagarajah</t>
        </is>
      </c>
      <c r="F27" s="13" t="inlineStr">
        <is>
          <t>Ezhuna (எழுநா)</t>
        </is>
      </c>
      <c r="G27" s="11" t="inlineStr">
        <is>
          <t>Online magazine article</t>
        </is>
      </c>
      <c r="H27" s="11" t="inlineStr">
        <is>
          <t>Tamil</t>
        </is>
      </c>
      <c r="I27" s="13" t="n"/>
      <c r="J27" s="13" t="inlineStr">
        <is>
          <t>Singai Nagar; Jaffna</t>
        </is>
      </c>
      <c r="K27" s="11" t="inlineStr">
        <is>
          <t>Yes</t>
        </is>
      </c>
      <c r="L27" s="13" t="inlineStr">
        <is>
          <t>Series: Kantarodai civilization of ancient Jaffna</t>
        </is>
      </c>
      <c r="M27" s="14" t="inlineStr">
        <is>
          <t>https://www.ezhunaonline.com/jaffna-city-pongoli-water-lion-city-part-2/</t>
        </is>
      </c>
    </row>
    <row r="28">
      <c r="A28" s="7" t="inlineStr">
        <is>
          <t>MG-0027</t>
        </is>
      </c>
      <c r="B28" s="8" t="inlineStr">
        <is>
          <t>2025</t>
        </is>
      </c>
      <c r="C28" s="7" t="inlineStr">
        <is>
          <t>2025-09-04</t>
        </is>
      </c>
      <c r="D28" s="9" t="inlineStr">
        <is>
          <t>வல்லிபுரமும் நாகர்கோயிலும்</t>
        </is>
      </c>
      <c r="E28" s="9" t="inlineStr">
        <is>
          <t>Siva Thiagarajah</t>
        </is>
      </c>
      <c r="F28" s="9" t="inlineStr">
        <is>
          <t>Ezhuna (எழுநா)</t>
        </is>
      </c>
      <c r="G28" s="7" t="inlineStr">
        <is>
          <t>Online magazine article</t>
        </is>
      </c>
      <c r="H28" s="7" t="inlineStr">
        <is>
          <t>Tamil</t>
        </is>
      </c>
      <c r="I28" s="9" t="inlineStr">
        <is>
          <t>Archaeology / தொல்லியல்</t>
        </is>
      </c>
      <c r="J28" s="9" t="inlineStr">
        <is>
          <t>தொல்லியல்; Vallipuram</t>
        </is>
      </c>
      <c r="K28" s="7" t="inlineStr">
        <is>
          <t>Yes</t>
        </is>
      </c>
      <c r="L28" s="9" t="inlineStr">
        <is>
          <t>Series: Kantarodai civilization of ancient Jaffna</t>
        </is>
      </c>
      <c r="M28" s="10" t="inlineStr">
        <is>
          <t>https://www.ezhunaonline.com/vallipuram-and-nagercoil/</t>
        </is>
      </c>
    </row>
    <row r="29">
      <c r="A29" s="11" t="inlineStr">
        <is>
          <t>MG-0028</t>
        </is>
      </c>
      <c r="B29" s="12" t="inlineStr">
        <is>
          <t>2025</t>
        </is>
      </c>
      <c r="C29" s="11" t="inlineStr">
        <is>
          <t>2025-10-10</t>
        </is>
      </c>
      <c r="D29" s="13" t="inlineStr">
        <is>
          <t>யாழ்ப்பாணத் தீபகற்பத்திற்குச் சமீபத்திலுள்ள ஆதிக்குடியேற்றங்கள்</t>
        </is>
      </c>
      <c r="E29" s="13" t="inlineStr">
        <is>
          <t>Siva Thiagarajah</t>
        </is>
      </c>
      <c r="F29" s="13" t="inlineStr">
        <is>
          <t>Ezhuna (எழுநா)</t>
        </is>
      </c>
      <c r="G29" s="11" t="inlineStr">
        <is>
          <t>Online magazine article</t>
        </is>
      </c>
      <c r="H29" s="11" t="inlineStr">
        <is>
          <t>Tamil</t>
        </is>
      </c>
      <c r="I29" s="13" t="inlineStr">
        <is>
          <t>Archaeology / தொல்லியல்</t>
        </is>
      </c>
      <c r="J29" s="13" t="inlineStr">
        <is>
          <t>தொல்லியல்; settlements</t>
        </is>
      </c>
      <c r="K29" s="11" t="inlineStr">
        <is>
          <t>Yes</t>
        </is>
      </c>
      <c r="L29" s="13" t="inlineStr">
        <is>
          <t>Series: Kantarodai civilization of ancient Jaffna</t>
        </is>
      </c>
      <c r="M29" s="14" t="inlineStr">
        <is>
          <t>https://www.ezhunaonline.com/early-settlements-near-the-jaffna-peninsula/</t>
        </is>
      </c>
    </row>
    <row r="30">
      <c r="A30" s="7" t="inlineStr">
        <is>
          <t>MG-0029</t>
        </is>
      </c>
      <c r="B30" s="8" t="inlineStr">
        <is>
          <t>2025</t>
        </is>
      </c>
      <c r="C30" s="7" t="inlineStr">
        <is>
          <t>2025-11-06</t>
        </is>
      </c>
      <c r="D30" s="9" t="inlineStr">
        <is>
          <t>வட இலங்கைப் பெருநிலத்தில் ஆதிமனிதக் குடியேற்றங்கள்</t>
        </is>
      </c>
      <c r="E30" s="9" t="inlineStr">
        <is>
          <t>Siva Thiagarajah</t>
        </is>
      </c>
      <c r="F30" s="9" t="inlineStr">
        <is>
          <t>Ezhuna (எழுநா)</t>
        </is>
      </c>
      <c r="G30" s="7" t="inlineStr">
        <is>
          <t>Online magazine article</t>
        </is>
      </c>
      <c r="H30" s="7" t="inlineStr">
        <is>
          <t>Tamil</t>
        </is>
      </c>
      <c r="I30" s="9" t="inlineStr">
        <is>
          <t>Archaeology / தொல்லியல்</t>
        </is>
      </c>
      <c r="J30" s="9" t="inlineStr">
        <is>
          <t>தொல்லியல்; prehistoric settlements</t>
        </is>
      </c>
      <c r="K30" s="7" t="inlineStr">
        <is>
          <t>Yes</t>
        </is>
      </c>
      <c r="L30" s="9" t="inlineStr">
        <is>
          <t>Series: Kantarodai civilization of ancient Jaffna</t>
        </is>
      </c>
      <c r="M30" s="10" t="inlineStr">
        <is>
          <t>https://www.ezhunaonline.com/primitive-settlements-in-the-northern-mainland-of-sri-lanka/</t>
        </is>
      </c>
    </row>
    <row r="31">
      <c r="A31" s="11" t="inlineStr">
        <is>
          <t>MG-0030</t>
        </is>
      </c>
      <c r="B31" s="12" t="inlineStr">
        <is>
          <t>2025</t>
        </is>
      </c>
      <c r="C31" s="11" t="inlineStr">
        <is>
          <t>2025-12-18</t>
        </is>
      </c>
      <c r="D31" s="13" t="inlineStr">
        <is>
          <t>இலங்கையில் ஆதி இரும்புக்காலமும் பெருங்கற் பண்பாடும் – பகுதி 3</t>
        </is>
      </c>
      <c r="E31" s="13" t="inlineStr">
        <is>
          <t>Siva Thiagarajah</t>
        </is>
      </c>
      <c r="F31" s="13" t="inlineStr">
        <is>
          <t>Ezhuna (எழுநா)</t>
        </is>
      </c>
      <c r="G31" s="11" t="inlineStr">
        <is>
          <t>Online magazine article</t>
        </is>
      </c>
      <c r="H31" s="11" t="inlineStr">
        <is>
          <t>Tamil</t>
        </is>
      </c>
      <c r="I31" s="13" t="inlineStr">
        <is>
          <t>Archaeology / தொல்லியல்</t>
        </is>
      </c>
      <c r="J31" s="13" t="inlineStr">
        <is>
          <t>megalithic; Iron Age</t>
        </is>
      </c>
      <c r="K31" s="11" t="inlineStr">
        <is>
          <t>Yes</t>
        </is>
      </c>
      <c r="L31" s="13" t="inlineStr">
        <is>
          <t>Series: Kantarodai civilization of ancient Jaffna</t>
        </is>
      </c>
      <c r="M31" s="14" t="inlineStr">
        <is>
          <t>https://www.ezhunaonline.com/early-iron-age-and-neolithic-culture-in-sri-lanka-part-3/</t>
        </is>
      </c>
    </row>
    <row r="32">
      <c r="A32" s="7" t="inlineStr">
        <is>
          <t>MG-0031</t>
        </is>
      </c>
      <c r="B32" s="8" t="inlineStr">
        <is>
          <t>2024</t>
        </is>
      </c>
      <c r="C32" s="7" t="inlineStr">
        <is>
          <t>2024-01-26</t>
        </is>
      </c>
      <c r="D32" s="9" t="inlineStr">
        <is>
          <t>கீழைக்கரையில் நாகரும் அனுரை அரசரும்</t>
        </is>
      </c>
      <c r="E32" s="9" t="inlineStr">
        <is>
          <t>Vivekanantharaja Thulanchanan</t>
        </is>
      </c>
      <c r="F32" s="9" t="inlineStr">
        <is>
          <t>Ezhuna (எழுநா)</t>
        </is>
      </c>
      <c r="G32" s="7" t="inlineStr">
        <is>
          <t>Online magazine article</t>
        </is>
      </c>
      <c r="H32" s="7" t="inlineStr">
        <is>
          <t>Tamil</t>
        </is>
      </c>
      <c r="I32" s="9" t="n"/>
      <c r="J32" s="9" t="inlineStr">
        <is>
          <t>Naga; East coast</t>
        </is>
      </c>
      <c r="K32" s="7" t="inlineStr">
        <is>
          <t>Yes</t>
        </is>
      </c>
      <c r="L32" s="9" t="inlineStr">
        <is>
          <t>Series: East coast of Sri Lanka - a historical perspective</t>
        </is>
      </c>
      <c r="M32" s="10" t="inlineStr">
        <is>
          <t>https://www.ezhunaonline.com/history-of-naga-and-anuradhapura-kings-in-eastern-srilanka/</t>
        </is>
      </c>
    </row>
    <row r="33">
      <c r="A33" s="11" t="inlineStr">
        <is>
          <t>MG-0032</t>
        </is>
      </c>
      <c r="B33" s="12" t="inlineStr">
        <is>
          <t>2024</t>
        </is>
      </c>
      <c r="C33" s="11" t="inlineStr">
        <is>
          <t>2024-02-21</t>
        </is>
      </c>
      <c r="D33" s="13" t="inlineStr">
        <is>
          <t>கீழைக்கரையின் முதல் அரசு : பத்து உடன்பிறந்தோர் குலம்!</t>
        </is>
      </c>
      <c r="E33" s="13" t="inlineStr">
        <is>
          <t>Vivekanantharaja Thulanchanan</t>
        </is>
      </c>
      <c r="F33" s="13" t="inlineStr">
        <is>
          <t>Ezhuna (எழுநா)</t>
        </is>
      </c>
      <c r="G33" s="11" t="inlineStr">
        <is>
          <t>Online magazine article</t>
        </is>
      </c>
      <c r="H33" s="11" t="inlineStr">
        <is>
          <t>Tamil</t>
        </is>
      </c>
      <c r="I33" s="13" t="inlineStr">
        <is>
          <t>Inscriptions / கல்வெட்டு; Brahmi / பிராமி</t>
        </is>
      </c>
      <c r="J33" s="13" t="inlineStr">
        <is>
          <t>East coast; Brahmi inscriptions</t>
        </is>
      </c>
      <c r="K33" s="11" t="inlineStr">
        <is>
          <t>Yes</t>
        </is>
      </c>
      <c r="L33" s="13" t="inlineStr">
        <is>
          <t>Series: East coast of Sri Lanka - a historical perspective</t>
        </is>
      </c>
      <c r="M33" s="14" t="inlineStr">
        <is>
          <t>https://www.ezhunaonline.com/the-first-ten-clans-of-eastern-sri-lanka/</t>
        </is>
      </c>
    </row>
    <row r="34">
      <c r="A34" s="7" t="inlineStr">
        <is>
          <t>MG-0033</t>
        </is>
      </c>
      <c r="B34" s="8" t="inlineStr">
        <is>
          <t>2024</t>
        </is>
      </c>
      <c r="C34" s="7" t="inlineStr">
        <is>
          <t>2024-02-28</t>
        </is>
      </c>
      <c r="D34" s="9" t="inlineStr">
        <is>
          <t>2000 ஆண்டுகளுக்கு முற்பட்ட பிராமிக் கல்வெட்டுகள் : ஓர் அறிமுகம் – பகுதி 1</t>
        </is>
      </c>
      <c r="E34" s="9" t="inlineStr">
        <is>
          <t>N. K. S. Thiruchelvam</t>
        </is>
      </c>
      <c r="F34" s="9" t="inlineStr">
        <is>
          <t>Ezhuna (எழுநா)</t>
        </is>
      </c>
      <c r="G34" s="7" t="inlineStr">
        <is>
          <t>Online magazine article</t>
        </is>
      </c>
      <c r="H34" s="7" t="inlineStr">
        <is>
          <t>Tamil</t>
        </is>
      </c>
      <c r="I34" s="9" t="inlineStr">
        <is>
          <t>Inscriptions / கல்வெட்டு; Brahmi / பிராமி</t>
        </is>
      </c>
      <c r="J34" s="9" t="inlineStr">
        <is>
          <t>பிராமி; introduction</t>
        </is>
      </c>
      <c r="K34" s="7" t="inlineStr">
        <is>
          <t>Yes</t>
        </is>
      </c>
      <c r="L34" s="9" t="inlineStr">
        <is>
          <t>Series: Naga people in Sri Lankan Brahmi inscriptions</t>
        </is>
      </c>
      <c r="M34" s="10" t="inlineStr">
        <is>
          <t>https://www.ezhunaonline.com/an-introduction-to-brahmi-inscriptions-in-sri-lanka/</t>
        </is>
      </c>
    </row>
    <row r="35">
      <c r="A35" s="11" t="inlineStr">
        <is>
          <t>MG-0034</t>
        </is>
      </c>
      <c r="B35" s="12" t="inlineStr">
        <is>
          <t>2024</t>
        </is>
      </c>
      <c r="C35" s="11" t="inlineStr">
        <is>
          <t>2024-03-19</t>
        </is>
      </c>
      <c r="D35" s="13" t="inlineStr">
        <is>
          <t>நாகசேனன் பற்றிக் குறிப்பிடும் சித்துள்பவ்வ கல்வெட்டுகள்</t>
        </is>
      </c>
      <c r="E35" s="13" t="inlineStr">
        <is>
          <t>N. K. S. Thiruchelvam</t>
        </is>
      </c>
      <c r="F35" s="13" t="inlineStr">
        <is>
          <t>Ezhuna (எழுநா)</t>
        </is>
      </c>
      <c r="G35" s="11" t="inlineStr">
        <is>
          <t>Online magazine article</t>
        </is>
      </c>
      <c r="H35" s="11" t="inlineStr">
        <is>
          <t>Tamil</t>
        </is>
      </c>
      <c r="I35" s="13" t="inlineStr">
        <is>
          <t>Inscriptions / கல்வெட்டு</t>
        </is>
      </c>
      <c r="J35" s="13" t="inlineStr">
        <is>
          <t>கல்வெட்டு; Situlpahuwa</t>
        </is>
      </c>
      <c r="K35" s="11" t="inlineStr">
        <is>
          <t>Yes</t>
        </is>
      </c>
      <c r="L35" s="13" t="inlineStr">
        <is>
          <t>Series: Naga people in Sri Lankan Brahmi inscriptions</t>
        </is>
      </c>
      <c r="M35" s="14" t="inlineStr">
        <is>
          <t>https://www.ezhunaonline.com/tamil-brahmi-inscription-in-ambanthotta-2/</t>
        </is>
      </c>
    </row>
    <row r="36">
      <c r="A36" s="7" t="inlineStr">
        <is>
          <t>MG-0035</t>
        </is>
      </c>
      <c r="B36" s="8" t="inlineStr">
        <is>
          <t>2024</t>
        </is>
      </c>
      <c r="C36" s="7" t="inlineStr">
        <is>
          <t>2024-03-22</t>
        </is>
      </c>
      <c r="D36" s="9" t="inlineStr">
        <is>
          <t>கீழைக்கரை : துட்டகாமணி முதல் வட்டகாமணி வரை</t>
        </is>
      </c>
      <c r="E36" s="9" t="inlineStr">
        <is>
          <t>Vivekanantharaja Thulanchanan</t>
        </is>
      </c>
      <c r="F36" s="9" t="inlineStr">
        <is>
          <t>Ezhuna (எழுநா)</t>
        </is>
      </c>
      <c r="G36" s="7" t="inlineStr">
        <is>
          <t>Online magazine article</t>
        </is>
      </c>
      <c r="H36" s="7" t="inlineStr">
        <is>
          <t>Tamil</t>
        </is>
      </c>
      <c r="I36" s="9" t="n"/>
      <c r="J36" s="9" t="inlineStr">
        <is>
          <t>East coast; history</t>
        </is>
      </c>
      <c r="K36" s="7" t="inlineStr">
        <is>
          <t>Yes</t>
        </is>
      </c>
      <c r="L36" s="9" t="inlineStr">
        <is>
          <t>Series: East coast of Sri Lanka - a historical perspective</t>
        </is>
      </c>
      <c r="M36" s="10" t="inlineStr">
        <is>
          <t>https://www.ezhunaonline.com/from-vattagamini-to-vattagamini/</t>
        </is>
      </c>
    </row>
    <row r="37">
      <c r="A37" s="11" t="inlineStr">
        <is>
          <t>MG-0036</t>
        </is>
      </c>
      <c r="B37" s="12" t="inlineStr">
        <is>
          <t>2024</t>
        </is>
      </c>
      <c r="C37" s="11" t="inlineStr">
        <is>
          <t>2024-04-12</t>
        </is>
      </c>
      <c r="D37" s="13" t="inlineStr">
        <is>
          <t>வடக்கு மாகாணத்தில் நாகர்</t>
        </is>
      </c>
      <c r="E37" s="13" t="inlineStr">
        <is>
          <t>N. K. S. Thiruchelvam</t>
        </is>
      </c>
      <c r="F37" s="13" t="inlineStr">
        <is>
          <t>Ezhuna (எழுநா)</t>
        </is>
      </c>
      <c r="G37" s="11" t="inlineStr">
        <is>
          <t>Online magazine article</t>
        </is>
      </c>
      <c r="H37" s="11" t="inlineStr">
        <is>
          <t>Tamil</t>
        </is>
      </c>
      <c r="I37" s="13" t="n"/>
      <c r="J37" s="13" t="inlineStr">
        <is>
          <t>Naga; Northern Province</t>
        </is>
      </c>
      <c r="K37" s="11" t="inlineStr">
        <is>
          <t>Yes</t>
        </is>
      </c>
      <c r="L37" s="13" t="inlineStr">
        <is>
          <t>Series: Naga people in Sri Lankan Brahmi inscriptions</t>
        </is>
      </c>
      <c r="M37" s="14" t="inlineStr">
        <is>
          <t>https://www.ezhunaonline.com/history-of-nagar-in-northern-sri-lanka/</t>
        </is>
      </c>
    </row>
    <row r="38">
      <c r="A38" s="7" t="inlineStr">
        <is>
          <t>MG-0037</t>
        </is>
      </c>
      <c r="B38" s="8" t="inlineStr">
        <is>
          <t>2024</t>
        </is>
      </c>
      <c r="C38" s="7" t="inlineStr">
        <is>
          <t>2024-04-15</t>
        </is>
      </c>
      <c r="D38" s="9" t="inlineStr">
        <is>
          <t>மகாசேனன் காலம் வரை கிழக்கு உரோகணம்</t>
        </is>
      </c>
      <c r="E38" s="9" t="inlineStr">
        <is>
          <t>Vivekanantharaja Thulanchanan</t>
        </is>
      </c>
      <c r="F38" s="9" t="inlineStr">
        <is>
          <t>Ezhuna (எழுநா)</t>
        </is>
      </c>
      <c r="G38" s="7" t="inlineStr">
        <is>
          <t>Online magazine article</t>
        </is>
      </c>
      <c r="H38" s="7" t="inlineStr">
        <is>
          <t>Tamil</t>
        </is>
      </c>
      <c r="I38" s="9" t="n"/>
      <c r="J38" s="9" t="inlineStr">
        <is>
          <t>East coast; Ruhuna</t>
        </is>
      </c>
      <c r="K38" s="7" t="inlineStr">
        <is>
          <t>Yes</t>
        </is>
      </c>
      <c r="L38" s="9" t="inlineStr">
        <is>
          <t>Series: East coast of Sri Lanka - a historical perspective</t>
        </is>
      </c>
      <c r="M38" s="10" t="inlineStr">
        <is>
          <t>https://www.ezhunaonline.com/eastern-ruhunu-until-the-period-of-mahasenan/</t>
        </is>
      </c>
    </row>
    <row r="39">
      <c r="A39" s="11" t="inlineStr">
        <is>
          <t>MG-0038</t>
        </is>
      </c>
      <c r="B39" s="12" t="inlineStr">
        <is>
          <t>2024</t>
        </is>
      </c>
      <c r="C39" s="11" t="inlineStr">
        <is>
          <t>2024-04-25</t>
        </is>
      </c>
      <c r="D39" s="13" t="inlineStr">
        <is>
          <t>மிகுந்தலையில் நாக வழிபாடும், நாகர் பற்றிய பிராமிக் கல்வெட்டுகளும்</t>
        </is>
      </c>
      <c r="E39" s="13" t="inlineStr">
        <is>
          <t>N. K. S. Thiruchelvam</t>
        </is>
      </c>
      <c r="F39" s="13" t="inlineStr">
        <is>
          <t>Ezhuna (எழுநா)</t>
        </is>
      </c>
      <c r="G39" s="11" t="inlineStr">
        <is>
          <t>Online magazine article</t>
        </is>
      </c>
      <c r="H39" s="11" t="inlineStr">
        <is>
          <t>Tamil</t>
        </is>
      </c>
      <c r="I39" s="13" t="inlineStr">
        <is>
          <t>Inscriptions / கல்வெட்டு; Brahmi / பிராமி</t>
        </is>
      </c>
      <c r="J39" s="13" t="inlineStr">
        <is>
          <t>பிராமி; Mihintale</t>
        </is>
      </c>
      <c r="K39" s="11" t="inlineStr">
        <is>
          <t>Yes</t>
        </is>
      </c>
      <c r="L39" s="13" t="inlineStr">
        <is>
          <t>Series: Naga people in Sri Lankan Brahmi inscriptions</t>
        </is>
      </c>
      <c r="M39" s="14" t="inlineStr">
        <is>
          <t>https://www.ezhunaonline.com/naga-culture-in-mihintala-anuradhapura/</t>
        </is>
      </c>
    </row>
    <row r="40">
      <c r="A40" s="7" t="inlineStr">
        <is>
          <t>MG-0039</t>
        </is>
      </c>
      <c r="B40" s="8" t="inlineStr">
        <is>
          <t>2024</t>
        </is>
      </c>
      <c r="C40" s="7" t="inlineStr">
        <is>
          <t>2024-05-09</t>
        </is>
      </c>
      <c r="D40" s="9" t="inlineStr">
        <is>
          <t>நாக யுவராஜனின் தவறான சமய நம்பிக்கை பற்றிக் குறிப்பிடும் திஸ்ஸமகராம கல்வெட்டு</t>
        </is>
      </c>
      <c r="E40" s="9" t="inlineStr">
        <is>
          <t>N. K. S. Thiruchelvam</t>
        </is>
      </c>
      <c r="F40" s="9" t="inlineStr">
        <is>
          <t>Ezhuna (எழுநா)</t>
        </is>
      </c>
      <c r="G40" s="7" t="inlineStr">
        <is>
          <t>Online magazine article</t>
        </is>
      </c>
      <c r="H40" s="7" t="inlineStr">
        <is>
          <t>Tamil</t>
        </is>
      </c>
      <c r="I40" s="9" t="inlineStr">
        <is>
          <t>Inscriptions / கல்வெட்டு</t>
        </is>
      </c>
      <c r="J40" s="9" t="inlineStr">
        <is>
          <t>கல்வெட்டு; Tissamaharama</t>
        </is>
      </c>
      <c r="K40" s="7" t="inlineStr">
        <is>
          <t>Yes</t>
        </is>
      </c>
      <c r="L40" s="9" t="inlineStr">
        <is>
          <t>Series: Naga people in Sri Lankan Brahmi inscriptions</t>
        </is>
      </c>
      <c r="M40" s="10" t="inlineStr">
        <is>
          <t>https://www.ezhunaonline.com/thissamaharama-inscription/</t>
        </is>
      </c>
    </row>
    <row r="41">
      <c r="A41" s="11" t="inlineStr">
        <is>
          <t>MG-0040</t>
        </is>
      </c>
      <c r="B41" s="12" t="inlineStr">
        <is>
          <t>2024</t>
        </is>
      </c>
      <c r="C41" s="11" t="inlineStr">
        <is>
          <t>2024-05-11</t>
        </is>
      </c>
      <c r="D41" s="13" t="inlineStr">
        <is>
          <t>நாக இனக் குழுவும் இலங்கைத் தமிழரும் : அண்மைக்காலத் தொல்லியல் ஆய்வுகளை அடிப்படையாகக் கொண்ட ஆய்வு – பகுதி 1</t>
        </is>
      </c>
      <c r="E41" s="13" t="inlineStr">
        <is>
          <t>பரமு புஷ்பரட்ணம்</t>
        </is>
      </c>
      <c r="F41" s="13" t="inlineStr">
        <is>
          <t>Ezhuna (எழுநா)</t>
        </is>
      </c>
      <c r="G41" s="11" t="inlineStr">
        <is>
          <t>Online magazine article</t>
        </is>
      </c>
      <c r="H41" s="11" t="inlineStr">
        <is>
          <t>Tamil</t>
        </is>
      </c>
      <c r="I41" s="13" t="inlineStr">
        <is>
          <t>Archaeology / தொல்லியல்</t>
        </is>
      </c>
      <c r="J41" s="13" t="inlineStr">
        <is>
          <t>தொல்லியல்</t>
        </is>
      </c>
      <c r="K41" s="11" t="inlineStr">
        <is>
          <t>Yes</t>
        </is>
      </c>
      <c r="L41" s="13" t="inlineStr">
        <is>
          <t>Auto-collected 2026-10-14 (ezhuna); review.</t>
        </is>
      </c>
      <c r="M41" s="14" t="inlineStr">
        <is>
          <t>https://www.ezhunaonline.com/archaeological-reseachers-of-nagar-in-sri-lanka/</t>
        </is>
      </c>
    </row>
    <row r="42">
      <c r="A42" s="7" t="inlineStr">
        <is>
          <t>MG-0041</t>
        </is>
      </c>
      <c r="B42" s="8" t="inlineStr">
        <is>
          <t>2024</t>
        </is>
      </c>
      <c r="C42" s="7" t="inlineStr">
        <is>
          <t>2024-05-16</t>
        </is>
      </c>
      <c r="D42" s="9" t="inlineStr">
        <is>
          <t>நாக இனக் குழுவும் இலங்கைத் தமிழரும் – பகுதி 2</t>
        </is>
      </c>
      <c r="E42" s="9" t="inlineStr">
        <is>
          <t>பரமு புஷ்பரட்ணம்</t>
        </is>
      </c>
      <c r="F42" s="9" t="inlineStr">
        <is>
          <t>Ezhuna (எழுநா)</t>
        </is>
      </c>
      <c r="G42" s="7" t="inlineStr">
        <is>
          <t>Online magazine article</t>
        </is>
      </c>
      <c r="H42" s="7" t="inlineStr">
        <is>
          <t>Tamil</t>
        </is>
      </c>
      <c r="I42" s="9" t="n"/>
      <c r="J42" s="9" t="n"/>
      <c r="K42" s="7" t="inlineStr">
        <is>
          <t>Yes</t>
        </is>
      </c>
      <c r="L42" s="9" t="inlineStr">
        <is>
          <t>Auto-collected 2026-10-14 (ezhuna); review.</t>
        </is>
      </c>
      <c r="M42" s="10" t="inlineStr">
        <is>
          <t>https://www.ezhunaonline.com/nagar-culture-in-sri-lankan-history-part-2/</t>
        </is>
      </c>
    </row>
    <row r="43">
      <c r="A43" s="11" t="inlineStr">
        <is>
          <t>MG-0042</t>
        </is>
      </c>
      <c r="B43" s="12" t="inlineStr">
        <is>
          <t>2024</t>
        </is>
      </c>
      <c r="C43" s="11" t="inlineStr">
        <is>
          <t>2024-05-28</t>
        </is>
      </c>
      <c r="D43" s="13" t="inlineStr">
        <is>
          <t>பிதுரங்கல பிராமிக் கல்வெட்டுகளில் நாகர்</t>
        </is>
      </c>
      <c r="E43" s="13" t="inlineStr">
        <is>
          <t>N. K. S. Thiruchelvam</t>
        </is>
      </c>
      <c r="F43" s="13" t="inlineStr">
        <is>
          <t>Ezhuna (எழுநா)</t>
        </is>
      </c>
      <c r="G43" s="11" t="inlineStr">
        <is>
          <t>Online magazine article</t>
        </is>
      </c>
      <c r="H43" s="11" t="inlineStr">
        <is>
          <t>Tamil</t>
        </is>
      </c>
      <c r="I43" s="13" t="inlineStr">
        <is>
          <t>Inscriptions / கல்வெட்டு; Brahmi / பிராமி</t>
        </is>
      </c>
      <c r="J43" s="13" t="inlineStr">
        <is>
          <t>பிராமி; Pidurangala</t>
        </is>
      </c>
      <c r="K43" s="11" t="inlineStr">
        <is>
          <t>Yes</t>
        </is>
      </c>
      <c r="L43" s="13" t="inlineStr">
        <is>
          <t>Series: Naga people in Sri Lankan Brahmi inscriptions</t>
        </is>
      </c>
      <c r="M43" s="14" t="inlineStr">
        <is>
          <t>https://www.ezhunaonline.com/pidurangala-bhirami-inscription/</t>
        </is>
      </c>
    </row>
    <row r="44">
      <c r="A44" s="7" t="inlineStr">
        <is>
          <t>MG-0043</t>
        </is>
      </c>
      <c r="B44" s="8" t="inlineStr">
        <is>
          <t>2024</t>
        </is>
      </c>
      <c r="C44" s="7" t="inlineStr">
        <is>
          <t>2024-06-02</t>
        </is>
      </c>
      <c r="D44" s="9" t="inlineStr">
        <is>
          <t>மண்முனையில் பற்சின்னம் கொணர்ந்தவளும் மல்வத்தையில் புத்தர் சிலை அமைத்தவனும்</t>
        </is>
      </c>
      <c r="E44" s="9" t="inlineStr">
        <is>
          <t>Vivekanantharaja Thulanchanan</t>
        </is>
      </c>
      <c r="F44" s="9" t="inlineStr">
        <is>
          <t>Ezhuna (எழுநா)</t>
        </is>
      </c>
      <c r="G44" s="7" t="inlineStr">
        <is>
          <t>Online magazine article</t>
        </is>
      </c>
      <c r="H44" s="7" t="inlineStr">
        <is>
          <t>Tamil</t>
        </is>
      </c>
      <c r="I44" s="9" t="n"/>
      <c r="J44" s="9" t="inlineStr">
        <is>
          <t>East coast; history</t>
        </is>
      </c>
      <c r="K44" s="7" t="inlineStr">
        <is>
          <t>Yes</t>
        </is>
      </c>
      <c r="L44" s="9" t="inlineStr">
        <is>
          <t>Series: East coast of Sri Lanka - a historical perspective</t>
        </is>
      </c>
      <c r="M44" s="10" t="inlineStr">
        <is>
          <t>https://www.ezhunaonline.com/sri-lanka-eastern-province-ancient-history/</t>
        </is>
      </c>
    </row>
    <row r="45">
      <c r="A45" s="11" t="inlineStr">
        <is>
          <t>MG-0044</t>
        </is>
      </c>
      <c r="B45" s="12" t="inlineStr">
        <is>
          <t>2024</t>
        </is>
      </c>
      <c r="C45" s="11" t="inlineStr">
        <is>
          <t>2024-06-07</t>
        </is>
      </c>
      <c r="D45" s="13" t="inlineStr">
        <is>
          <t>இலங்கையில் தமிழ் அரச மரபின் தோற்றத்தை அடையாளப்படுத்திக் காட்டும் பிராமிச் சாசனங்கள்</t>
        </is>
      </c>
      <c r="E45" s="13" t="inlineStr">
        <is>
          <t>பரமு புஷ்பரட்ணம்</t>
        </is>
      </c>
      <c r="F45" s="13" t="inlineStr">
        <is>
          <t>Ezhuna (எழுநா)</t>
        </is>
      </c>
      <c r="G45" s="11" t="inlineStr">
        <is>
          <t>Online magazine article</t>
        </is>
      </c>
      <c r="H45" s="11" t="inlineStr">
        <is>
          <t>Tamil</t>
        </is>
      </c>
      <c r="I45" s="13" t="inlineStr">
        <is>
          <t>Inscriptions / கல்வெட்டு; Brahmi / பிராமி</t>
        </is>
      </c>
      <c r="J45" s="13" t="inlineStr">
        <is>
          <t>பிராமி</t>
        </is>
      </c>
      <c r="K45" s="11" t="inlineStr">
        <is>
          <t>Yes</t>
        </is>
      </c>
      <c r="L45" s="13" t="inlineStr">
        <is>
          <t>Auto-collected 2026-10-14 (ezhuna); review.</t>
        </is>
      </c>
      <c r="M45" s="14" t="inlineStr">
        <is>
          <t>https://www.ezhunaonline.com/brahmi-inscription-about-sri-lankan-kingdoms/</t>
        </is>
      </c>
    </row>
    <row r="46">
      <c r="A46" s="7" t="inlineStr">
        <is>
          <t>MG-0045</t>
        </is>
      </c>
      <c r="B46" s="8" t="inlineStr">
        <is>
          <t>2024</t>
        </is>
      </c>
      <c r="C46" s="7" t="inlineStr">
        <is>
          <t>2024-06-27</t>
        </is>
      </c>
      <c r="D46" s="9" t="inlineStr">
        <is>
          <t>பொற்கொல்லன் நாகன் பற்றிக் கூறும் அனுராதபுரம் – வெஸ்ஸகிரி கல்வெட்டுகள்</t>
        </is>
      </c>
      <c r="E46" s="9" t="inlineStr">
        <is>
          <t>N. K. S. Thiruchelvam</t>
        </is>
      </c>
      <c r="F46" s="9" t="inlineStr">
        <is>
          <t>Ezhuna (எழுநா)</t>
        </is>
      </c>
      <c r="G46" s="7" t="inlineStr">
        <is>
          <t>Online magazine article</t>
        </is>
      </c>
      <c r="H46" s="7" t="inlineStr">
        <is>
          <t>Tamil</t>
        </is>
      </c>
      <c r="I46" s="9" t="inlineStr">
        <is>
          <t>Inscriptions / கல்வெட்டு</t>
        </is>
      </c>
      <c r="J46" s="9" t="inlineStr">
        <is>
          <t>கல்வெட்டு; Vessagiri; Anuradhapura</t>
        </is>
      </c>
      <c r="K46" s="7" t="inlineStr">
        <is>
          <t>Yes</t>
        </is>
      </c>
      <c r="L46" s="9" t="inlineStr">
        <is>
          <t>Series: Naga people in Sri Lankan Brahmi inscriptions</t>
        </is>
      </c>
      <c r="M46" s="10" t="inlineStr">
        <is>
          <t>https://www.ezhunaonline.com/vessagiriya-inscription-that-tells-about-naga-blacksmith/</t>
        </is>
      </c>
    </row>
    <row r="47">
      <c r="A47" s="11" t="inlineStr">
        <is>
          <t>MG-0046</t>
        </is>
      </c>
      <c r="B47" s="12" t="inlineStr">
        <is>
          <t>2024</t>
        </is>
      </c>
      <c r="C47" s="11" t="inlineStr">
        <is>
          <t>2024-06-28</t>
        </is>
      </c>
      <c r="D47" s="13" t="inlineStr">
        <is>
          <t>அக்கபோதியின் மனைவி : அக்கபோதி கவர்ந்து சென்ற அக்கபோதியின் மகள்</t>
        </is>
      </c>
      <c r="E47" s="13" t="inlineStr">
        <is>
          <t>Vivekanantharaja Thulanchanan</t>
        </is>
      </c>
      <c r="F47" s="13" t="inlineStr">
        <is>
          <t>Ezhuna (எழுநா)</t>
        </is>
      </c>
      <c r="G47" s="11" t="inlineStr">
        <is>
          <t>Online magazine article</t>
        </is>
      </c>
      <c r="H47" s="11" t="inlineStr">
        <is>
          <t>Tamil</t>
        </is>
      </c>
      <c r="I47" s="13" t="n"/>
      <c r="J47" s="13" t="inlineStr">
        <is>
          <t>East coast; history</t>
        </is>
      </c>
      <c r="K47" s="11" t="inlineStr">
        <is>
          <t>Yes</t>
        </is>
      </c>
      <c r="L47" s="13" t="inlineStr">
        <is>
          <t>Series: East coast of Sri Lanka - a historical perspective</t>
        </is>
      </c>
      <c r="M47" s="14" t="inlineStr">
        <is>
          <t>https://www.ezhunaonline.com/the-wife-of-akkapothi-sri-lankan-eastern-history/</t>
        </is>
      </c>
    </row>
    <row r="48">
      <c r="A48" s="7" t="inlineStr">
        <is>
          <t>MG-0047</t>
        </is>
      </c>
      <c r="B48" s="8" t="inlineStr">
        <is>
          <t>2024</t>
        </is>
      </c>
      <c r="C48" s="7" t="inlineStr">
        <is>
          <t>2024-07-14</t>
        </is>
      </c>
      <c r="D48" s="9" t="inlineStr">
        <is>
          <t>தமிழ் மன்னன் திரிதரனின் மகன் மகாநாகன் பொறித்த கதிர்காமக் கல்வெட்டு</t>
        </is>
      </c>
      <c r="E48" s="9" t="inlineStr">
        <is>
          <t>N. K. S. Thiruchelvam</t>
        </is>
      </c>
      <c r="F48" s="9" t="inlineStr">
        <is>
          <t>Ezhuna (எழுநா)</t>
        </is>
      </c>
      <c r="G48" s="7" t="inlineStr">
        <is>
          <t>Online magazine article</t>
        </is>
      </c>
      <c r="H48" s="7" t="inlineStr">
        <is>
          <t>Tamil</t>
        </is>
      </c>
      <c r="I48" s="9" t="inlineStr">
        <is>
          <t>Inscriptions / கல்வெட்டு</t>
        </is>
      </c>
      <c r="J48" s="9" t="inlineStr">
        <is>
          <t>கல்வெட்டு; Kataragama</t>
        </is>
      </c>
      <c r="K48" s="7" t="inlineStr">
        <is>
          <t>Yes</t>
        </is>
      </c>
      <c r="L48" s="9" t="inlineStr">
        <is>
          <t>Series: Naga people in Sri Lankan Brahmi inscriptions</t>
        </is>
      </c>
      <c r="M48" s="10" t="inlineStr">
        <is>
          <t>https://www.ezhunaonline.com/kathirgamam-inscription-by-tamil-king-maha-nagan/</t>
        </is>
      </c>
    </row>
    <row r="49">
      <c r="A49" s="11" t="inlineStr">
        <is>
          <t>MG-0048</t>
        </is>
      </c>
      <c r="B49" s="12" t="inlineStr">
        <is>
          <t>2024</t>
        </is>
      </c>
      <c r="C49" s="11" t="inlineStr">
        <is>
          <t>2024-07-29</t>
        </is>
      </c>
      <c r="D49" s="13" t="inlineStr">
        <is>
          <t>சித்தர் மலைப்பகுதியில் நாக மகாராஜன் செய்த பணிகள் பற்றிக் குறிப்பிடும் கல்வெட்டு</t>
        </is>
      </c>
      <c r="E49" s="13" t="inlineStr">
        <is>
          <t>N. K. S. Thiruchelvam</t>
        </is>
      </c>
      <c r="F49" s="13" t="inlineStr">
        <is>
          <t>Ezhuna (எழுநா)</t>
        </is>
      </c>
      <c r="G49" s="11" t="inlineStr">
        <is>
          <t>Online magazine article</t>
        </is>
      </c>
      <c r="H49" s="11" t="inlineStr">
        <is>
          <t>Tamil</t>
        </is>
      </c>
      <c r="I49" s="13" t="inlineStr">
        <is>
          <t>Inscriptions / கல்வெட்டு</t>
        </is>
      </c>
      <c r="J49" s="13" t="inlineStr">
        <is>
          <t>கல்வெட்டு; Siththar malai</t>
        </is>
      </c>
      <c r="K49" s="11" t="inlineStr">
        <is>
          <t>Yes</t>
        </is>
      </c>
      <c r="L49" s="13" t="inlineStr">
        <is>
          <t>Series: Naga people in Sri Lankan Brahmi inscriptions</t>
        </is>
      </c>
      <c r="M49" s="14" t="inlineStr">
        <is>
          <t>https://www.ezhunaonline.com/siththar-rock-inscription-which-tell-about-maharajan/</t>
        </is>
      </c>
    </row>
    <row r="50">
      <c r="A50" s="7" t="inlineStr">
        <is>
          <t>MG-0049</t>
        </is>
      </c>
      <c r="B50" s="8" t="inlineStr">
        <is>
          <t>2024</t>
        </is>
      </c>
      <c r="C50" s="7" t="inlineStr">
        <is>
          <t>2024-07-30</t>
        </is>
      </c>
      <c r="D50" s="9" t="inlineStr">
        <is>
          <t>இறக்காமம் : அனுராதபுரச் சேனாதிபதி அரக்கனுக்காக வரி விலக்கப்பட்ட ஊர்</t>
        </is>
      </c>
      <c r="E50" s="9" t="inlineStr">
        <is>
          <t>Vivekanantharaja Thulanchanan</t>
        </is>
      </c>
      <c r="F50" s="9" t="inlineStr">
        <is>
          <t>Ezhuna (எழுநா)</t>
        </is>
      </c>
      <c r="G50" s="7" t="inlineStr">
        <is>
          <t>Online magazine article</t>
        </is>
      </c>
      <c r="H50" s="7" t="inlineStr">
        <is>
          <t>Tamil</t>
        </is>
      </c>
      <c r="I50" s="9" t="inlineStr">
        <is>
          <t>Inscriptions / கல்வெட்டு</t>
        </is>
      </c>
      <c r="J50" s="9" t="inlineStr">
        <is>
          <t>கல்வெட்டு; Irakkamam</t>
        </is>
      </c>
      <c r="K50" s="7" t="inlineStr">
        <is>
          <t>Yes</t>
        </is>
      </c>
      <c r="L50" s="9" t="inlineStr">
        <is>
          <t>Series: East coast of Sri Lanka - a historical perspective</t>
        </is>
      </c>
      <c r="M50" s="10" t="inlineStr">
        <is>
          <t>https://www.ezhunaonline.com/irakkamam-a-tax-free-village-for-anuradhapura-commander/</t>
        </is>
      </c>
    </row>
    <row r="51">
      <c r="A51" s="11" t="inlineStr">
        <is>
          <t>MG-0050</t>
        </is>
      </c>
      <c r="B51" s="12" t="inlineStr">
        <is>
          <t>2024</t>
        </is>
      </c>
      <c r="C51" s="11" t="inlineStr">
        <is>
          <t>2024-08-04</t>
        </is>
      </c>
      <c r="D51" s="13" t="inlineStr">
        <is>
          <t>தொல்லியல் நோக்கில் கதிரமலை அரசு</t>
        </is>
      </c>
      <c r="E51" s="13" t="inlineStr">
        <is>
          <t>பரமு புஷ்பரட்ணம்</t>
        </is>
      </c>
      <c r="F51" s="13" t="inlineStr">
        <is>
          <t>Ezhuna (எழுநா)</t>
        </is>
      </c>
      <c r="G51" s="11" t="inlineStr">
        <is>
          <t>Online magazine article</t>
        </is>
      </c>
      <c r="H51" s="11" t="inlineStr">
        <is>
          <t>Tamil</t>
        </is>
      </c>
      <c r="I51" s="13" t="inlineStr">
        <is>
          <t>Archaeology / தொல்லியல்</t>
        </is>
      </c>
      <c r="J51" s="13" t="inlineStr">
        <is>
          <t>தொல்லியல்</t>
        </is>
      </c>
      <c r="K51" s="11" t="inlineStr">
        <is>
          <t>Yes</t>
        </is>
      </c>
      <c r="L51" s="13" t="inlineStr">
        <is>
          <t>Auto-collected 2026-10-14 (ezhuna); review.</t>
        </is>
      </c>
      <c r="M51" s="14" t="inlineStr">
        <is>
          <t>https://www.ezhunaonline.com/archaeological-view-of-kathiramalai-kingdom/</t>
        </is>
      </c>
    </row>
    <row r="52">
      <c r="A52" s="7" t="inlineStr">
        <is>
          <t>MG-0051</t>
        </is>
      </c>
      <c r="B52" s="8" t="inlineStr">
        <is>
          <t>2024</t>
        </is>
      </c>
      <c r="C52" s="7" t="inlineStr">
        <is>
          <t>2024-08-13</t>
        </is>
      </c>
      <c r="D52" s="9" t="inlineStr">
        <is>
          <t>நாகசிவன், நாகவிய, நாகப்ப சவிய ஆகியவை பற்றிக் குறிப்பிடும் பண்டகிரிய கல்வெட்டு</t>
        </is>
      </c>
      <c r="E52" s="9" t="inlineStr">
        <is>
          <t>N. K. S. Thiruchelvam</t>
        </is>
      </c>
      <c r="F52" s="9" t="inlineStr">
        <is>
          <t>Ezhuna (எழுநா)</t>
        </is>
      </c>
      <c r="G52" s="7" t="inlineStr">
        <is>
          <t>Online magazine article</t>
        </is>
      </c>
      <c r="H52" s="7" t="inlineStr">
        <is>
          <t>Tamil</t>
        </is>
      </c>
      <c r="I52" s="9" t="inlineStr">
        <is>
          <t>Inscriptions / கல்வெட்டு</t>
        </is>
      </c>
      <c r="J52" s="9" t="inlineStr">
        <is>
          <t>கல்வெட்டு; Pandagiriya</t>
        </is>
      </c>
      <c r="K52" s="7" t="inlineStr">
        <is>
          <t>Yes</t>
        </is>
      </c>
      <c r="L52" s="9" t="inlineStr">
        <is>
          <t>Series: Naga people in Sri Lankan Brahmi inscriptions</t>
        </is>
      </c>
      <c r="M52" s="10" t="inlineStr">
        <is>
          <t>https://www.ezhunaonline.com/pandakiriya-inscription/</t>
        </is>
      </c>
    </row>
    <row r="53">
      <c r="A53" s="11" t="inlineStr">
        <is>
          <t>MG-0052</t>
        </is>
      </c>
      <c r="B53" s="12" t="inlineStr">
        <is>
          <t>2024</t>
        </is>
      </c>
      <c r="C53" s="11" t="inlineStr">
        <is>
          <t>2024-08-23</t>
        </is>
      </c>
      <c r="D53" s="13" t="inlineStr">
        <is>
          <t>யுவராஜன் நாகனின் கொள்ளுப் பேரன் இளவரசன் நாகன் பற்றிக் குறிப்பிடும் படர்கல் மலைக் கல்வெட்டு</t>
        </is>
      </c>
      <c r="E53" s="13" t="inlineStr">
        <is>
          <t>N. K. S. Thiruchelvam</t>
        </is>
      </c>
      <c r="F53" s="13" t="inlineStr">
        <is>
          <t>Ezhuna (எழுநா)</t>
        </is>
      </c>
      <c r="G53" s="11" t="inlineStr">
        <is>
          <t>Online magazine article</t>
        </is>
      </c>
      <c r="H53" s="11" t="inlineStr">
        <is>
          <t>Tamil</t>
        </is>
      </c>
      <c r="I53" s="13" t="inlineStr">
        <is>
          <t>Inscriptions / கல்வெட்டு</t>
        </is>
      </c>
      <c r="J53" s="13" t="inlineStr">
        <is>
          <t>கல்வெட்டு; Padarkal malai</t>
        </is>
      </c>
      <c r="K53" s="11" t="inlineStr">
        <is>
          <t>Yes</t>
        </is>
      </c>
      <c r="L53" s="13" t="inlineStr">
        <is>
          <t>Series: Naga people in Sri Lankan Brahmi inscriptions</t>
        </is>
      </c>
      <c r="M53" s="14" t="inlineStr">
        <is>
          <t>https://www.ezhunaonline.com/padarkal-malai-inscrption/</t>
        </is>
      </c>
    </row>
    <row r="54">
      <c r="A54" s="7" t="inlineStr">
        <is>
          <t>MG-0053</t>
        </is>
      </c>
      <c r="B54" s="8" t="inlineStr">
        <is>
          <t>2024</t>
        </is>
      </c>
      <c r="C54" s="7" t="inlineStr">
        <is>
          <t>2024-09-11</t>
        </is>
      </c>
      <c r="D54" s="9" t="inlineStr">
        <is>
          <t>மகா நாக மன்னன் பற்றிக் குறிப்பிடும் வேலோடும் மலை – நாகமலைக் கல்வெட்டு</t>
        </is>
      </c>
      <c r="E54" s="9" t="inlineStr">
        <is>
          <t>N. K. S. Thiruchelvam</t>
        </is>
      </c>
      <c r="F54" s="9" t="inlineStr">
        <is>
          <t>Ezhuna (எழுநா)</t>
        </is>
      </c>
      <c r="G54" s="7" t="inlineStr">
        <is>
          <t>Online magazine article</t>
        </is>
      </c>
      <c r="H54" s="7" t="inlineStr">
        <is>
          <t>Tamil</t>
        </is>
      </c>
      <c r="I54" s="9" t="inlineStr">
        <is>
          <t>Inscriptions / கல்வெட்டு</t>
        </is>
      </c>
      <c r="J54" s="9" t="inlineStr">
        <is>
          <t>கல்வெட்டு; Velodum malai</t>
        </is>
      </c>
      <c r="K54" s="7" t="inlineStr">
        <is>
          <t>Yes</t>
        </is>
      </c>
      <c r="L54" s="9" t="inlineStr">
        <is>
          <t>Series: Naga people in Sri Lankan Brahmi inscriptions</t>
        </is>
      </c>
      <c r="M54" s="10" t="inlineStr">
        <is>
          <t>https://www.ezhunaonline.com/velodum-malai-nagamalai-inscription-mentions-maha-naga-king/</t>
        </is>
      </c>
    </row>
    <row r="55">
      <c r="A55" s="11" t="inlineStr">
        <is>
          <t>MG-0054</t>
        </is>
      </c>
      <c r="B55" s="12" t="inlineStr">
        <is>
          <t>2024</t>
        </is>
      </c>
      <c r="C55" s="11" t="inlineStr">
        <is>
          <t>2024-09-22</t>
        </is>
      </c>
      <c r="D55" s="13" t="inlineStr">
        <is>
          <t>நாகபர்வத மலை எனும் பம்பரகஸ்தலாவ மலையில் நாகர் பற்றிய கல்வெட்டுகள்</t>
        </is>
      </c>
      <c r="E55" s="13" t="inlineStr">
        <is>
          <t>N. K. S. Thiruchelvam</t>
        </is>
      </c>
      <c r="F55" s="13" t="inlineStr">
        <is>
          <t>Ezhuna (எழுநா)</t>
        </is>
      </c>
      <c r="G55" s="11" t="inlineStr">
        <is>
          <t>Online magazine article</t>
        </is>
      </c>
      <c r="H55" s="11" t="inlineStr">
        <is>
          <t>Tamil</t>
        </is>
      </c>
      <c r="I55" s="13" t="inlineStr">
        <is>
          <t>Inscriptions / கல்வெட்டு</t>
        </is>
      </c>
      <c r="J55" s="13" t="inlineStr">
        <is>
          <t>கல்வெட்டு; Bambaragastalawa</t>
        </is>
      </c>
      <c r="K55" s="11" t="inlineStr">
        <is>
          <t>Yes</t>
        </is>
      </c>
      <c r="L55" s="13" t="inlineStr">
        <is>
          <t>Series: Naga people in Sri Lankan Brahmi inscriptions</t>
        </is>
      </c>
      <c r="M55" s="14" t="inlineStr">
        <is>
          <t>https://www.ezhunaonline.com/inscriptions-about-nagar-on-pambarakasthalava-hill-nagaparvata-hill/</t>
        </is>
      </c>
    </row>
    <row r="56">
      <c r="A56" s="7" t="inlineStr">
        <is>
          <t>MG-0055</t>
        </is>
      </c>
      <c r="B56" s="8" t="inlineStr">
        <is>
          <t>2024</t>
        </is>
      </c>
      <c r="C56" s="7" t="inlineStr">
        <is>
          <t>2024-10-08</t>
        </is>
      </c>
      <c r="D56" s="9" t="inlineStr">
        <is>
          <t>பூநகரிப் பிராந்தியத்தில் அண்மையில் கண்டுபிடிக்கப்பட்ட வேள், ஈழம் பற்றிய தமிழ்ப் பிராமிச் சாசனங்கள்</t>
        </is>
      </c>
      <c r="E56" s="9" t="inlineStr">
        <is>
          <t>பரமு புஷ்பரட்ணம்</t>
        </is>
      </c>
      <c r="F56" s="9" t="inlineStr">
        <is>
          <t>Ezhuna (எழுநா)</t>
        </is>
      </c>
      <c r="G56" s="7" t="inlineStr">
        <is>
          <t>Online magazine article</t>
        </is>
      </c>
      <c r="H56" s="7" t="inlineStr">
        <is>
          <t>Tamil</t>
        </is>
      </c>
      <c r="I56" s="9" t="inlineStr">
        <is>
          <t>Inscriptions / கல்வெட்டு; Brahmi / பிராமி</t>
        </is>
      </c>
      <c r="J56" s="9" t="inlineStr">
        <is>
          <t>பிராமி</t>
        </is>
      </c>
      <c r="K56" s="7" t="inlineStr">
        <is>
          <t>Yes</t>
        </is>
      </c>
      <c r="L56" s="9" t="inlineStr">
        <is>
          <t>Auto-collected 2026-10-14 (ezhuna); review.</t>
        </is>
      </c>
      <c r="M56" s="10" t="inlineStr">
        <is>
          <t>https://www.ezhunaonline.com/tamil-brahmic-charters-of-vel-eelam-recently-discovered-in-poonagri-region/</t>
        </is>
      </c>
    </row>
    <row r="57">
      <c r="A57" s="11" t="inlineStr">
        <is>
          <t>MG-0056</t>
        </is>
      </c>
      <c r="B57" s="12" t="inlineStr">
        <is>
          <t>2024</t>
        </is>
      </c>
      <c r="C57" s="11" t="inlineStr">
        <is>
          <t>2024-10-15</t>
        </is>
      </c>
      <c r="D57" s="13" t="inlineStr">
        <is>
          <t>நாக மன்னன் பற்றியும், நாகக் கால்வாய் பற்றியும் குறிப்பிடும் இலங்கைத்துறை, கல்லடி நீலியம்மன் மலைக் கல்வெட்டுகள்</t>
        </is>
      </c>
      <c r="E57" s="13" t="inlineStr">
        <is>
          <t>N. K. S. Thiruchelvam</t>
        </is>
      </c>
      <c r="F57" s="13" t="inlineStr">
        <is>
          <t>Ezhuna (எழுநா)</t>
        </is>
      </c>
      <c r="G57" s="11" t="inlineStr">
        <is>
          <t>Online magazine article</t>
        </is>
      </c>
      <c r="H57" s="11" t="inlineStr">
        <is>
          <t>Tamil</t>
        </is>
      </c>
      <c r="I57" s="13" t="inlineStr">
        <is>
          <t>Inscriptions / கல்வெட்டு</t>
        </is>
      </c>
      <c r="J57" s="13" t="inlineStr">
        <is>
          <t>கல்வெட்டு; Ilankaithurai; Trincomalee</t>
        </is>
      </c>
      <c r="K57" s="11" t="inlineStr">
        <is>
          <t>Yes</t>
        </is>
      </c>
      <c r="L57" s="13" t="inlineStr">
        <is>
          <t>Series: Naga people in Sri Lankan Brahmi inscriptions</t>
        </is>
      </c>
      <c r="M57" s="14" t="inlineStr">
        <is>
          <t>https://www.ezhunaonline.com/kalladi-niliyamman-hill-inscriptions-sri-lanka-mentions-the-naga-king-and-the-naga-canal/</t>
        </is>
      </c>
    </row>
    <row r="58">
      <c r="A58" s="7" t="inlineStr">
        <is>
          <t>MG-0057</t>
        </is>
      </c>
      <c r="B58" s="8" t="inlineStr">
        <is>
          <t>2024</t>
        </is>
      </c>
      <c r="C58" s="7" t="inlineStr">
        <is>
          <t>2024-10-27</t>
        </is>
      </c>
      <c r="D58" s="9" t="inlineStr">
        <is>
          <t>நாகர் பற்றிக் குறிப்பிடும் ரஜகல எனும் ராசமலைக் கல்வெட்டுகள்</t>
        </is>
      </c>
      <c r="E58" s="9" t="inlineStr">
        <is>
          <t>N. K. S. Thiruchelvam</t>
        </is>
      </c>
      <c r="F58" s="9" t="inlineStr">
        <is>
          <t>Ezhuna (எழுநா)</t>
        </is>
      </c>
      <c r="G58" s="7" t="inlineStr">
        <is>
          <t>Online magazine article</t>
        </is>
      </c>
      <c r="H58" s="7" t="inlineStr">
        <is>
          <t>Tamil</t>
        </is>
      </c>
      <c r="I58" s="9" t="inlineStr">
        <is>
          <t>Inscriptions / கல்வெட்டு</t>
        </is>
      </c>
      <c r="J58" s="9" t="inlineStr">
        <is>
          <t>கல்வெட்டு; Rajagala</t>
        </is>
      </c>
      <c r="K58" s="7" t="inlineStr">
        <is>
          <t>Yes</t>
        </is>
      </c>
      <c r="L58" s="9" t="inlineStr">
        <is>
          <t>Series: Naga people in Sri Lankan Brahmi inscriptions</t>
        </is>
      </c>
      <c r="M58" s="10" t="inlineStr">
        <is>
          <t>https://www.ezhunaonline.com/the-rajagala-inscriptions-refer-to-nagar/</t>
        </is>
      </c>
    </row>
    <row r="59">
      <c r="A59" s="11" t="inlineStr">
        <is>
          <t>MG-0058</t>
        </is>
      </c>
      <c r="B59" s="12" t="inlineStr">
        <is>
          <t>2024</t>
        </is>
      </c>
      <c r="C59" s="11" t="inlineStr">
        <is>
          <t>2024-11-14</t>
        </is>
      </c>
      <c r="D59" s="13" t="inlineStr">
        <is>
          <t>கிராம அதிகாரி நாகன் பற்றிக் குறிப்பிடும் குடும்பிகல மலைக் கல்வெட்டு</t>
        </is>
      </c>
      <c r="E59" s="13" t="inlineStr">
        <is>
          <t>N. K. S. Thiruchelvam</t>
        </is>
      </c>
      <c r="F59" s="13" t="inlineStr">
        <is>
          <t>Ezhuna (எழுநா)</t>
        </is>
      </c>
      <c r="G59" s="11" t="inlineStr">
        <is>
          <t>Online magazine article</t>
        </is>
      </c>
      <c r="H59" s="11" t="inlineStr">
        <is>
          <t>Tamil</t>
        </is>
      </c>
      <c r="I59" s="13" t="inlineStr">
        <is>
          <t>Inscriptions / கல்வெட்டு</t>
        </is>
      </c>
      <c r="J59" s="13" t="inlineStr">
        <is>
          <t>கல்வெட்டு; Kudumbigala</t>
        </is>
      </c>
      <c r="K59" s="11" t="inlineStr">
        <is>
          <t>Yes</t>
        </is>
      </c>
      <c r="L59" s="13" t="inlineStr">
        <is>
          <t>Series: Naga people in Sri Lankan Brahmi inscriptions</t>
        </is>
      </c>
      <c r="M59" s="14" t="inlineStr">
        <is>
          <t>https://www.ezhunaonline.com/the-kudumbigala-hill-inscription-mentions-the-village-officer-nagan/</t>
        </is>
      </c>
    </row>
    <row r="60">
      <c r="A60" s="7" t="inlineStr">
        <is>
          <t>MG-0059</t>
        </is>
      </c>
      <c r="B60" s="8" t="inlineStr">
        <is>
          <t>2024</t>
        </is>
      </c>
      <c r="C60" s="7" t="inlineStr">
        <is>
          <t>2024-11-15</t>
        </is>
      </c>
      <c r="D60" s="9" t="inlineStr">
        <is>
          <t>கீழைக்கரையில் சோழர்</t>
        </is>
      </c>
      <c r="E60" s="9" t="inlineStr">
        <is>
          <t>Vivekanantharaja Thulanchanan</t>
        </is>
      </c>
      <c r="F60" s="9" t="inlineStr">
        <is>
          <t>Ezhuna (எழுநா)</t>
        </is>
      </c>
      <c r="G60" s="7" t="inlineStr">
        <is>
          <t>Online magazine article</t>
        </is>
      </c>
      <c r="H60" s="7" t="inlineStr">
        <is>
          <t>Tamil</t>
        </is>
      </c>
      <c r="I60" s="9" t="inlineStr">
        <is>
          <t>Inscriptions / கல்வெட்டு</t>
        </is>
      </c>
      <c r="J60" s="9" t="inlineStr">
        <is>
          <t>Chola; East coast; inscriptions</t>
        </is>
      </c>
      <c r="K60" s="7" t="inlineStr">
        <is>
          <t>Yes</t>
        </is>
      </c>
      <c r="L60" s="9" t="inlineStr">
        <is>
          <t>Series: East coast of Sri Lanka - a historical perspective</t>
        </is>
      </c>
      <c r="M60" s="10" t="inlineStr">
        <is>
          <t>https://www.ezhunaonline.com/chola-in-keekhagarai/</t>
        </is>
      </c>
    </row>
    <row r="61">
      <c r="A61" s="11" t="inlineStr">
        <is>
          <t>MG-0060</t>
        </is>
      </c>
      <c r="B61" s="12" t="inlineStr">
        <is>
          <t>2024</t>
        </is>
      </c>
      <c r="C61" s="11" t="inlineStr">
        <is>
          <t>2024-11-28</t>
        </is>
      </c>
      <c r="D61" s="13" t="inlineStr">
        <is>
          <t>நாகர் பற்றிக் குறிப்பிடும் முத்துக்கல் மலைக் கல்வெட்டுகள்</t>
        </is>
      </c>
      <c r="E61" s="13" t="inlineStr">
        <is>
          <t>N. K. S. Thiruchelvam</t>
        </is>
      </c>
      <c r="F61" s="13" t="inlineStr">
        <is>
          <t>Ezhuna (எழுநா)</t>
        </is>
      </c>
      <c r="G61" s="11" t="inlineStr">
        <is>
          <t>Online magazine article</t>
        </is>
      </c>
      <c r="H61" s="11" t="inlineStr">
        <is>
          <t>Tamil</t>
        </is>
      </c>
      <c r="I61" s="13" t="inlineStr">
        <is>
          <t>Inscriptions / கல்வெட்டு</t>
        </is>
      </c>
      <c r="J61" s="13" t="inlineStr">
        <is>
          <t>கல்வெட்டு; Naga; Muthukal</t>
        </is>
      </c>
      <c r="K61" s="11" t="inlineStr">
        <is>
          <t>Yes</t>
        </is>
      </c>
      <c r="L61" s="13" t="inlineStr">
        <is>
          <t>Series: Naga people in Sri Lankan Brahmi inscriptions</t>
        </is>
      </c>
      <c r="M61" s="14" t="inlineStr">
        <is>
          <t>https://www.ezhunaonline.com/muthukal-hill-inscriptions-mention-nagar/</t>
        </is>
      </c>
    </row>
    <row r="62">
      <c r="A62" s="7" t="inlineStr">
        <is>
          <t>MG-0061</t>
        </is>
      </c>
      <c r="B62" s="8" t="inlineStr">
        <is>
          <t>2024</t>
        </is>
      </c>
      <c r="C62" s="7" t="inlineStr">
        <is>
          <t>2024-12-11</t>
        </is>
      </c>
      <c r="D62" s="9" t="inlineStr">
        <is>
          <t>கிழக்கிலங்கையின் துணை அரசன் சோணையன், அவனின் மகன் அமைச்சர் தேவநாகன் ஆகியோர் பற்றிய காயங்குடா – கூமாச்சோலை கல்வெட்டு</t>
        </is>
      </c>
      <c r="E62" s="9" t="inlineStr">
        <is>
          <t>N. K. S. Thiruchelvam</t>
        </is>
      </c>
      <c r="F62" s="9" t="inlineStr">
        <is>
          <t>Ezhuna (எழுநா)</t>
        </is>
      </c>
      <c r="G62" s="7" t="inlineStr">
        <is>
          <t>Online magazine article</t>
        </is>
      </c>
      <c r="H62" s="7" t="inlineStr">
        <is>
          <t>Tamil</t>
        </is>
      </c>
      <c r="I62" s="9" t="inlineStr">
        <is>
          <t>Inscriptions / கல்வெட்டு</t>
        </is>
      </c>
      <c r="J62" s="9" t="inlineStr">
        <is>
          <t>கல்வெட்டு; Kayankudah; Batticaloa</t>
        </is>
      </c>
      <c r="K62" s="7" t="inlineStr">
        <is>
          <t>Yes</t>
        </is>
      </c>
      <c r="L62" s="9" t="inlineStr">
        <is>
          <t>Series: Naga people in Sri Lankan Brahmi inscriptions</t>
        </is>
      </c>
      <c r="M62" s="10" t="inlineStr">
        <is>
          <t>https://www.ezhunaonline.com/kayanguda-kumacholai-inscription-of-eastern-ceylon-viceroy/</t>
        </is>
      </c>
    </row>
    <row r="63">
      <c r="A63" s="11" t="inlineStr">
        <is>
          <t>MG-0062</t>
        </is>
      </c>
      <c r="B63" s="12" t="inlineStr">
        <is>
          <t>2024</t>
        </is>
      </c>
      <c r="C63" s="11" t="inlineStr">
        <is>
          <t>2024-12-27</t>
        </is>
      </c>
      <c r="D63" s="13" t="inlineStr">
        <is>
          <t>நாகர் பற்றிக் குறிப்பிடும் ஹந்தகல பிராமிக் கல்வெட்டுகள்</t>
        </is>
      </c>
      <c r="E63" s="13" t="inlineStr">
        <is>
          <t>N. K. S. Thiruchelvam</t>
        </is>
      </c>
      <c r="F63" s="13" t="inlineStr">
        <is>
          <t>Ezhuna (எழுநா)</t>
        </is>
      </c>
      <c r="G63" s="11" t="inlineStr">
        <is>
          <t>Online magazine article</t>
        </is>
      </c>
      <c r="H63" s="11" t="inlineStr">
        <is>
          <t>Tamil</t>
        </is>
      </c>
      <c r="I63" s="13" t="inlineStr">
        <is>
          <t>Inscriptions / கல்வெட்டு; Brahmi / பிராமி</t>
        </is>
      </c>
      <c r="J63" s="13" t="inlineStr">
        <is>
          <t>பிராமி; கல்வெட்டு; Handagala</t>
        </is>
      </c>
      <c r="K63" s="11" t="inlineStr">
        <is>
          <t>Yes</t>
        </is>
      </c>
      <c r="L63" s="13" t="inlineStr">
        <is>
          <t>Series: Naga people in Sri Lankan Brahmi inscriptions</t>
        </is>
      </c>
      <c r="M63" s="14" t="inlineStr">
        <is>
          <t>https://www.ezhunaonline.com/handagala-brahmic-inscriptions-refer-to-nagar/</t>
        </is>
      </c>
    </row>
    <row r="64">
      <c r="A64" s="7" t="inlineStr">
        <is>
          <t>MG-0063</t>
        </is>
      </c>
      <c r="B64" s="8" t="inlineStr">
        <is>
          <t>2023</t>
        </is>
      </c>
      <c r="C64" s="7" t="inlineStr">
        <is>
          <t>2023-01-13</t>
        </is>
      </c>
      <c r="D64" s="9" t="inlineStr">
        <is>
          <t>தமிழர் பற்றிக் குறிப்பிடும் பிற்காலக் கல்வெட்டுக்கள் (சோழர் காலத்திற்கு முன்பு)</t>
        </is>
      </c>
      <c r="E64" s="9" t="inlineStr">
        <is>
          <t>N. K. S. Thiruchelvam</t>
        </is>
      </c>
      <c r="F64" s="9" t="inlineStr">
        <is>
          <t>Ezhuna (எழுநா)</t>
        </is>
      </c>
      <c r="G64" s="7" t="inlineStr">
        <is>
          <t>Online magazine article</t>
        </is>
      </c>
      <c r="H64" s="7" t="inlineStr">
        <is>
          <t>Tamil</t>
        </is>
      </c>
      <c r="I64" s="9" t="inlineStr">
        <is>
          <t>Inscriptions / கல்வெட்டு</t>
        </is>
      </c>
      <c r="J64" s="9" t="inlineStr">
        <is>
          <t>கல்வெட்டு; pre-Chola</t>
        </is>
      </c>
      <c r="K64" s="7" t="inlineStr">
        <is>
          <t>Yes</t>
        </is>
      </c>
      <c r="L64" s="9" t="inlineStr">
        <is>
          <t>Series: Tamils in Brahmi &amp; Sinhala inscriptions</t>
        </is>
      </c>
      <c r="M64" s="10" t="inlineStr">
        <is>
          <t>https://www.ezhunaonline.com/later-inscriptions-refer-to-tamils/</t>
        </is>
      </c>
    </row>
    <row r="65">
      <c r="A65" s="11" t="inlineStr">
        <is>
          <t>MG-0064</t>
        </is>
      </c>
      <c r="B65" s="12" t="inlineStr">
        <is>
          <t>2023</t>
        </is>
      </c>
      <c r="C65" s="11" t="inlineStr">
        <is>
          <t>2023-01-16</t>
        </is>
      </c>
      <c r="D65" s="13" t="inlineStr">
        <is>
          <t>கிழார்களின் வம்ப வேந்தர்</t>
        </is>
      </c>
      <c r="E65" s="13" t="inlineStr">
        <is>
          <t>நடேசன் இரவீந்திரன்</t>
        </is>
      </c>
      <c r="F65" s="13" t="inlineStr">
        <is>
          <t>Ezhuna (எழுநா)</t>
        </is>
      </c>
      <c r="G65" s="11" t="inlineStr">
        <is>
          <t>Online magazine article</t>
        </is>
      </c>
      <c r="H65" s="11" t="inlineStr">
        <is>
          <t>Tamil</t>
        </is>
      </c>
      <c r="I65" s="13" t="n"/>
      <c r="J65" s="13" t="n"/>
      <c r="K65" s="11" t="inlineStr">
        <is>
          <t>Yes</t>
        </is>
      </c>
      <c r="L65" s="13" t="inlineStr">
        <is>
          <t>Auto-collected 2026-10-14 (ezhuna); review.</t>
        </is>
      </c>
      <c r="M65" s="14" t="inlineStr">
        <is>
          <t>https://www.ezhunaonline.com/kizhargalin-vampa-vendar/</t>
        </is>
      </c>
    </row>
    <row r="66">
      <c r="A66" s="7" t="inlineStr">
        <is>
          <t>MG-0065</t>
        </is>
      </c>
      <c r="B66" s="8" t="inlineStr">
        <is>
          <t>2023</t>
        </is>
      </c>
      <c r="C66" s="7" t="inlineStr">
        <is>
          <t>2023-02-16</t>
        </is>
      </c>
      <c r="D66" s="9" t="inlineStr">
        <is>
          <t>தமிழ் அதிகாரி மகாசாத்தான் பற்றி குறிப்பிடும் தாமரவெவ தூண் கல்வெட்டு</t>
        </is>
      </c>
      <c r="E66" s="9" t="inlineStr">
        <is>
          <t>N. K. S. Thiruchelvam</t>
        </is>
      </c>
      <c r="F66" s="9" t="inlineStr">
        <is>
          <t>Ezhuna (எழுநா)</t>
        </is>
      </c>
      <c r="G66" s="7" t="inlineStr">
        <is>
          <t>Online magazine article</t>
        </is>
      </c>
      <c r="H66" s="7" t="inlineStr">
        <is>
          <t>Tamil</t>
        </is>
      </c>
      <c r="I66" s="9" t="inlineStr">
        <is>
          <t>Inscriptions / கல்வெட்டு</t>
        </is>
      </c>
      <c r="J66" s="9" t="inlineStr">
        <is>
          <t>கல்வெட்டு; Tamaravewa pillar</t>
        </is>
      </c>
      <c r="K66" s="7" t="inlineStr">
        <is>
          <t>Yes</t>
        </is>
      </c>
      <c r="L66" s="9" t="inlineStr">
        <is>
          <t>Series: Tamils in Brahmi &amp; Sinhala inscriptions</t>
        </is>
      </c>
      <c r="M66" s="10" t="inlineStr">
        <is>
          <t>https://www.ezhunaonline.com/tamaraveva-pillar-inscription-referring-to-the-tamil-official-mahasathan/</t>
        </is>
      </c>
    </row>
    <row r="67">
      <c r="A67" s="11" t="inlineStr">
        <is>
          <t>MG-0066</t>
        </is>
      </c>
      <c r="B67" s="12" t="inlineStr">
        <is>
          <t>2023</t>
        </is>
      </c>
      <c r="C67" s="11" t="inlineStr">
        <is>
          <t>2023-03-10</t>
        </is>
      </c>
      <c r="D67" s="13" t="inlineStr">
        <is>
          <t>தமிழர்களுக்கு மாகாண தலைப்பட்டினத்தைக் கொடுக்கக் கூடாது எனக் குறிப்பிடும் பதுளைக் கல்வெட்டு</t>
        </is>
      </c>
      <c r="E67" s="13" t="inlineStr">
        <is>
          <t>N. K. S. Thiruchelvam</t>
        </is>
      </c>
      <c r="F67" s="13" t="inlineStr">
        <is>
          <t>Ezhuna (எழுநா)</t>
        </is>
      </c>
      <c r="G67" s="11" t="inlineStr">
        <is>
          <t>Online magazine article</t>
        </is>
      </c>
      <c r="H67" s="11" t="inlineStr">
        <is>
          <t>Tamil</t>
        </is>
      </c>
      <c r="I67" s="13" t="inlineStr">
        <is>
          <t>Inscriptions / கல்வெட்டு</t>
        </is>
      </c>
      <c r="J67" s="13" t="inlineStr">
        <is>
          <t>கல்வெட்டு; Badulla pillar</t>
        </is>
      </c>
      <c r="K67" s="11" t="inlineStr">
        <is>
          <t>Yes</t>
        </is>
      </c>
      <c r="L67" s="13" t="inlineStr">
        <is>
          <t>Series: Tamils in Brahmi &amp; Sinhala inscriptions</t>
        </is>
      </c>
      <c r="M67" s="14" t="inlineStr">
        <is>
          <t>https://www.ezhunaonline.com/badulla-inscription/</t>
        </is>
      </c>
    </row>
    <row r="68">
      <c r="A68" s="7" t="inlineStr">
        <is>
          <t>MG-0067</t>
        </is>
      </c>
      <c r="B68" s="8" t="inlineStr">
        <is>
          <t>2023</t>
        </is>
      </c>
      <c r="C68" s="7" t="inlineStr">
        <is>
          <t>2023-03-31</t>
        </is>
      </c>
      <c r="D68" s="9" t="inlineStr">
        <is>
          <t>பல ஆண்டுகளுக்குப் பின்னர் வரலாற்று வெளிச்சத்திற்கு வந்திருக்கும் அரிய தமிழ்க் கல்வெட்டு தம்பலகாமத்தில் மீளவும் கண்டுபிடிப்பு</t>
        </is>
      </c>
      <c r="E68" s="9" t="inlineStr">
        <is>
          <t>பரமு புஷ்பரட்ணம்</t>
        </is>
      </c>
      <c r="F68" s="9" t="inlineStr">
        <is>
          <t>Ezhuna (எழுநா)</t>
        </is>
      </c>
      <c r="G68" s="7" t="inlineStr">
        <is>
          <t>Online magazine article</t>
        </is>
      </c>
      <c r="H68" s="7" t="inlineStr">
        <is>
          <t>Tamil</t>
        </is>
      </c>
      <c r="I68" s="9" t="inlineStr">
        <is>
          <t>Inscriptions / கல்வெட்டு</t>
        </is>
      </c>
      <c r="J68" s="9" t="inlineStr">
        <is>
          <t>கல்வெட்டு</t>
        </is>
      </c>
      <c r="K68" s="7" t="inlineStr">
        <is>
          <t>Yes</t>
        </is>
      </c>
      <c r="L68" s="9" t="inlineStr">
        <is>
          <t>Auto-collected 2026-10-14 (ezhuna); review.</t>
        </is>
      </c>
      <c r="M68" s="10" t="inlineStr">
        <is>
          <t>https://www.ezhunaonline.com/rediscovery-of-tamil-inscription-at-tambalagama/</t>
        </is>
      </c>
    </row>
    <row r="69">
      <c r="A69" s="11" t="inlineStr">
        <is>
          <t>MG-0068</t>
        </is>
      </c>
      <c r="B69" s="12" t="inlineStr">
        <is>
          <t>2023</t>
        </is>
      </c>
      <c r="C69" s="11" t="inlineStr">
        <is>
          <t>2023-04-04</t>
        </is>
      </c>
      <c r="D69" s="13" t="inlineStr">
        <is>
          <t>தமிழர் கிராமங்கள் மற்றும் காணிகள் பற்றிக் கூறும் அநுராதபுரம் கல் தோணிக் கல்வெட்டு</t>
        </is>
      </c>
      <c r="E69" s="13" t="inlineStr">
        <is>
          <t>N. K. S. Thiruchelvam</t>
        </is>
      </c>
      <c r="F69" s="13" t="inlineStr">
        <is>
          <t>Ezhuna (எழுநா)</t>
        </is>
      </c>
      <c r="G69" s="11" t="inlineStr">
        <is>
          <t>Online magazine article</t>
        </is>
      </c>
      <c r="H69" s="11" t="inlineStr">
        <is>
          <t>Tamil</t>
        </is>
      </c>
      <c r="I69" s="13" t="inlineStr">
        <is>
          <t>Inscriptions / கல்வெட்டு</t>
        </is>
      </c>
      <c r="J69" s="13" t="inlineStr">
        <is>
          <t>கல்வெட்டு; Anuradhapura</t>
        </is>
      </c>
      <c r="K69" s="11" t="inlineStr">
        <is>
          <t>Yes</t>
        </is>
      </c>
      <c r="L69" s="13" t="inlineStr">
        <is>
          <t>Series: Tamils in Brahmi &amp; Sinhala inscriptions</t>
        </is>
      </c>
      <c r="M69" s="14" t="inlineStr">
        <is>
          <t>https://www.ezhunaonline.com/anuradhapura-inscription/</t>
        </is>
      </c>
    </row>
    <row r="70">
      <c r="A70" s="7" t="inlineStr">
        <is>
          <t>MG-0069</t>
        </is>
      </c>
      <c r="B70" s="8" t="inlineStr">
        <is>
          <t>2023</t>
        </is>
      </c>
      <c r="C70" s="7" t="inlineStr">
        <is>
          <t>2023-04-15</t>
        </is>
      </c>
      <c r="D70" s="9" t="inlineStr">
        <is>
          <t>பிரித்தெடுக்கப்பட்ட தமிழரின் நிலம் பற்றிக் கூறும் ரன்கொத் விகாரை கல்வெட்டு</t>
        </is>
      </c>
      <c r="E70" s="9" t="inlineStr">
        <is>
          <t>N. K. S. Thiruchelvam</t>
        </is>
      </c>
      <c r="F70" s="9" t="inlineStr">
        <is>
          <t>Ezhuna (எழுநா)</t>
        </is>
      </c>
      <c r="G70" s="7" t="inlineStr">
        <is>
          <t>Online magazine article</t>
        </is>
      </c>
      <c r="H70" s="7" t="inlineStr">
        <is>
          <t>Tamil</t>
        </is>
      </c>
      <c r="I70" s="9" t="inlineStr">
        <is>
          <t>Inscriptions / கல்வெட்டு</t>
        </is>
      </c>
      <c r="J70" s="9" t="inlineStr">
        <is>
          <t>கல்வெட்டு; Rankoth Vihara</t>
        </is>
      </c>
      <c r="K70" s="7" t="inlineStr">
        <is>
          <t>Yes</t>
        </is>
      </c>
      <c r="L70" s="9" t="inlineStr">
        <is>
          <t>Series: Tamils in Brahmi &amp; Sinhala inscriptions</t>
        </is>
      </c>
      <c r="M70" s="10" t="inlineStr">
        <is>
          <t>https://www.ezhunaonline.com/rankoth-viharai-inscription/</t>
        </is>
      </c>
    </row>
    <row r="71">
      <c r="A71" s="11" t="inlineStr">
        <is>
          <t>MG-0070</t>
        </is>
      </c>
      <c r="B71" s="12" t="inlineStr">
        <is>
          <t>2023</t>
        </is>
      </c>
      <c r="C71" s="11" t="inlineStr">
        <is>
          <t>2023-04-22</t>
        </is>
      </c>
      <c r="D71" s="13" t="inlineStr">
        <is>
          <t>தமிழரின் பெளத்தப் பள்ளி பற்றிக் கூறும் வெஸ்ஸகிரி கற்பலகைக் கல்வெட்டு</t>
        </is>
      </c>
      <c r="E71" s="13" t="inlineStr">
        <is>
          <t>N. K. S. Thiruchelvam</t>
        </is>
      </c>
      <c r="F71" s="13" t="inlineStr">
        <is>
          <t>Ezhuna (எழுநா)</t>
        </is>
      </c>
      <c r="G71" s="11" t="inlineStr">
        <is>
          <t>Online magazine article</t>
        </is>
      </c>
      <c r="H71" s="11" t="inlineStr">
        <is>
          <t>Tamil</t>
        </is>
      </c>
      <c r="I71" s="13" t="inlineStr">
        <is>
          <t>Inscriptions / கல்வெட்டு</t>
        </is>
      </c>
      <c r="J71" s="13" t="inlineStr">
        <is>
          <t>கல்வெட்டு; Vessagiri</t>
        </is>
      </c>
      <c r="K71" s="11" t="inlineStr">
        <is>
          <t>Yes</t>
        </is>
      </c>
      <c r="L71" s="13" t="inlineStr">
        <is>
          <t>Series: Tamils in Brahmi &amp; Sinhala inscriptions</t>
        </is>
      </c>
      <c r="M71" s="14" t="inlineStr">
        <is>
          <t>https://www.ezhunaonline.com/wessagiri-inscription/</t>
        </is>
      </c>
    </row>
    <row r="72">
      <c r="A72" s="7" t="inlineStr">
        <is>
          <t>MG-0071</t>
        </is>
      </c>
      <c r="B72" s="8" t="inlineStr">
        <is>
          <t>2023</t>
        </is>
      </c>
      <c r="C72" s="7" t="inlineStr">
        <is>
          <t>2023-04-25</t>
        </is>
      </c>
      <c r="D72" s="9" t="inlineStr">
        <is>
          <t>கீழைக்கரைக்கான எழுத்துச் சான்றுகள் : நாடுகாட்டுப் பரவணிக் கல்வெட்டு III</t>
        </is>
      </c>
      <c r="E72" s="9" t="inlineStr">
        <is>
          <t>Vivekanantharaja Thulanchanan</t>
        </is>
      </c>
      <c r="F72" s="9" t="inlineStr">
        <is>
          <t>Ezhuna (எழுநா)</t>
        </is>
      </c>
      <c r="G72" s="7" t="inlineStr">
        <is>
          <t>Online magazine article</t>
        </is>
      </c>
      <c r="H72" s="7" t="inlineStr">
        <is>
          <t>Tamil</t>
        </is>
      </c>
      <c r="I72" s="9" t="inlineStr">
        <is>
          <t>Inscriptions / கல்வெட்டு</t>
        </is>
      </c>
      <c r="J72" s="9" t="inlineStr">
        <is>
          <t>கல்வெட்டு; Nadukadu Paravani</t>
        </is>
      </c>
      <c r="K72" s="7" t="inlineStr">
        <is>
          <t>Yes</t>
        </is>
      </c>
      <c r="L72" s="9" t="inlineStr">
        <is>
          <t>Series: East coast of Sri Lanka - a historical perspective</t>
        </is>
      </c>
      <c r="M72" s="10" t="inlineStr">
        <is>
          <t>https://www.ezhunaonline.com/keekhakarai-paravani-inscriptioniii/</t>
        </is>
      </c>
    </row>
    <row r="73">
      <c r="A73" s="11" t="inlineStr">
        <is>
          <t>MG-0072</t>
        </is>
      </c>
      <c r="B73" s="12" t="inlineStr">
        <is>
          <t>2023</t>
        </is>
      </c>
      <c r="C73" s="11" t="inlineStr">
        <is>
          <t>2023-05-18</t>
        </is>
      </c>
      <c r="D73" s="13" t="inlineStr">
        <is>
          <t>வன்னியில் வெளிச்சத்திற்கு வராத மிகப்பிரமாண்டமான சுற்றுலாத்தலம்</t>
        </is>
      </c>
      <c r="E73" s="13" t="inlineStr">
        <is>
          <t>பரமு புஷ்பரட்ணம்</t>
        </is>
      </c>
      <c r="F73" s="13" t="inlineStr">
        <is>
          <t>Ezhuna (எழுநா)</t>
        </is>
      </c>
      <c r="G73" s="11" t="inlineStr">
        <is>
          <t>Online magazine article</t>
        </is>
      </c>
      <c r="H73" s="11" t="inlineStr">
        <is>
          <t>Tamil</t>
        </is>
      </c>
      <c r="I73" s="13" t="n"/>
      <c r="J73" s="13" t="n"/>
      <c r="K73" s="11" t="inlineStr">
        <is>
          <t>Yes</t>
        </is>
      </c>
      <c r="L73" s="13" t="inlineStr">
        <is>
          <t>Auto-collected 2026-10-14 (ezhuna); review.</t>
        </is>
      </c>
      <c r="M73" s="14" t="inlineStr">
        <is>
          <t>https://www.ezhunaonline.com/the-biggest-undiscovered-tourist-destination-in-vanni/</t>
        </is>
      </c>
    </row>
    <row r="74">
      <c r="A74" s="7" t="inlineStr">
        <is>
          <t>MG-0073</t>
        </is>
      </c>
      <c r="B74" s="8" t="inlineStr">
        <is>
          <t>2023</t>
        </is>
      </c>
      <c r="C74" s="7" t="inlineStr">
        <is>
          <t>2023-06-23</t>
        </is>
      </c>
      <c r="D74" s="9" t="inlineStr">
        <is>
          <t>யாழ்ப்பாணக் கோட்டையின் அண்மைக்காலத் தொல்லியல் ஆய்வுகள் - ஒரு புதிய பார்வை - பகுதி 1</t>
        </is>
      </c>
      <c r="E74" s="9" t="inlineStr">
        <is>
          <t>பரமு புஷ்பரட்ணம்</t>
        </is>
      </c>
      <c r="F74" s="9" t="inlineStr">
        <is>
          <t>Ezhuna (எழுநா)</t>
        </is>
      </c>
      <c r="G74" s="7" t="inlineStr">
        <is>
          <t>Online magazine article</t>
        </is>
      </c>
      <c r="H74" s="7" t="inlineStr">
        <is>
          <t>Tamil</t>
        </is>
      </c>
      <c r="I74" s="9" t="inlineStr">
        <is>
          <t>Archaeology / தொல்லியல்</t>
        </is>
      </c>
      <c r="J74" s="9" t="inlineStr">
        <is>
          <t>தொல்லியல்; Jaffna Fort</t>
        </is>
      </c>
      <c r="K74" s="7" t="inlineStr">
        <is>
          <t>Yes</t>
        </is>
      </c>
      <c r="L74" s="9" t="n"/>
      <c r="M74" s="10" t="inlineStr">
        <is>
          <t>https://www.ezhunaonline.com/jaffna-fort/</t>
        </is>
      </c>
    </row>
    <row r="75">
      <c r="A75" s="11" t="inlineStr">
        <is>
          <t>MG-0074</t>
        </is>
      </c>
      <c r="B75" s="12" t="inlineStr">
        <is>
          <t>2023</t>
        </is>
      </c>
      <c r="C75" s="11" t="inlineStr">
        <is>
          <t>2023-07-05</t>
        </is>
      </c>
      <c r="D75" s="13" t="inlineStr">
        <is>
          <t>யாழ்ப்பாண நகரம் தோன்றிய காலத்தை மீளாய்வு செய்யும் யாழ்ப்பாணக் கோட்டை அகழ்வாய்வு</t>
        </is>
      </c>
      <c r="E75" s="13" t="inlineStr">
        <is>
          <t>பரமு புஷ்பரட்ணம்</t>
        </is>
      </c>
      <c r="F75" s="13" t="inlineStr">
        <is>
          <t>Ezhuna (எழுநா)</t>
        </is>
      </c>
      <c r="G75" s="11" t="inlineStr">
        <is>
          <t>Online magazine article</t>
        </is>
      </c>
      <c r="H75" s="11" t="inlineStr">
        <is>
          <t>Tamil</t>
        </is>
      </c>
      <c r="I75" s="13" t="inlineStr">
        <is>
          <t>Archaeology / தொல்லியல்</t>
        </is>
      </c>
      <c r="J75" s="13" t="inlineStr">
        <is>
          <t>அகழ்வாய்வு</t>
        </is>
      </c>
      <c r="K75" s="11" t="inlineStr">
        <is>
          <t>Yes</t>
        </is>
      </c>
      <c r="L75" s="13" t="inlineStr">
        <is>
          <t>Auto-collected 2026-10-14 (ezhuna); review.</t>
        </is>
      </c>
      <c r="M75" s="14" t="inlineStr">
        <is>
          <t>https://www.ezhunaonline.com/archaeological-research-of-jaffna-fort/</t>
        </is>
      </c>
    </row>
    <row r="76">
      <c r="A76" s="7" t="inlineStr">
        <is>
          <t>MG-0075</t>
        </is>
      </c>
      <c r="B76" s="8" t="inlineStr">
        <is>
          <t>2023</t>
        </is>
      </c>
      <c r="C76" s="7" t="inlineStr">
        <is>
          <t>2023-08-16</t>
        </is>
      </c>
      <c r="D76" s="9" t="inlineStr">
        <is>
          <t>யாழ்ப்பாண அரசில் ஆட்சிபுரிந்த புவனேகபாகு வெளியிட்ட முருகப் பெருமானைக் குறிக்கும் அரிய நாணயங்கள்</t>
        </is>
      </c>
      <c r="E76" s="9" t="inlineStr">
        <is>
          <t>பரமு புஷ்பரட்ணம்</t>
        </is>
      </c>
      <c r="F76" s="9" t="inlineStr">
        <is>
          <t>Ezhuna (எழுநா)</t>
        </is>
      </c>
      <c r="G76" s="7" t="inlineStr">
        <is>
          <t>Online magazine article</t>
        </is>
      </c>
      <c r="H76" s="7" t="inlineStr">
        <is>
          <t>Tamil</t>
        </is>
      </c>
      <c r="I76" s="9" t="inlineStr">
        <is>
          <t>Coins / நாணயம்</t>
        </is>
      </c>
      <c r="J76" s="9" t="n"/>
      <c r="K76" s="7" t="inlineStr">
        <is>
          <t>Yes</t>
        </is>
      </c>
      <c r="L76" s="9" t="inlineStr">
        <is>
          <t>Auto-collected 2026-10-14 (ezhuna); review.</t>
        </is>
      </c>
      <c r="M76" s="10" t="inlineStr">
        <is>
          <t>https://www.ezhunaonline.com/the-coins-of-bhuvanaikabahu/</t>
        </is>
      </c>
    </row>
    <row r="77">
      <c r="A77" s="11" t="inlineStr">
        <is>
          <t>MG-0076</t>
        </is>
      </c>
      <c r="B77" s="12" t="inlineStr">
        <is>
          <t>2023</t>
        </is>
      </c>
      <c r="C77" s="11" t="inlineStr">
        <is>
          <t>2023-08-31</t>
        </is>
      </c>
      <c r="D77" s="13" t="inlineStr">
        <is>
          <t>கீழைக்கரைக்கான எழுத்துச் சான்றுகள் : மட்டக்களப்புப் பூர்வ சரித்திரம் III</t>
        </is>
      </c>
      <c r="E77" s="13" t="inlineStr">
        <is>
          <t>Vivekanantharaja Thulanchanan</t>
        </is>
      </c>
      <c r="F77" s="13" t="inlineStr">
        <is>
          <t>Ezhuna (எழுநா)</t>
        </is>
      </c>
      <c r="G77" s="11" t="inlineStr">
        <is>
          <t>Online magazine article</t>
        </is>
      </c>
      <c r="H77" s="11" t="inlineStr">
        <is>
          <t>Tamil</t>
        </is>
      </c>
      <c r="I77" s="13" t="n"/>
      <c r="J77" s="13" t="inlineStr">
        <is>
          <t>Batticaloa; sources</t>
        </is>
      </c>
      <c r="K77" s="11" t="inlineStr">
        <is>
          <t>Yes</t>
        </is>
      </c>
      <c r="L77" s="13" t="inlineStr">
        <is>
          <t>Series: East coast of Sri Lanka - a historical perspective</t>
        </is>
      </c>
      <c r="M77" s="14" t="inlineStr">
        <is>
          <t>https://www.ezhunaonline.com/batticaloa-history-iii/</t>
        </is>
      </c>
    </row>
    <row r="78">
      <c r="A78" s="7" t="inlineStr">
        <is>
          <t>MG-0077</t>
        </is>
      </c>
      <c r="B78" s="8" t="inlineStr">
        <is>
          <t>2023</t>
        </is>
      </c>
      <c r="C78" s="7" t="inlineStr">
        <is>
          <t>2023-09-06</t>
        </is>
      </c>
      <c r="D78" s="9" t="inlineStr">
        <is>
          <t>அநுராதபுர இராசதானி காலத்தில் எல்லாள மன்னன் வெளியிட்ட தமிழ் நாணயம்</t>
        </is>
      </c>
      <c r="E78" s="9" t="inlineStr">
        <is>
          <t>பரமு புஷ்பரட்ணம்</t>
        </is>
      </c>
      <c r="F78" s="9" t="inlineStr">
        <is>
          <t>Ezhuna (எழுநா)</t>
        </is>
      </c>
      <c r="G78" s="7" t="inlineStr">
        <is>
          <t>Online magazine article</t>
        </is>
      </c>
      <c r="H78" s="7" t="inlineStr">
        <is>
          <t>Tamil</t>
        </is>
      </c>
      <c r="I78" s="9" t="inlineStr">
        <is>
          <t>Coins / நாணயம்</t>
        </is>
      </c>
      <c r="J78" s="9" t="inlineStr">
        <is>
          <t>நாணயம்</t>
        </is>
      </c>
      <c r="K78" s="7" t="inlineStr">
        <is>
          <t>Yes</t>
        </is>
      </c>
      <c r="L78" s="9" t="inlineStr">
        <is>
          <t>Auto-collected 2026-10-14 (ezhuna); review.</t>
        </is>
      </c>
      <c r="M78" s="10" t="inlineStr">
        <is>
          <t>https://www.ezhunaonline.com/tamil-coin-of-ellalan/</t>
        </is>
      </c>
    </row>
    <row r="79">
      <c r="A79" s="11" t="inlineStr">
        <is>
          <t>MG-0078</t>
        </is>
      </c>
      <c r="B79" s="12" t="inlineStr">
        <is>
          <t>2023</t>
        </is>
      </c>
      <c r="C79" s="11" t="inlineStr">
        <is>
          <t>2023-10-04</t>
        </is>
      </c>
      <c r="D79" s="13" t="inlineStr">
        <is>
          <t>பெரிய புளியங்குளம் தமிழ்க் கல்வெட்டும் முள்ளியான் குடிமனை அழிபாடுகளும்</t>
        </is>
      </c>
      <c r="E79" s="13" t="inlineStr">
        <is>
          <t>பரமு புஷ்பரட்ணம்</t>
        </is>
      </c>
      <c r="F79" s="13" t="inlineStr">
        <is>
          <t>Ezhuna (எழுநா)</t>
        </is>
      </c>
      <c r="G79" s="11" t="inlineStr">
        <is>
          <t>Online magazine article</t>
        </is>
      </c>
      <c r="H79" s="11" t="inlineStr">
        <is>
          <t>Tamil</t>
        </is>
      </c>
      <c r="I79" s="13" t="inlineStr">
        <is>
          <t>Inscriptions / கல்வெட்டு</t>
        </is>
      </c>
      <c r="J79" s="13" t="inlineStr">
        <is>
          <t>கல்வெட்டு</t>
        </is>
      </c>
      <c r="K79" s="11" t="inlineStr">
        <is>
          <t>Yes</t>
        </is>
      </c>
      <c r="L79" s="13" t="inlineStr">
        <is>
          <t>Auto-collected 2026-10-14 (ezhuna); review.</t>
        </is>
      </c>
      <c r="M79" s="14" t="inlineStr">
        <is>
          <t>https://www.ezhunaonline.com/an-inscription-and-a-ruined-house-in-vanni/</t>
        </is>
      </c>
    </row>
    <row r="80">
      <c r="A80" s="7" t="inlineStr">
        <is>
          <t>MG-0079</t>
        </is>
      </c>
      <c r="B80" s="8" t="inlineStr">
        <is>
          <t>2023</t>
        </is>
      </c>
      <c r="C80" s="7" t="inlineStr">
        <is>
          <t>2023-10-20</t>
        </is>
      </c>
      <c r="D80" s="9" t="inlineStr">
        <is>
          <t>கீழைக்கரைக்கான வேறு தொன்மச் சான்றுகள் II</t>
        </is>
      </c>
      <c r="E80" s="9" t="inlineStr">
        <is>
          <t>Vivekanantharaja Thulanchanan</t>
        </is>
      </c>
      <c r="F80" s="9" t="inlineStr">
        <is>
          <t>Ezhuna (எழுநா)</t>
        </is>
      </c>
      <c r="G80" s="7" t="inlineStr">
        <is>
          <t>Online magazine article</t>
        </is>
      </c>
      <c r="H80" s="7" t="inlineStr">
        <is>
          <t>Tamil</t>
        </is>
      </c>
      <c r="I80" s="9" t="n"/>
      <c r="J80" s="9" t="inlineStr">
        <is>
          <t>Batticaloa; myths</t>
        </is>
      </c>
      <c r="K80" s="7" t="inlineStr">
        <is>
          <t>Yes</t>
        </is>
      </c>
      <c r="L80" s="9" t="inlineStr">
        <is>
          <t>Series: East coast of Sri Lanka - a historical perspective</t>
        </is>
      </c>
      <c r="M80" s="10" t="inlineStr">
        <is>
          <t>https://www.ezhunaonline.com/the-other-myths-of-batticaloa-2/</t>
        </is>
      </c>
    </row>
    <row r="81">
      <c r="A81" s="11" t="inlineStr">
        <is>
          <t>MG-0080</t>
        </is>
      </c>
      <c r="B81" s="12" t="inlineStr">
        <is>
          <t>2023</t>
        </is>
      </c>
      <c r="C81" s="11" t="inlineStr">
        <is>
          <t>2023-11-22</t>
        </is>
      </c>
      <c r="D81" s="13" t="inlineStr">
        <is>
          <t>வரலாற்றுக்கு முற்பட்ட இலங்கை</t>
        </is>
      </c>
      <c r="E81" s="13" t="inlineStr">
        <is>
          <t>Vivekanantharaja Thulanchanan</t>
        </is>
      </c>
      <c r="F81" s="13" t="inlineStr">
        <is>
          <t>Ezhuna (எழுநா)</t>
        </is>
      </c>
      <c r="G81" s="11" t="inlineStr">
        <is>
          <t>Online magazine article</t>
        </is>
      </c>
      <c r="H81" s="11" t="inlineStr">
        <is>
          <t>Tamil</t>
        </is>
      </c>
      <c r="I81" s="13" t="n"/>
      <c r="J81" s="13" t="inlineStr">
        <is>
          <t>prehistory</t>
        </is>
      </c>
      <c r="K81" s="11" t="inlineStr">
        <is>
          <t>Yes</t>
        </is>
      </c>
      <c r="L81" s="13" t="inlineStr">
        <is>
          <t>Series: East coast of Sri Lanka - a historical perspective</t>
        </is>
      </c>
      <c r="M81" s="14" t="inlineStr">
        <is>
          <t>https://www.ezhunaonline.com/timeline-of-sri-lankan-pre-history/</t>
        </is>
      </c>
    </row>
    <row r="82">
      <c r="A82" s="7" t="inlineStr">
        <is>
          <t>MG-0081</t>
        </is>
      </c>
      <c r="B82" s="8" t="inlineStr">
        <is>
          <t>2023</t>
        </is>
      </c>
      <c r="C82" s="7" t="inlineStr">
        <is>
          <t>2023-12-31</t>
        </is>
      </c>
      <c r="D82" s="9" t="inlineStr">
        <is>
          <t>இயக்கர் அல்லது பத்தர் : இலங்கை வரலாற்றுக் காலத்தின் துவக்கம்</t>
        </is>
      </c>
      <c r="E82" s="9" t="inlineStr">
        <is>
          <t>Vivekanantharaja Thulanchanan</t>
        </is>
      </c>
      <c r="F82" s="9" t="inlineStr">
        <is>
          <t>Ezhuna (எழுநா)</t>
        </is>
      </c>
      <c r="G82" s="7" t="inlineStr">
        <is>
          <t>Online magazine article</t>
        </is>
      </c>
      <c r="H82" s="7" t="inlineStr">
        <is>
          <t>Tamil</t>
        </is>
      </c>
      <c r="I82" s="9" t="n"/>
      <c r="J82" s="9" t="inlineStr">
        <is>
          <t>early history</t>
        </is>
      </c>
      <c r="K82" s="7" t="inlineStr">
        <is>
          <t>Yes</t>
        </is>
      </c>
      <c r="L82" s="9" t="inlineStr">
        <is>
          <t>Series: East coast of Sri Lanka - a historical perspective</t>
        </is>
      </c>
      <c r="M82" s="10" t="inlineStr">
        <is>
          <t>https://www.ezhunaonline.com/the-initial-stage-of-sri-lankan-history-period/</t>
        </is>
      </c>
    </row>
    <row r="83">
      <c r="A83" s="11" t="inlineStr">
        <is>
          <t>MG-0082</t>
        </is>
      </c>
      <c r="B83" s="12" t="inlineStr">
        <is>
          <t>2022</t>
        </is>
      </c>
      <c r="C83" s="11" t="inlineStr">
        <is>
          <t>2022-05-04</t>
        </is>
      </c>
      <c r="D83" s="13" t="inlineStr">
        <is>
          <t>இலங்கையில் அகழ்வாய்வு ஒரு அறிவியல் ஒழுக்கமா?</t>
        </is>
      </c>
      <c r="E83" s="13" t="inlineStr">
        <is>
          <t>பாக்கியநாதன் அகிலன்</t>
        </is>
      </c>
      <c r="F83" s="13" t="inlineStr">
        <is>
          <t>Ezhuna (எழுநா)</t>
        </is>
      </c>
      <c r="G83" s="11" t="inlineStr">
        <is>
          <t>Online magazine article</t>
        </is>
      </c>
      <c r="H83" s="11" t="inlineStr">
        <is>
          <t>Tamil</t>
        </is>
      </c>
      <c r="I83" s="13" t="inlineStr">
        <is>
          <t>Archaeology / தொல்லியல்</t>
        </is>
      </c>
      <c r="J83" s="13" t="inlineStr">
        <is>
          <t>அகழ்வாய்வு</t>
        </is>
      </c>
      <c r="K83" s="11" t="inlineStr">
        <is>
          <t>Yes</t>
        </is>
      </c>
      <c r="L83" s="13" t="inlineStr">
        <is>
          <t>Auto-collected 2026-10-14 (ezhuna); review.</t>
        </is>
      </c>
      <c r="M83" s="14" t="inlineStr">
        <is>
          <t>https://www.ezhunaonline.com/%e0%ae%ae%e0%ae%b0%e0%ae%aa%e0%af%81%e0%ae%b0%e0%ae%bf%e0%ae%ae%e0%af%88%e0%ae%95%e0%ae%b3%e0%af%88%e0%ae%aa%e0%af%8d-%e0%ae%aa%e0%ae%b1%e0%af%88%e0%ae%a4%e0%ae%b2%e0%af%8d-%e0%ae%87%e0%ae%b2/</t>
        </is>
      </c>
    </row>
    <row r="84">
      <c r="A84" s="7" t="inlineStr">
        <is>
          <t>MG-0083</t>
        </is>
      </c>
      <c r="B84" s="8" t="inlineStr">
        <is>
          <t>2022</t>
        </is>
      </c>
      <c r="C84" s="7" t="inlineStr">
        <is>
          <t>2022-09-28</t>
        </is>
      </c>
      <c r="D84" s="9" t="inlineStr">
        <is>
          <t>இலங்கையில் தமிழர் பற்றிய பிராமிக் கல்வெட்டுக்கள் – ஓர் அறிமுகம்</t>
        </is>
      </c>
      <c r="E84" s="9" t="inlineStr">
        <is>
          <t>N. K. S. Thiruchelvam</t>
        </is>
      </c>
      <c r="F84" s="9" t="inlineStr">
        <is>
          <t>Ezhuna (எழுநா)</t>
        </is>
      </c>
      <c r="G84" s="7" t="inlineStr">
        <is>
          <t>Online magazine article</t>
        </is>
      </c>
      <c r="H84" s="7" t="inlineStr">
        <is>
          <t>Tamil</t>
        </is>
      </c>
      <c r="I84" s="9" t="inlineStr">
        <is>
          <t>Inscriptions / கல்வெட்டு; Brahmi / பிராமி</t>
        </is>
      </c>
      <c r="J84" s="9" t="inlineStr">
        <is>
          <t>பிராமி; கல்வெட்டு; introduction</t>
        </is>
      </c>
      <c r="K84" s="7" t="inlineStr">
        <is>
          <t>Yes</t>
        </is>
      </c>
      <c r="L84" s="9" t="inlineStr">
        <is>
          <t>Series: Tamils in Brahmi &amp; Sinhala inscriptions</t>
        </is>
      </c>
      <c r="M84" s="10" t="inlineStr">
        <is>
          <t>https://www.ezhunaonline.com/brahmic-inscriptions-on-tamils-in-ceylon-an-introduction/</t>
        </is>
      </c>
    </row>
    <row r="85">
      <c r="A85" s="11" t="inlineStr">
        <is>
          <t>MG-0084</t>
        </is>
      </c>
      <c r="B85" s="12" t="inlineStr">
        <is>
          <t>2022</t>
        </is>
      </c>
      <c r="C85" s="11" t="inlineStr">
        <is>
          <t>2022-10-05</t>
        </is>
      </c>
      <c r="D85" s="13" t="inlineStr">
        <is>
          <t>இலங்கைத் தமிழரின் பூர்வீக வரலாற்றையும், பண்பாட்டையும் அடையாளப்படுத்திக் காட்டும் கட்டுக்கரைத் தொல்லியல் அகழ்வாய்வுகள்</t>
        </is>
      </c>
      <c r="E85" s="13" t="inlineStr">
        <is>
          <t>P. Pushparatnam</t>
        </is>
      </c>
      <c r="F85" s="13" t="inlineStr">
        <is>
          <t>Ezhuna (எழுநா)</t>
        </is>
      </c>
      <c r="G85" s="11" t="inlineStr">
        <is>
          <t>Online magazine article</t>
        </is>
      </c>
      <c r="H85" s="11" t="inlineStr">
        <is>
          <t>Tamil</t>
        </is>
      </c>
      <c r="I85" s="13" t="inlineStr">
        <is>
          <t>Archaeology / தொல்லியல்</t>
        </is>
      </c>
      <c r="J85" s="13" t="inlineStr">
        <is>
          <t>தொல்லியல்; Kattukarai excavation</t>
        </is>
      </c>
      <c r="K85" s="11" t="inlineStr">
        <is>
          <t>Yes</t>
        </is>
      </c>
      <c r="L85" s="13" t="inlineStr">
        <is>
          <t>Author to verify</t>
        </is>
      </c>
      <c r="M85" s="14" t="inlineStr">
        <is>
          <t>https://www.ezhunaonline.com/history-and-culture-of-srilankan-tamils-part-3/</t>
        </is>
      </c>
    </row>
    <row r="86">
      <c r="A86" s="7" t="inlineStr">
        <is>
          <t>MG-0085</t>
        </is>
      </c>
      <c r="B86" s="8" t="inlineStr">
        <is>
          <t>2022</t>
        </is>
      </c>
      <c r="C86" s="7" t="inlineStr">
        <is>
          <t>2022-10-10</t>
        </is>
      </c>
      <c r="D86" s="9" t="inlineStr">
        <is>
          <t>தமிழர் தொடர்பாக பலரும் அறிந்திருந்த 5 பிராமிக் கல்வெட்டுக்கள்</t>
        </is>
      </c>
      <c r="E86" s="9" t="inlineStr">
        <is>
          <t>N. K. S. Thiruchelvam</t>
        </is>
      </c>
      <c r="F86" s="9" t="inlineStr">
        <is>
          <t>Ezhuna (எழுநா)</t>
        </is>
      </c>
      <c r="G86" s="7" t="inlineStr">
        <is>
          <t>Online magazine article</t>
        </is>
      </c>
      <c r="H86" s="7" t="inlineStr">
        <is>
          <t>Tamil</t>
        </is>
      </c>
      <c r="I86" s="9" t="inlineStr">
        <is>
          <t>Inscriptions / கல்வெட்டு; Brahmi / பிராமி</t>
        </is>
      </c>
      <c r="J86" s="9" t="inlineStr">
        <is>
          <t>பிராமி; கல்வெட்டு</t>
        </is>
      </c>
      <c r="K86" s="7" t="inlineStr">
        <is>
          <t>Yes</t>
        </is>
      </c>
      <c r="L86" s="9" t="inlineStr">
        <is>
          <t>Series: Tamils in Brahmi &amp; Sinhala inscriptions</t>
        </is>
      </c>
      <c r="M86" s="10" t="inlineStr">
        <is>
          <t>https://www.ezhunaonline.com/5brahmic-in-icriptions-tamils/</t>
        </is>
      </c>
    </row>
    <row r="87">
      <c r="A87" s="11" t="inlineStr">
        <is>
          <t>MG-0086</t>
        </is>
      </c>
      <c r="B87" s="12" t="inlineStr">
        <is>
          <t>2022</t>
        </is>
      </c>
      <c r="C87" s="11" t="inlineStr">
        <is>
          <t>2022-10-26</t>
        </is>
      </c>
      <c r="D87" s="13" t="inlineStr">
        <is>
          <t>கீழைக்கரைக்கான வரலாற்றுச் சான்றுகள் : கல்வெட்டுக்களும் பொறிப்புகளும்</t>
        </is>
      </c>
      <c r="E87" s="13" t="inlineStr">
        <is>
          <t>விவேகானந்தராஜா துலாஞ்சனன்</t>
        </is>
      </c>
      <c r="F87" s="13" t="inlineStr">
        <is>
          <t>Ezhuna (எழுநா)</t>
        </is>
      </c>
      <c r="G87" s="11" t="inlineStr">
        <is>
          <t>Online magazine article</t>
        </is>
      </c>
      <c r="H87" s="11" t="inlineStr">
        <is>
          <t>Tamil</t>
        </is>
      </c>
      <c r="I87" s="13" t="inlineStr">
        <is>
          <t>Inscriptions / கல்வெட்டு</t>
        </is>
      </c>
      <c r="J87" s="13" t="inlineStr">
        <is>
          <t>கல்வெட்டு</t>
        </is>
      </c>
      <c r="K87" s="11" t="inlineStr">
        <is>
          <t>Yes</t>
        </is>
      </c>
      <c r="L87" s="13" t="inlineStr">
        <is>
          <t>Auto-collected 2026-10-14 (ezhuna); review.</t>
        </is>
      </c>
      <c r="M87" s="14" t="inlineStr">
        <is>
          <t>https://www.ezhunaonline.com/historical-evidence-of-keekhakarai/</t>
        </is>
      </c>
    </row>
    <row r="88">
      <c r="A88" s="7" t="inlineStr">
        <is>
          <t>MG-0087</t>
        </is>
      </c>
      <c r="B88" s="8" t="inlineStr">
        <is>
          <t>2022</t>
        </is>
      </c>
      <c r="C88" s="7" t="inlineStr">
        <is>
          <t>2022-11-07</t>
        </is>
      </c>
      <c r="D88" s="9" t="inlineStr">
        <is>
          <t>தமிழ் வணிகன் பற்றிக் கூறும் பெரிய புளியங்குளம் கல்வெட்டுக்கள்</t>
        </is>
      </c>
      <c r="E88" s="9" t="inlineStr">
        <is>
          <t>N. K. S. Thiruchelvam</t>
        </is>
      </c>
      <c r="F88" s="9" t="inlineStr">
        <is>
          <t>Ezhuna (எழுநா)</t>
        </is>
      </c>
      <c r="G88" s="7" t="inlineStr">
        <is>
          <t>Online magazine article</t>
        </is>
      </c>
      <c r="H88" s="7" t="inlineStr">
        <is>
          <t>Tamil</t>
        </is>
      </c>
      <c r="I88" s="9" t="inlineStr">
        <is>
          <t>Inscriptions / கல்வெட்டு</t>
        </is>
      </c>
      <c r="J88" s="9" t="inlineStr">
        <is>
          <t>கல்வெட்டு; Periya Puliyankulam</t>
        </is>
      </c>
      <c r="K88" s="7" t="inlineStr">
        <is>
          <t>Yes</t>
        </is>
      </c>
      <c r="L88" s="9" t="inlineStr">
        <is>
          <t>Series: Tamils in Brahmi &amp; Sinhala inscriptions</t>
        </is>
      </c>
      <c r="M88" s="10" t="inlineStr">
        <is>
          <t>https://www.ezhunaonline.com/tamil-vanikan-puliankulam-inscriptions/</t>
        </is>
      </c>
    </row>
    <row r="89">
      <c r="A89" s="11" t="inlineStr">
        <is>
          <t>MG-0088</t>
        </is>
      </c>
      <c r="B89" s="12" t="inlineStr">
        <is>
          <t>2022</t>
        </is>
      </c>
      <c r="C89" s="11" t="inlineStr">
        <is>
          <t>2022-11-20</t>
        </is>
      </c>
      <c r="D89" s="13" t="inlineStr">
        <is>
          <t>தமிழர் வீரத்தை பறைசாற்றும் நடுகல்</t>
        </is>
      </c>
      <c r="E89" s="13" t="inlineStr">
        <is>
          <t>Aingaran Vigneswara</t>
        </is>
      </c>
      <c r="F89" s="13" t="inlineStr">
        <is>
          <t>Vanakkam London</t>
        </is>
      </c>
      <c r="G89" s="11" t="inlineStr">
        <is>
          <t>Online magazine article</t>
        </is>
      </c>
      <c r="H89" s="11" t="inlineStr">
        <is>
          <t>Tamil</t>
        </is>
      </c>
      <c r="I89" s="13" t="inlineStr">
        <is>
          <t>Hero stones / நடுகல்</t>
        </is>
      </c>
      <c r="J89" s="13" t="inlineStr">
        <is>
          <t>நடுகல்; hero stone; memorial</t>
        </is>
      </c>
      <c r="K89" s="11" t="inlineStr">
        <is>
          <t>Yes</t>
        </is>
      </c>
      <c r="L89" s="13" t="inlineStr">
        <is>
          <t>Covers Sangam-era hero stones to Eelam war memorials</t>
        </is>
      </c>
      <c r="M89" s="14" t="inlineStr">
        <is>
          <t>https://vanakkamlondon.com/stories/featured-story/2022/11/178155/</t>
        </is>
      </c>
    </row>
    <row r="90">
      <c r="A90" s="7" t="inlineStr">
        <is>
          <t>MG-0089</t>
        </is>
      </c>
      <c r="B90" s="8" t="inlineStr">
        <is>
          <t>2022</t>
        </is>
      </c>
      <c r="C90" s="7" t="inlineStr">
        <is>
          <t>2022-11-28</t>
        </is>
      </c>
      <c r="D90" s="9" t="inlineStr">
        <is>
          <t>தமிழ் குடும்பத் தலைவன் குட்டன் பற்றிய சேருவில கல்வெட்டு</t>
        </is>
      </c>
      <c r="E90" s="9" t="inlineStr">
        <is>
          <t>N. K. S. Thiruchelvam</t>
        </is>
      </c>
      <c r="F90" s="9" t="inlineStr">
        <is>
          <t>Ezhuna (எழுநா)</t>
        </is>
      </c>
      <c r="G90" s="7" t="inlineStr">
        <is>
          <t>Online magazine article</t>
        </is>
      </c>
      <c r="H90" s="7" t="inlineStr">
        <is>
          <t>Tamil</t>
        </is>
      </c>
      <c r="I90" s="9" t="inlineStr">
        <is>
          <t>Inscriptions / கல்வெட்டு</t>
        </is>
      </c>
      <c r="J90" s="9" t="inlineStr">
        <is>
          <t>கல்வெட்டு; Seruvila</t>
        </is>
      </c>
      <c r="K90" s="7" t="inlineStr">
        <is>
          <t>Yes</t>
        </is>
      </c>
      <c r="L90" s="9" t="inlineStr">
        <is>
          <t>Series: Tamils in Brahmi &amp; Sinhala inscriptions</t>
        </is>
      </c>
      <c r="M90" s="10" t="inlineStr">
        <is>
          <t>https://www.ezhunaonline.com/seruvila-inscription-on-tamil-family-leader-guttan/</t>
        </is>
      </c>
    </row>
    <row r="91">
      <c r="A91" s="11" t="inlineStr">
        <is>
          <t>MG-0090</t>
        </is>
      </c>
      <c r="B91" s="12" t="inlineStr">
        <is>
          <t>2022</t>
        </is>
      </c>
      <c r="C91" s="11" t="inlineStr">
        <is>
          <t>2022-12-15</t>
        </is>
      </c>
      <c r="D91" s="13" t="inlineStr">
        <is>
          <t>வன்னிப் பெருநிலப்பரப்பில் மீண்டும் அரியதொரு தமிழ்க் கல்வெட்டு கண்டுபிடிப்பு</t>
        </is>
      </c>
      <c r="E91" s="13" t="inlineStr">
        <is>
          <t>பரமு புஷ்பரட்ணம்</t>
        </is>
      </c>
      <c r="F91" s="13" t="inlineStr">
        <is>
          <t>Ezhuna (எழுநா)</t>
        </is>
      </c>
      <c r="G91" s="11" t="inlineStr">
        <is>
          <t>Online magazine article</t>
        </is>
      </c>
      <c r="H91" s="11" t="inlineStr">
        <is>
          <t>Tamil</t>
        </is>
      </c>
      <c r="I91" s="13" t="inlineStr">
        <is>
          <t>Inscriptions / கல்வெட்டு</t>
        </is>
      </c>
      <c r="J91" s="13" t="inlineStr">
        <is>
          <t>கல்வெட்டு</t>
        </is>
      </c>
      <c r="K91" s="11" t="inlineStr">
        <is>
          <t>Yes</t>
        </is>
      </c>
      <c r="L91" s="13" t="inlineStr">
        <is>
          <t>Auto-collected 2026-10-14 (ezhuna); review.</t>
        </is>
      </c>
      <c r="M91" s="14" t="inlineStr">
        <is>
          <t>https://www.ezhunaonline.com/tamil-inscription-found-in-the-vanni/</t>
        </is>
      </c>
    </row>
    <row r="92">
      <c r="A92" s="7" t="inlineStr">
        <is>
          <t>MG-0091</t>
        </is>
      </c>
      <c r="B92" s="8" t="inlineStr">
        <is>
          <t>2022</t>
        </is>
      </c>
      <c r="C92" s="7" t="inlineStr">
        <is>
          <t>2022-12-19</t>
        </is>
      </c>
      <c r="D92" s="9" t="inlineStr">
        <is>
          <t>தீகவாபியின் குடிமகனான தமிழ் வணிகன் பற்றிய குடிவில் கல்வெட்டு</t>
        </is>
      </c>
      <c r="E92" s="9" t="inlineStr">
        <is>
          <t>N. K. S. Thiruchelvam</t>
        </is>
      </c>
      <c r="F92" s="9" t="inlineStr">
        <is>
          <t>Ezhuna (எழுநா)</t>
        </is>
      </c>
      <c r="G92" s="7" t="inlineStr">
        <is>
          <t>Online magazine article</t>
        </is>
      </c>
      <c r="H92" s="7" t="inlineStr">
        <is>
          <t>Tamil</t>
        </is>
      </c>
      <c r="I92" s="9" t="inlineStr">
        <is>
          <t>Inscriptions / கல்வெட்டு</t>
        </is>
      </c>
      <c r="J92" s="9" t="inlineStr">
        <is>
          <t>கல்வெட்டு; Kudivil; merchant</t>
        </is>
      </c>
      <c r="K92" s="7" t="inlineStr">
        <is>
          <t>Yes</t>
        </is>
      </c>
      <c r="L92" s="9" t="inlineStr">
        <is>
          <t>Series: Tamils in Brahmi &amp; Sinhala inscriptions</t>
        </is>
      </c>
      <c r="M92" s="10" t="inlineStr">
        <is>
          <t>https://www.ezhunaonline.com/gudvil-inscription-about-a-tamil-merchant-who-was-a-resident-of-dikavapi/</t>
        </is>
      </c>
    </row>
    <row r="93">
      <c r="A93" s="11" t="inlineStr">
        <is>
          <t>MG-0092</t>
        </is>
      </c>
      <c r="B93" s="12" t="inlineStr">
        <is>
          <t>2022</t>
        </is>
      </c>
      <c r="C93" s="11" t="inlineStr">
        <is>
          <t>2022-12-28</t>
        </is>
      </c>
      <c r="D93" s="13" t="inlineStr">
        <is>
          <t>கீழைக்கரைக்கான எழுத்துச் சான்றுகள் : தமிழ் இலக்கியங்கள்</t>
        </is>
      </c>
      <c r="E93" s="13" t="inlineStr">
        <is>
          <t>Vivekanantharaja Thulanchanan</t>
        </is>
      </c>
      <c r="F93" s="13" t="inlineStr">
        <is>
          <t>Ezhuna (எழுநா)</t>
        </is>
      </c>
      <c r="G93" s="11" t="inlineStr">
        <is>
          <t>Online magazine article</t>
        </is>
      </c>
      <c r="H93" s="11" t="inlineStr">
        <is>
          <t>Tamil</t>
        </is>
      </c>
      <c r="I93" s="13" t="n"/>
      <c r="J93" s="13" t="inlineStr">
        <is>
          <t>East coast; sources</t>
        </is>
      </c>
      <c r="K93" s="11" t="inlineStr">
        <is>
          <t>Yes</t>
        </is>
      </c>
      <c r="L93" s="13" t="inlineStr">
        <is>
          <t>Series: East coast of Sri Lanka - a historical perspective</t>
        </is>
      </c>
      <c r="M93" s="14" t="inlineStr">
        <is>
          <t>https://www.ezhunaonline.com/evidence-for-keekhakarai-tamil-literature/</t>
        </is>
      </c>
    </row>
    <row r="94">
      <c r="A94" s="7" t="inlineStr">
        <is>
          <t>MG-0093</t>
        </is>
      </c>
      <c r="B94" s="8" t="inlineStr">
        <is>
          <t>2021</t>
        </is>
      </c>
      <c r="C94" s="7" t="inlineStr">
        <is>
          <t>2021-01-29</t>
        </is>
      </c>
      <c r="D94" s="9" t="inlineStr">
        <is>
          <t>அழிந்துவரும் மரபுரிமைச் சின்னங்கள்</t>
        </is>
      </c>
      <c r="E94" s="9" t="inlineStr">
        <is>
          <t>இரத்தினவேலுப்பிள்ளை மயூரநாதன்</t>
        </is>
      </c>
      <c r="F94" s="9" t="inlineStr">
        <is>
          <t>Ezhuna (எழுநா)</t>
        </is>
      </c>
      <c r="G94" s="7" t="inlineStr">
        <is>
          <t>Online magazine article</t>
        </is>
      </c>
      <c r="H94" s="7" t="inlineStr">
        <is>
          <t>Tamil</t>
        </is>
      </c>
      <c r="I94" s="9" t="n"/>
      <c r="J94" s="9" t="n"/>
      <c r="K94" s="7" t="inlineStr">
        <is>
          <t>Yes</t>
        </is>
      </c>
      <c r="L94" s="9" t="inlineStr">
        <is>
          <t>Auto-collected 2026-10-14 (ezhuna); review.</t>
        </is>
      </c>
      <c r="M94" s="10" t="inlineStr">
        <is>
          <t>https://www.ezhunaonline.com/alinthu-varum-maraburimai-sinnangal/</t>
        </is>
      </c>
    </row>
    <row r="95">
      <c r="A95" s="11" t="inlineStr">
        <is>
          <t>MG-0094</t>
        </is>
      </c>
      <c r="B95" s="12" t="inlineStr">
        <is>
          <t>2021</t>
        </is>
      </c>
      <c r="C95" s="11" t="inlineStr">
        <is>
          <t>2021-01-29</t>
        </is>
      </c>
      <c r="D95" s="13" t="inlineStr">
        <is>
          <t>யாழ்ப்பாண நகருக்கு முந்திய தலைநகரங்கள்</t>
        </is>
      </c>
      <c r="E95" s="13" t="inlineStr">
        <is>
          <t>இரத்தினவேலுப்பிள்ளை மயூரநாதன்</t>
        </is>
      </c>
      <c r="F95" s="13" t="inlineStr">
        <is>
          <t>Ezhuna (எழுநா)</t>
        </is>
      </c>
      <c r="G95" s="11" t="inlineStr">
        <is>
          <t>Online magazine article</t>
        </is>
      </c>
      <c r="H95" s="11" t="inlineStr">
        <is>
          <t>Tamil</t>
        </is>
      </c>
      <c r="I95" s="13" t="n"/>
      <c r="J95" s="13" t="n"/>
      <c r="K95" s="11" t="inlineStr">
        <is>
          <t>Yes</t>
        </is>
      </c>
      <c r="L95" s="13" t="inlineStr">
        <is>
          <t>Auto-collected 2026-10-14 (ezhuna); review.</t>
        </is>
      </c>
      <c r="M95" s="14" t="inlineStr">
        <is>
          <t>https://www.ezhunaonline.com/yaalpana-nagarukku-mundhiya-thalainagarangal/</t>
        </is>
      </c>
    </row>
    <row r="96">
      <c r="A96" s="7" t="inlineStr">
        <is>
          <t>MG-0095</t>
        </is>
      </c>
      <c r="B96" s="8" t="inlineStr">
        <is>
          <t>2012</t>
        </is>
      </c>
      <c r="C96" s="7" t="n"/>
      <c r="D96" s="9" t="inlineStr">
        <is>
          <t>The Avuranchchi Stones and Resting Stones (Sumaithankikkal) in the Cultural Life of Tamils</t>
        </is>
      </c>
      <c r="E96" s="9" t="inlineStr">
        <is>
          <t>S. Sajitharan</t>
        </is>
      </c>
      <c r="F96" s="9" t="inlineStr">
        <is>
          <t>Life Style of Jaffna, Express Newspapers (Ceylon)</t>
        </is>
      </c>
      <c r="G96" s="7" t="inlineStr">
        <is>
          <t>Book chapter</t>
        </is>
      </c>
      <c r="H96" s="7" t="inlineStr">
        <is>
          <t>Tamil</t>
        </is>
      </c>
      <c r="I96" s="9" t="n"/>
      <c r="J96" s="9" t="inlineStr">
        <is>
          <t>stones; material culture</t>
        </is>
      </c>
      <c r="K96" s="7" t="inlineStr">
        <is>
          <t>Yes</t>
        </is>
      </c>
      <c r="L96" s="9" t="n"/>
      <c r="M96" s="10" t="inlineStr">
        <is>
          <t>https://www.his.jfn.ac.lk/?p=791</t>
        </is>
      </c>
    </row>
    <row r="97">
      <c r="A97" s="11" t="inlineStr">
        <is>
          <t>MG-0096</t>
        </is>
      </c>
      <c r="B97" s="12" t="inlineStr">
        <is>
          <t>2012</t>
        </is>
      </c>
      <c r="C97" s="11" t="n"/>
      <c r="D97" s="13" t="inlineStr">
        <is>
          <t>The Dutch Church of Chankanai: one of the most important archaeological sites in the Jaffna Peninsula</t>
        </is>
      </c>
      <c r="E97" s="13" t="inlineStr">
        <is>
          <t>S. Sajitharan</t>
        </is>
      </c>
      <c r="F97" s="13" t="inlineStr">
        <is>
          <t>Kalasurapi (Historical Society journal)</t>
        </is>
      </c>
      <c r="G97" s="11" t="inlineStr">
        <is>
          <t>Magazine article</t>
        </is>
      </c>
      <c r="H97" s="11" t="inlineStr">
        <is>
          <t>Tamil</t>
        </is>
      </c>
      <c r="I97" s="13" t="inlineStr">
        <is>
          <t>Archaeology / தொல்லியல்</t>
        </is>
      </c>
      <c r="J97" s="13" t="inlineStr">
        <is>
          <t>archaeology; heritage</t>
        </is>
      </c>
      <c r="K97" s="11" t="inlineStr">
        <is>
          <t>Yes</t>
        </is>
      </c>
      <c r="L97" s="13" t="n"/>
      <c r="M97" s="14" t="inlineStr">
        <is>
          <t>https://www.his.jfn.ac.lk/?p=791</t>
        </is>
      </c>
    </row>
    <row r="98">
      <c r="A98" s="7" t="inlineStr">
        <is>
          <t>MG-0097</t>
        </is>
      </c>
      <c r="B98" s="8" t="inlineStr">
        <is>
          <t>2008</t>
        </is>
      </c>
      <c r="C98" s="7" t="n"/>
      <c r="D98" s="9" t="inlineStr">
        <is>
          <t>Amazing Discovery of Archaeological Artifact by Dept. of Archaeology, Tamil University, Thanjavur</t>
        </is>
      </c>
      <c r="E98" s="9" t="inlineStr">
        <is>
          <t>S. Sajitharan</t>
        </is>
      </c>
      <c r="F98" s="9" t="inlineStr">
        <is>
          <t>Thedal (Archaeological Study Circle, Dept. of History, University of Jaffna)</t>
        </is>
      </c>
      <c r="G98" s="7" t="inlineStr">
        <is>
          <t>Magazine article</t>
        </is>
      </c>
      <c r="H98" s="7" t="inlineStr">
        <is>
          <t>Tamil</t>
        </is>
      </c>
      <c r="I98" s="9" t="inlineStr">
        <is>
          <t>Archaeology / தொல்லியல்</t>
        </is>
      </c>
      <c r="J98" s="9" t="inlineStr">
        <is>
          <t>தொல்லியல்</t>
        </is>
      </c>
      <c r="K98" s="7" t="inlineStr">
        <is>
          <t>Yes</t>
        </is>
      </c>
      <c r="L98" s="9" t="n"/>
      <c r="M98" s="10" t="inlineStr">
        <is>
          <t>https://www.his.jfn.ac.lk/?p=791</t>
        </is>
      </c>
    </row>
    <row r="99">
      <c r="A99" s="11" t="inlineStr">
        <is>
          <t>MG-0098</t>
        </is>
      </c>
      <c r="B99" s="12" t="inlineStr">
        <is>
          <t>2003</t>
        </is>
      </c>
      <c r="C99" s="11" t="inlineStr">
        <is>
          <t>2003-04-11</t>
        </is>
      </c>
      <c r="D99" s="13" t="inlineStr">
        <is>
          <t>A magnum opus on Tamil-Brahmi inscriptions</t>
        </is>
      </c>
      <c r="E99" s="13" t="inlineStr">
        <is>
          <t>R. Champakalakshmi</t>
        </is>
      </c>
      <c r="F99" s="13" t="inlineStr">
        <is>
          <t>Frontline</t>
        </is>
      </c>
      <c r="G99" s="11" t="inlineStr">
        <is>
          <t>Book review</t>
        </is>
      </c>
      <c r="H99" s="11" t="inlineStr">
        <is>
          <t>English</t>
        </is>
      </c>
      <c r="I99" s="13" t="inlineStr">
        <is>
          <t>Inscriptions / கல்வெட்டு; Brahmi / பிராமி</t>
        </is>
      </c>
      <c r="J99" s="13" t="inlineStr">
        <is>
          <t>Tamil Brahmi; Mahadevan; Sinhala Brahmi</t>
        </is>
      </c>
      <c r="K99" s="11" t="inlineStr">
        <is>
          <t>Yes</t>
        </is>
      </c>
      <c r="L99" s="13" t="n"/>
      <c r="M99" s="14" t="inlineStr">
        <is>
          <t>https://www.worldgenweb.org/lkawgw/tamil-brahmi.htm</t>
        </is>
      </c>
    </row>
    <row r="100">
      <c r="A100" s="7" t="inlineStr">
        <is>
          <t>MG-0099</t>
        </is>
      </c>
      <c r="B100" s="8" t="n"/>
      <c r="C100" s="7" t="n"/>
      <c r="D100" s="9" t="inlineStr">
        <is>
          <t>இலங்கைத் தமிழ்க் கல்வெட்டுகளில் பிராமணரும் பிரமதேயமும்</t>
        </is>
      </c>
      <c r="E100" s="9" t="n"/>
      <c r="F100" s="9" t="inlineStr">
        <is>
          <t>Ezhuna (எழுநா)</t>
        </is>
      </c>
      <c r="G100" s="7" t="inlineStr">
        <is>
          <t>Online magazine article</t>
        </is>
      </c>
      <c r="H100" s="7" t="inlineStr">
        <is>
          <t>Tamil</t>
        </is>
      </c>
      <c r="I100" s="9" t="inlineStr">
        <is>
          <t>Inscriptions / கல்வெட்டு</t>
        </is>
      </c>
      <c r="J100" s="9" t="inlineStr">
        <is>
          <t>கல்வெட்டு; Brahmadeya</t>
        </is>
      </c>
      <c r="K100" s="7" t="inlineStr">
        <is>
          <t>Unknown</t>
        </is>
      </c>
      <c r="L100" s="9" t="n"/>
      <c r="M100" s="10" t="inlineStr">
        <is>
          <t>https://www.ezhunaonline.com/article/brahmin-and-brahmatheya-in-sri-lankan-tamil-inscriptions/</t>
        </is>
      </c>
    </row>
    <row r="101">
      <c r="A101" s="11" t="inlineStr">
        <is>
          <t>MG-0100</t>
        </is>
      </c>
      <c r="B101" s="12" t="n"/>
      <c r="C101" s="11" t="n"/>
      <c r="D101" s="13" t="inlineStr">
        <is>
          <t>இலங்கைப் பிராமிக் கல்வெட்டுக்களில் சங்ககால வேள்</t>
        </is>
      </c>
      <c r="E101" s="13" t="inlineStr">
        <is>
          <t>N. K. S. Thiruchelvam</t>
        </is>
      </c>
      <c r="F101" s="13" t="inlineStr">
        <is>
          <t>Ezhuna (எழுநா)</t>
        </is>
      </c>
      <c r="G101" s="11" t="inlineStr">
        <is>
          <t>Online magazine article</t>
        </is>
      </c>
      <c r="H101" s="11" t="inlineStr">
        <is>
          <t>Tamil</t>
        </is>
      </c>
      <c r="I101" s="13" t="inlineStr">
        <is>
          <t>Inscriptions / கல்வெட்டு; Brahmi / பிராமி</t>
        </is>
      </c>
      <c r="J101" s="13" t="inlineStr">
        <is>
          <t>பிராமி; Sangam; Vel</t>
        </is>
      </c>
      <c r="K101" s="11" t="inlineStr">
        <is>
          <t>Unknown</t>
        </is>
      </c>
      <c r="L101" s="13" t="n"/>
      <c r="M101" s="14" t="inlineStr">
        <is>
          <t>https://www.ezhunaonline.com/sangam-age-in-sri-lankan-brahmic-inscriptions/</t>
        </is>
      </c>
    </row>
    <row r="102">
      <c r="A102" s="7" t="inlineStr">
        <is>
          <t>MG-0101</t>
        </is>
      </c>
      <c r="B102" s="8" t="n"/>
      <c r="C102" s="7" t="n"/>
      <c r="D102" s="9" t="inlineStr">
        <is>
          <t>இலங்கையில் கண்ணகி வழிபாடு புகுந்த முறை</t>
        </is>
      </c>
      <c r="E102" s="9" t="n"/>
      <c r="F102" s="9" t="inlineStr">
        <is>
          <t>Ezhuna (எழுநா)</t>
        </is>
      </c>
      <c r="G102" s="7" t="inlineStr">
        <is>
          <t>Online magazine article</t>
        </is>
      </c>
      <c r="H102" s="7" t="inlineStr">
        <is>
          <t>Tamil</t>
        </is>
      </c>
      <c r="I102" s="9" t="n"/>
      <c r="J102" s="9" t="inlineStr">
        <is>
          <t>Kannagi worship</t>
        </is>
      </c>
      <c r="K102" s="7" t="inlineStr">
        <is>
          <t>Unknown</t>
        </is>
      </c>
      <c r="L102" s="9" t="n"/>
      <c r="M102" s="10" t="inlineStr">
        <is>
          <t>https://www.ezhunaonline.com/how-kannagi-worship-entered-sri-lanka/</t>
        </is>
      </c>
    </row>
    <row r="103">
      <c r="A103" s="11" t="inlineStr">
        <is>
          <t>MG-0102</t>
        </is>
      </c>
      <c r="B103" s="12" t="n"/>
      <c r="C103" s="11" t="n"/>
      <c r="D103" s="13" t="inlineStr">
        <is>
          <t>செட்டிகுளம் : தமிழரின் பூர்வீக வரலாற்றை வெளிச்சத்திற்கு கொண்டுவரும் சில தொல்லியற் சான்றுகள்</t>
        </is>
      </c>
      <c r="E103" s="13" t="n"/>
      <c r="F103" s="13" t="inlineStr">
        <is>
          <t>Ezhuna (எழுநா)</t>
        </is>
      </c>
      <c r="G103" s="11" t="inlineStr">
        <is>
          <t>Online magazine article</t>
        </is>
      </c>
      <c r="H103" s="11" t="inlineStr">
        <is>
          <t>Tamil</t>
        </is>
      </c>
      <c r="I103" s="13" t="inlineStr">
        <is>
          <t>Archaeology / தொல்லியல்</t>
        </is>
      </c>
      <c r="J103" s="13" t="inlineStr">
        <is>
          <t>தொல்லியல்; Cheddikulam</t>
        </is>
      </c>
      <c r="K103" s="11" t="inlineStr">
        <is>
          <t>Unknown</t>
        </is>
      </c>
      <c r="L103" s="13" t="n"/>
      <c r="M103" s="14" t="inlineStr">
        <is>
          <t>https://www.ezhunaonline.com/the-archaeological-value-of-cheddikulam/</t>
        </is>
      </c>
    </row>
    <row r="104">
      <c r="A104" s="7" t="inlineStr">
        <is>
          <t>MG-0103</t>
        </is>
      </c>
      <c r="B104" s="8" t="n"/>
      <c r="C104" s="7" t="n"/>
      <c r="D104" s="9" t="inlineStr">
        <is>
          <t>நாட்டார் சமயங்களும் இந்து மதமும்</t>
        </is>
      </c>
      <c r="E104" s="9" t="n"/>
      <c r="F104" s="9" t="inlineStr">
        <is>
          <t>Ezhuna (எழுநா)</t>
        </is>
      </c>
      <c r="G104" s="7" t="inlineStr">
        <is>
          <t>Online magazine article</t>
        </is>
      </c>
      <c r="H104" s="7" t="inlineStr">
        <is>
          <t>Tamil</t>
        </is>
      </c>
      <c r="I104" s="9" t="inlineStr">
        <is>
          <t>Hero stones / நடுகல்</t>
        </is>
      </c>
      <c r="J104" s="9" t="inlineStr">
        <is>
          <t>folk religion; நடுகல்</t>
        </is>
      </c>
      <c r="K104" s="7" t="inlineStr">
        <is>
          <t>Unknown</t>
        </is>
      </c>
      <c r="L104" s="9" t="n"/>
      <c r="M104" s="10" t="inlineStr">
        <is>
          <t>https://www.ezhunaonline.com/folk-religion-and-hinduism/</t>
        </is>
      </c>
    </row>
    <row r="105">
      <c r="A105" s="11" t="inlineStr">
        <is>
          <t>MG-0104</t>
        </is>
      </c>
      <c r="B105" s="12" t="n"/>
      <c r="C105" s="11" t="n"/>
      <c r="D105" s="13" t="inlineStr">
        <is>
          <t>பண்டைத் தமிழர் வழிபாட்டு மரபில் கண்ணகி</t>
        </is>
      </c>
      <c r="E105" s="13" t="n"/>
      <c r="F105" s="13" t="inlineStr">
        <is>
          <t>Ezhuna (எழுநா)</t>
        </is>
      </c>
      <c r="G105" s="11" t="inlineStr">
        <is>
          <t>Online magazine article</t>
        </is>
      </c>
      <c r="H105" s="11" t="inlineStr">
        <is>
          <t>Tamil</t>
        </is>
      </c>
      <c r="I105" s="13" t="n"/>
      <c r="J105" s="13" t="inlineStr">
        <is>
          <t>Kannagi worship</t>
        </is>
      </c>
      <c r="K105" s="11" t="inlineStr">
        <is>
          <t>Unknown</t>
        </is>
      </c>
      <c r="L105" s="13" t="n"/>
      <c r="M105" s="14" t="inlineStr">
        <is>
          <t>https://www.ezhunaonline.com/kanaki-worship-in-ancient-tamil-culture/</t>
        </is>
      </c>
    </row>
    <row r="106">
      <c r="A106" s="7" t="inlineStr">
        <is>
          <t>MG-0105</t>
        </is>
      </c>
      <c r="B106" s="8" t="n"/>
      <c r="C106" s="7" t="n"/>
      <c r="D106" s="9" t="inlineStr">
        <is>
          <t>பிராமி எழுத்து வடிவமும் தொடக்ககால எழுத்தறிவும்</t>
        </is>
      </c>
      <c r="E106" s="9" t="n"/>
      <c r="F106" s="9" t="inlineStr">
        <is>
          <t>Ezhuna (எழுநா)</t>
        </is>
      </c>
      <c r="G106" s="7" t="inlineStr">
        <is>
          <t>Online magazine article</t>
        </is>
      </c>
      <c r="H106" s="7" t="inlineStr">
        <is>
          <t>Tamil</t>
        </is>
      </c>
      <c r="I106" s="9" t="inlineStr">
        <is>
          <t>Brahmi / பிராமி</t>
        </is>
      </c>
      <c r="J106" s="9" t="inlineStr">
        <is>
          <t>பிராமி; literacy</t>
        </is>
      </c>
      <c r="K106" s="7" t="inlineStr">
        <is>
          <t>Unknown</t>
        </is>
      </c>
      <c r="L106" s="9" t="n"/>
      <c r="M106" s="10" t="inlineStr">
        <is>
          <t>https://www.ezhunaonline.com/article/brahmi-script-and-early-literacy/</t>
        </is>
      </c>
    </row>
    <row r="107">
      <c r="A107" s="11" t="inlineStr">
        <is>
          <t>MG-0106</t>
        </is>
      </c>
      <c r="B107" s="12" t="n"/>
      <c r="C107" s="11" t="n"/>
      <c r="D107" s="13" t="inlineStr">
        <is>
          <t>பெருங்கற்பண்பாட்டுக் கால இலங்கையில் தமிழரும் பௌத்தமும்</t>
        </is>
      </c>
      <c r="E107" s="13" t="n"/>
      <c r="F107" s="13" t="inlineStr">
        <is>
          <t>Ezhuna (எழுநா)</t>
        </is>
      </c>
      <c r="G107" s="11" t="inlineStr">
        <is>
          <t>Online magazine article</t>
        </is>
      </c>
      <c r="H107" s="11" t="inlineStr">
        <is>
          <t>Tamil</t>
        </is>
      </c>
      <c r="I107" s="13" t="inlineStr">
        <is>
          <t>Archaeology / தொல்லியல்</t>
        </is>
      </c>
      <c r="J107" s="13" t="inlineStr">
        <is>
          <t>megalithic; Buddhism; Tamils</t>
        </is>
      </c>
      <c r="K107" s="11" t="inlineStr">
        <is>
          <t>Unknown</t>
        </is>
      </c>
      <c r="L107" s="13" t="n"/>
      <c r="M107" s="14" t="inlineStr">
        <is>
          <t>https://www.ezhunaonline.com/compilation/buddhism-and-tamils-during-megalith-of-srilanka/</t>
        </is>
      </c>
    </row>
    <row r="108">
      <c r="A108" s="7" t="inlineStr">
        <is>
          <t>MG-0107</t>
        </is>
      </c>
      <c r="B108" s="8" t="n"/>
      <c r="C108" s="7" t="n"/>
      <c r="D108" s="9" t="inlineStr">
        <is>
          <t>மீளுருவாக்கப்பட்ட ஆரியகுளமும் ஆரியச்சக்கரவர்த்திகளும்</t>
        </is>
      </c>
      <c r="E108" s="9" t="n"/>
      <c r="F108" s="9" t="inlineStr">
        <is>
          <t>Ezhuna (எழுநா)</t>
        </is>
      </c>
      <c r="G108" s="7" t="inlineStr">
        <is>
          <t>Online magazine article</t>
        </is>
      </c>
      <c r="H108" s="7" t="inlineStr">
        <is>
          <t>Tamil</t>
        </is>
      </c>
      <c r="I108" s="9" t="n"/>
      <c r="J108" s="9" t="inlineStr">
        <is>
          <t>history; Jaffna kingdom</t>
        </is>
      </c>
      <c r="K108" s="7" t="inlineStr">
        <is>
          <t>Unknown</t>
        </is>
      </c>
      <c r="L108" s="9" t="n"/>
      <c r="M108" s="10" t="inlineStr">
        <is>
          <t>https://www.ezhunaonline.com/history-of-ariya-kulam-jaffna/</t>
        </is>
      </c>
    </row>
    <row r="109">
      <c r="A109" s="11" t="inlineStr">
        <is>
          <t>MG-0108</t>
        </is>
      </c>
      <c r="B109" s="12" t="n"/>
      <c r="C109" s="11" t="n"/>
      <c r="D109" s="13" t="inlineStr">
        <is>
          <t>யாழ்ப்பாணஅரசு தோன்ற முன்னர் வன்னிப் பெருநிலப்பரப்பில் தமிழ் இராசதானி இருந்ததை உறுதிப்படுத்தும் குருந்தன்குள ஆலய அழிபாடுகள்</t>
        </is>
      </c>
      <c r="E109" s="13" t="n"/>
      <c r="F109" s="13" t="inlineStr">
        <is>
          <t>Ezhuna (எழுநா)</t>
        </is>
      </c>
      <c r="G109" s="11" t="inlineStr">
        <is>
          <t>Online magazine article</t>
        </is>
      </c>
      <c r="H109" s="11" t="inlineStr">
        <is>
          <t>Tamil</t>
        </is>
      </c>
      <c r="I109" s="13" t="inlineStr">
        <is>
          <t>Archaeology / தொல்லியல்</t>
        </is>
      </c>
      <c r="J109" s="13" t="inlineStr">
        <is>
          <t>தொல்லியல்; Kurundankulam; Vanni</t>
        </is>
      </c>
      <c r="K109" s="11" t="inlineStr">
        <is>
          <t>Unknown</t>
        </is>
      </c>
      <c r="L109" s="13" t="n"/>
      <c r="M109" s="14" t="inlineStr">
        <is>
          <t>https://www.ezhunaonline.com/tamil-rasathani-in-vanni-kurundankula-temple/</t>
        </is>
      </c>
    </row>
    <row r="110">
      <c r="A110" s="7" t="inlineStr">
        <is>
          <t>MG-0109</t>
        </is>
      </c>
      <c r="B110" s="8" t="n"/>
      <c r="C110" s="7" t="n"/>
      <c r="D110" s="9" t="inlineStr">
        <is>
          <t>வேலணை, சாட்டியில் பெருங்கற்காலப் பண்பாடு</t>
        </is>
      </c>
      <c r="E110" s="9" t="n"/>
      <c r="F110" s="9" t="inlineStr">
        <is>
          <t>Ezhuna (எழுநா)</t>
        </is>
      </c>
      <c r="G110" s="7" t="inlineStr">
        <is>
          <t>Online magazine article</t>
        </is>
      </c>
      <c r="H110" s="7" t="inlineStr">
        <is>
          <t>Tamil</t>
        </is>
      </c>
      <c r="I110" s="9" t="inlineStr">
        <is>
          <t>Archaeology / தொல்லியல்</t>
        </is>
      </c>
      <c r="J110" s="9" t="inlineStr">
        <is>
          <t>தொல்லியல்; megalithic; Chatti</t>
        </is>
      </c>
      <c r="K110" s="7" t="inlineStr">
        <is>
          <t>Unknown</t>
        </is>
      </c>
      <c r="L110" s="9" t="n"/>
      <c r="M110" s="10" t="inlineStr">
        <is>
          <t>https://www.ezhunaonline.com/velana-palaeolithic-culture-at-chatti/</t>
        </is>
      </c>
    </row>
  </sheetData>
  <autoFilter ref="A1:M11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11" customWidth="1" min="3" max="3"/>
    <col width="60" customWidth="1" min="4" max="4"/>
    <col width="28" customWidth="1" min="5" max="5"/>
    <col width="34" customWidth="1" min="6" max="6"/>
    <col width="18" customWidth="1" min="7" max="7"/>
    <col width="10" customWidth="1" min="8" max="8"/>
    <col width="30" customWidth="1" min="9" max="9"/>
    <col width="30" customWidth="1" min="10" max="10"/>
    <col width="14" customWidth="1" min="11" max="11"/>
    <col width="30" customWidth="1" min="12" max="12"/>
    <col width="45" customWidth="1" min="13" max="13"/>
  </cols>
  <sheetData>
    <row r="1" ht="30" customHeight="1">
      <c r="A1" s="6" t="inlineStr">
        <is>
          <t>ID</t>
        </is>
      </c>
      <c r="B1" s="6" t="inlineStr">
        <is>
          <t>Year</t>
        </is>
      </c>
      <c r="C1" s="6" t="inlineStr">
        <is>
          <t>Date</t>
        </is>
      </c>
      <c r="D1" s="6" t="inlineStr">
        <is>
          <t>Title</t>
        </is>
      </c>
      <c r="E1" s="6" t="inlineStr">
        <is>
          <t>Author / Editor</t>
        </is>
      </c>
      <c r="F1" s="6" t="inlineStr">
        <is>
          <t>Publisher / Source</t>
        </is>
      </c>
      <c r="G1" s="6" t="inlineStr">
        <is>
          <t>Type</t>
        </is>
      </c>
      <c r="H1" s="6" t="inlineStr">
        <is>
          <t>Language</t>
        </is>
      </c>
      <c r="I1" s="6" t="inlineStr">
        <is>
          <t>Themes</t>
        </is>
      </c>
      <c r="J1" s="6" t="inlineStr">
        <is>
          <t>Keywords</t>
        </is>
      </c>
      <c r="K1" s="6" t="inlineStr">
        <is>
          <t>Within 1996-2026</t>
        </is>
      </c>
      <c r="L1" s="6" t="inlineStr">
        <is>
          <t>Notes</t>
        </is>
      </c>
      <c r="M1" s="6" t="inlineStr">
        <is>
          <t>URL</t>
        </is>
      </c>
    </row>
    <row r="2">
      <c r="A2" s="7" t="inlineStr">
        <is>
          <t>WB-0001</t>
        </is>
      </c>
      <c r="B2" s="8" t="inlineStr">
        <is>
          <t>2026</t>
        </is>
      </c>
      <c r="C2" s="7" t="inlineStr">
        <is>
          <t>2026-07-27</t>
        </is>
      </c>
      <c r="D2" s="9" t="inlineStr">
        <is>
          <t>யாழ்ப்பாண இராச்சியத்தின் வரலாறு</t>
        </is>
      </c>
      <c r="E2" s="9" t="inlineStr">
        <is>
          <t>Wikipedia contributors</t>
        </is>
      </c>
      <c r="F2" s="9" t="inlineStr">
        <is>
          <t>Wikipedia (ta)</t>
        </is>
      </c>
      <c r="G2" s="7" t="inlineStr">
        <is>
          <t>Encyclopedia article</t>
        </is>
      </c>
      <c r="H2" s="7" t="inlineStr">
        <is>
          <t>Tamil</t>
        </is>
      </c>
      <c r="I2" s="9" t="n"/>
      <c r="J2" s="9" t="n"/>
      <c r="K2" s="7" t="inlineStr">
        <is>
          <t>Yes</t>
        </is>
      </c>
      <c r="L2" s="9" t="inlineStr">
        <is>
          <t>Date = page creation. Auto-collected 2026-10-14 (wikipedia); review.</t>
        </is>
      </c>
      <c r="M2" s="10" t="inlineStr">
        <is>
          <t>https://ta.wikipedia.org/wiki/%E0%AE%AF%E0%AE%BE%E0%AE%B4%E0%AF%8D%E0%AE%AA%E0%AF%8D%E0%AE%AA%E0%AE%BE%E0%AE%A3_%E0%AE%87%E0%AE%B0%E0%AE%BE%E0%AE%9A%E0%AF%8D%E0%AE%9A%E0%AE%BF%E0%AE%AF%E0%AE%A4%E0%AF%8D%E0%AE%A4%E0%AE%BF%E0%AE%A9%E0%AF%8D_%E0%AE%B5%E0%AE%B0%E0%AE%B2%E0%AE%BE%E0%AE%B1%E0%AF%81</t>
        </is>
      </c>
    </row>
    <row r="3">
      <c r="A3" s="11" t="inlineStr">
        <is>
          <t>WB-0002</t>
        </is>
      </c>
      <c r="B3" s="12" t="inlineStr">
        <is>
          <t>2026</t>
        </is>
      </c>
      <c r="C3" s="11" t="inlineStr">
        <is>
          <t>2026-08-07</t>
        </is>
      </c>
      <c r="D3" s="13" t="inlineStr">
        <is>
          <t>இலங்கையில் உள்ள தமிழ்க் கல்வெட்டுகள்</t>
        </is>
      </c>
      <c r="E3" s="13" t="inlineStr">
        <is>
          <t>Wikipedia contributors</t>
        </is>
      </c>
      <c r="F3" s="13" t="inlineStr">
        <is>
          <t>Wikipedia (ta)</t>
        </is>
      </c>
      <c r="G3" s="11" t="inlineStr">
        <is>
          <t>Encyclopedia article</t>
        </is>
      </c>
      <c r="H3" s="11" t="inlineStr">
        <is>
          <t>Tamil</t>
        </is>
      </c>
      <c r="I3" s="13" t="inlineStr">
        <is>
          <t>Inscriptions / கல்வெட்டு</t>
        </is>
      </c>
      <c r="J3" s="13" t="inlineStr">
        <is>
          <t>கல்வெட்டு; கல்வெட்டுகள்</t>
        </is>
      </c>
      <c r="K3" s="11" t="inlineStr">
        <is>
          <t>Yes</t>
        </is>
      </c>
      <c r="L3" s="13" t="inlineStr">
        <is>
          <t>Date = page creation. Auto-collected 2026-10-14 (wikipedia); review.</t>
        </is>
      </c>
      <c r="M3" s="14" t="inlineStr">
        <is>
          <t>https://ta.wikipedia.org/wiki/%E0%AE%87%E0%AE%B2%E0%AE%99%E0%AF%8D%E0%AE%95%E0%AF%88%E0%AE%AF%E0%AE%BF%E0%AE%B2%E0%AF%8D_%E0%AE%89%E0%AE%B3%E0%AF%8D%E0%AE%B3_%E0%AE%A4%E0%AE%AE%E0%AE%BF%E0%AE%B4%E0%AF%8D%E0%AE%95%E0%AF%8D_%E0%AE%95%E0%AE%B2%E0%AF%8D%E0%AE%B5%E0%AF%86%E0%AE%9F%E0%AF%8D%E0%AE%9F%E0%AF%81%E0%AE%95%E0%AE%B3%E0%AF%8D</t>
        </is>
      </c>
    </row>
    <row r="4">
      <c r="A4" s="7" t="inlineStr">
        <is>
          <t>WB-0003</t>
        </is>
      </c>
      <c r="B4" s="8" t="inlineStr">
        <is>
          <t>2025</t>
        </is>
      </c>
      <c r="C4" s="7" t="n"/>
      <c r="D4" s="9" t="inlineStr">
        <is>
          <t>யாழ்ப்பாணம். கோட்டையை சுற்றி எல்லைக்கல் நாட்டுப் பணியில் தொல்லியல் ...</t>
        </is>
      </c>
      <c r="E4" s="9" t="n"/>
      <c r="F4" s="9" t="inlineStr">
        <is>
          <t>uthayannews.ca</t>
        </is>
      </c>
      <c r="G4" s="7" t="inlineStr">
        <is>
          <t>Web page</t>
        </is>
      </c>
      <c r="H4" s="7" t="inlineStr">
        <is>
          <t>Tamil</t>
        </is>
      </c>
      <c r="I4" s="9" t="inlineStr">
        <is>
          <t>Archaeology / தொல்லியல்</t>
        </is>
      </c>
      <c r="J4" s="9" t="inlineStr">
        <is>
          <t>தொல்லியல்</t>
        </is>
      </c>
      <c r="K4" s="7" t="inlineStr">
        <is>
          <t>Yes</t>
        </is>
      </c>
      <c r="L4" s="9" t="inlineStr">
        <is>
          <t>Web search: யாழ்ப்பாணம் தொல்லியல். Auto-collected 2026-10-14 (ddg); review.</t>
        </is>
      </c>
      <c r="M4" s="10" t="inlineStr">
        <is>
          <t>https://uthayannews.ca/2025/12/19/%E0%AE%AF%E0%AE%BE%E0%AE%B4%E0%AF%8D%E0%AE%AA%E0%AF%8D%E0%AE%AA%E0%AE%BE%E0%AE%A3%E0%AE%AE%E0%AF%8D-%E0%AE%95%E0%AF%8B%E0%AE%9F%E0%AF%8D%E0%AE%9F%E0%AF%88%E0%AE%AF%E0%AF%88-%E0%AE%9A%E0%AF%81/</t>
        </is>
      </c>
    </row>
    <row r="5">
      <c r="A5" s="11" t="inlineStr">
        <is>
          <t>WB-0004</t>
        </is>
      </c>
      <c r="B5" s="12" t="inlineStr">
        <is>
          <t>2021</t>
        </is>
      </c>
      <c r="C5" s="11" t="n"/>
      <c r="D5" s="13" t="inlineStr">
        <is>
          <t>Sankiliyatital Archaeological Site in Jaffna</t>
        </is>
      </c>
      <c r="E5" s="13" t="inlineStr">
        <is>
          <t>Nishan Weerasooriya</t>
        </is>
      </c>
      <c r="F5" s="13" t="inlineStr">
        <is>
          <t>AmazingLanka.com</t>
        </is>
      </c>
      <c r="G5" s="11" t="inlineStr">
        <is>
          <t>Web article</t>
        </is>
      </c>
      <c r="H5" s="11" t="inlineStr">
        <is>
          <t>English</t>
        </is>
      </c>
      <c r="I5" s="13" t="inlineStr">
        <is>
          <t>Archaeology / தொல்லியல்</t>
        </is>
      </c>
      <c r="J5" s="13" t="inlineStr">
        <is>
          <t>தொல்லியல்; Jaffna</t>
        </is>
      </c>
      <c r="K5" s="11" t="inlineStr">
        <is>
          <t>Yes</t>
        </is>
      </c>
      <c r="L5" s="13" t="n"/>
      <c r="M5" s="14" t="inlineStr">
        <is>
          <t>https://amazinglanka.com/wp/sankiliyatital/</t>
        </is>
      </c>
    </row>
    <row r="6">
      <c r="A6" s="7" t="inlineStr">
        <is>
          <t>WB-0005</t>
        </is>
      </c>
      <c r="B6" s="8" t="inlineStr">
        <is>
          <t>2021</t>
        </is>
      </c>
      <c r="C6" s="7" t="inlineStr">
        <is>
          <t>2021-11-13</t>
        </is>
      </c>
      <c r="D6" s="9" t="inlineStr">
        <is>
          <t>தேவனாம்பிரியா</t>
        </is>
      </c>
      <c r="E6" s="9" t="inlineStr">
        <is>
          <t>Wikipedia contributors</t>
        </is>
      </c>
      <c r="F6" s="9" t="inlineStr">
        <is>
          <t>Wikipedia (ta)</t>
        </is>
      </c>
      <c r="G6" s="7" t="inlineStr">
        <is>
          <t>Encyclopedia article</t>
        </is>
      </c>
      <c r="H6" s="7" t="inlineStr">
        <is>
          <t>Tamil</t>
        </is>
      </c>
      <c r="I6" s="9" t="n"/>
      <c r="J6" s="9" t="n"/>
      <c r="K6" s="7" t="inlineStr">
        <is>
          <t>Yes</t>
        </is>
      </c>
      <c r="L6" s="9" t="inlineStr">
        <is>
          <t>Date = page creation. Auto-collected 2026-10-14 (wikipedia); review.</t>
        </is>
      </c>
      <c r="M6" s="10" t="inlineStr">
        <is>
          <t>https://ta.wikipedia.org/wiki/%E0%AE%A4%E0%AF%87%E0%AE%B5%E0%AE%A9%E0%AE%BE%E0%AE%AE%E0%AF%8D%E0%AE%AA%E0%AE%BF%E0%AE%B0%E0%AE%BF%E0%AE%AF%E0%AE%BE</t>
        </is>
      </c>
    </row>
    <row r="7">
      <c r="A7" s="11" t="inlineStr">
        <is>
          <t>WB-0006</t>
        </is>
      </c>
      <c r="B7" s="12" t="inlineStr">
        <is>
          <t>2021</t>
        </is>
      </c>
      <c r="C7" s="11" t="inlineStr">
        <is>
          <t>2021-12-01</t>
        </is>
      </c>
      <c r="D7" s="13" t="inlineStr">
        <is>
          <t>கோமரங்கடவலை கல்வெட்டு</t>
        </is>
      </c>
      <c r="E7" s="13" t="inlineStr">
        <is>
          <t>Wikipedia contributors</t>
        </is>
      </c>
      <c r="F7" s="13" t="inlineStr">
        <is>
          <t>Wikipedia (ta)</t>
        </is>
      </c>
      <c r="G7" s="11" t="inlineStr">
        <is>
          <t>Encyclopedia article</t>
        </is>
      </c>
      <c r="H7" s="11" t="inlineStr">
        <is>
          <t>Tamil</t>
        </is>
      </c>
      <c r="I7" s="13" t="inlineStr">
        <is>
          <t>Inscriptions / கல்வெட்டு</t>
        </is>
      </c>
      <c r="J7" s="13" t="inlineStr">
        <is>
          <t>கல்வெட்டு</t>
        </is>
      </c>
      <c r="K7" s="11" t="inlineStr">
        <is>
          <t>Yes</t>
        </is>
      </c>
      <c r="L7" s="13" t="inlineStr">
        <is>
          <t>Date = page creation. Auto-collected 2026-10-14 (wikipedia); review.</t>
        </is>
      </c>
      <c r="M7" s="14" t="inlineStr">
        <is>
          <t>https://ta.wikipedia.org/wiki/%E0%AE%95%E0%AF%8B%E0%AE%AE%E0%AE%B0%E0%AE%99%E0%AF%8D%E0%AE%95%E0%AE%9F%E0%AE%B5%E0%AE%B2%E0%AF%88_%E0%AE%95%E0%AE%B2%E0%AF%8D%E0%AE%B5%E0%AF%86%E0%AE%9F%E0%AF%8D%E0%AE%9F%E0%AF%81</t>
        </is>
      </c>
    </row>
    <row r="8">
      <c r="A8" s="7" t="inlineStr">
        <is>
          <t>WB-0007</t>
        </is>
      </c>
      <c r="B8" s="8" t="inlineStr">
        <is>
          <t>2020</t>
        </is>
      </c>
      <c r="C8" s="7" t="inlineStr">
        <is>
          <t>2020-04</t>
        </is>
      </c>
      <c r="D8" s="9" t="inlineStr">
        <is>
          <t>Tamil Inscriptions in Sri Lanka (list)</t>
        </is>
      </c>
      <c r="E8" s="9" t="inlineStr">
        <is>
          <t>Lanka Pradeepa</t>
        </is>
      </c>
      <c r="F8" s="9" t="inlineStr">
        <is>
          <t>Lanka Pradeepa (lankapradeepa.com)</t>
        </is>
      </c>
      <c r="G8" s="7" t="inlineStr">
        <is>
          <t>Web article</t>
        </is>
      </c>
      <c r="H8" s="7" t="inlineStr">
        <is>
          <t>English</t>
        </is>
      </c>
      <c r="I8" s="9" t="inlineStr">
        <is>
          <t>Inscriptions / கல்வெட்டு</t>
        </is>
      </c>
      <c r="J8" s="9" t="inlineStr">
        <is>
          <t>கல்வெட்டு; list; bibliography</t>
        </is>
      </c>
      <c r="K8" s="7" t="inlineStr">
        <is>
          <t>Yes</t>
        </is>
      </c>
      <c r="L8" s="9" t="inlineStr">
        <is>
          <t>Updated May 2023; 27 references</t>
        </is>
      </c>
      <c r="M8" s="10" t="inlineStr">
        <is>
          <t>https://www.lankapradeepa.com/2020/04/tamil-inscriptions-in-sri-lanka_16.html</t>
        </is>
      </c>
    </row>
    <row r="9">
      <c r="A9" s="11" t="inlineStr">
        <is>
          <t>WB-0008</t>
        </is>
      </c>
      <c r="B9" s="12" t="inlineStr">
        <is>
          <t>2020</t>
        </is>
      </c>
      <c r="C9" s="11" t="inlineStr">
        <is>
          <t>2020-12-11</t>
        </is>
      </c>
      <c r="D9" s="13" t="inlineStr">
        <is>
          <t>Pottery of Sri Lanka</t>
        </is>
      </c>
      <c r="E9" s="13" t="inlineStr">
        <is>
          <t>Wikipedia contributors</t>
        </is>
      </c>
      <c r="F9" s="13" t="inlineStr">
        <is>
          <t>Wikipedia (en)</t>
        </is>
      </c>
      <c r="G9" s="11" t="inlineStr">
        <is>
          <t>Encyclopedia article</t>
        </is>
      </c>
      <c r="H9" s="11" t="inlineStr">
        <is>
          <t>English</t>
        </is>
      </c>
      <c r="I9" s="13" t="n"/>
      <c r="J9" s="13" t="n"/>
      <c r="K9" s="11" t="inlineStr">
        <is>
          <t>Yes</t>
        </is>
      </c>
      <c r="L9" s="13" t="inlineStr">
        <is>
          <t>Date = page creation. Auto-collected 2026-10-14 (wikipedia); review.</t>
        </is>
      </c>
      <c r="M9" s="14" t="inlineStr">
        <is>
          <t>https://en.wikipedia.org/wiki/Pottery_of_Sri_Lanka</t>
        </is>
      </c>
    </row>
    <row r="10">
      <c r="A10" s="7" t="inlineStr">
        <is>
          <t>WB-0009</t>
        </is>
      </c>
      <c r="B10" s="8" t="inlineStr">
        <is>
          <t>2019</t>
        </is>
      </c>
      <c r="C10" s="7" t="inlineStr">
        <is>
          <t>2019-01-10</t>
        </is>
      </c>
      <c r="D10" s="9" t="inlineStr">
        <is>
          <t>Tamil inscriptions</t>
        </is>
      </c>
      <c r="E10" s="9" t="inlineStr">
        <is>
          <t>Wikipedia contributors</t>
        </is>
      </c>
      <c r="F10" s="9" t="inlineStr">
        <is>
          <t>Wikipedia (en)</t>
        </is>
      </c>
      <c r="G10" s="7" t="inlineStr">
        <is>
          <t>Encyclopedia article</t>
        </is>
      </c>
      <c r="H10" s="7" t="inlineStr">
        <is>
          <t>English</t>
        </is>
      </c>
      <c r="I10" s="9" t="inlineStr">
        <is>
          <t>Inscriptions / கல்வெட்டு</t>
        </is>
      </c>
      <c r="J10" s="9" t="inlineStr">
        <is>
          <t>inscription; inscriptions</t>
        </is>
      </c>
      <c r="K10" s="7" t="inlineStr">
        <is>
          <t>Yes</t>
        </is>
      </c>
      <c r="L10" s="9" t="inlineStr">
        <is>
          <t>Date = page creation. Auto-collected 2026-10-14 (wikipedia); review.</t>
        </is>
      </c>
      <c r="M10" s="10" t="inlineStr">
        <is>
          <t>https://en.wikipedia.org/wiki/Tamil_inscriptions</t>
        </is>
      </c>
    </row>
    <row r="11">
      <c r="A11" s="11" t="inlineStr">
        <is>
          <t>WB-0010</t>
        </is>
      </c>
      <c r="B11" s="12" t="inlineStr">
        <is>
          <t>2019</t>
        </is>
      </c>
      <c r="C11" s="11" t="inlineStr">
        <is>
          <t>2019-09-08</t>
        </is>
      </c>
      <c r="D11" s="13" t="inlineStr">
        <is>
          <t>வெடுக்குநாறிமலை ஆதி லிங்கேஸ்வரர் ஆலயம்</t>
        </is>
      </c>
      <c r="E11" s="13" t="inlineStr">
        <is>
          <t>Wikipedia contributors</t>
        </is>
      </c>
      <c r="F11" s="13" t="inlineStr">
        <is>
          <t>Wikipedia (ta)</t>
        </is>
      </c>
      <c r="G11" s="11" t="inlineStr">
        <is>
          <t>Encyclopedia article</t>
        </is>
      </c>
      <c r="H11" s="11" t="inlineStr">
        <is>
          <t>Tamil</t>
        </is>
      </c>
      <c r="I11" s="13" t="n"/>
      <c r="J11" s="13" t="n"/>
      <c r="K11" s="11" t="inlineStr">
        <is>
          <t>Yes</t>
        </is>
      </c>
      <c r="L11" s="13" t="inlineStr">
        <is>
          <t>Date = page creation. Auto-collected 2026-10-14 (wikipedia); review.</t>
        </is>
      </c>
      <c r="M11" s="14" t="inlineStr">
        <is>
          <t>https://ta.wikipedia.org/wiki/%E0%AE%B5%E0%AF%86%E0%AE%9F%E0%AF%81%E0%AE%95%E0%AF%8D%E0%AE%95%E0%AF%81%E0%AE%A8%E0%AE%BE%E0%AE%B1%E0%AE%BF%E0%AE%AE%E0%AE%B2%E0%AF%88_%E0%AE%86%E0%AE%A4%E0%AE%BF_%E0%AE%B2%E0%AE%BF%E0%AE%99%E0%AF%8D%E0%AE%95%E0%AF%87%E0%AE%B8%E0%AF%8D%E0%AE%B5%E0%AE%B0%E0%AE%B0%E0%AF%8D_%E0%AE%86%E0%AE%B2%E0%AE%AF%E0%AE%AE%E0%AF%8D</t>
        </is>
      </c>
    </row>
    <row r="12">
      <c r="A12" s="7" t="inlineStr">
        <is>
          <t>WB-0011</t>
        </is>
      </c>
      <c r="B12" s="8" t="inlineStr">
        <is>
          <t>2017</t>
        </is>
      </c>
      <c r="C12" s="7" t="inlineStr">
        <is>
          <t>2017-01-15</t>
        </is>
      </c>
      <c r="D12" s="9" t="inlineStr">
        <is>
          <t>Mantri Manai</t>
        </is>
      </c>
      <c r="E12" s="9" t="inlineStr">
        <is>
          <t>Wikipedia contributors</t>
        </is>
      </c>
      <c r="F12" s="9" t="inlineStr">
        <is>
          <t>Wikipedia (en)</t>
        </is>
      </c>
      <c r="G12" s="7" t="inlineStr">
        <is>
          <t>Encyclopedia article</t>
        </is>
      </c>
      <c r="H12" s="7" t="inlineStr">
        <is>
          <t>English</t>
        </is>
      </c>
      <c r="I12" s="9" t="n"/>
      <c r="J12" s="9" t="n"/>
      <c r="K12" s="7" t="inlineStr">
        <is>
          <t>Yes</t>
        </is>
      </c>
      <c r="L12" s="9" t="inlineStr">
        <is>
          <t>Date = page creation. Auto-collected 2026-10-14 (wikipedia); review.</t>
        </is>
      </c>
      <c r="M12" s="10" t="inlineStr">
        <is>
          <t>https://en.wikipedia.org/wiki/Mantri_Manai</t>
        </is>
      </c>
    </row>
    <row r="13">
      <c r="A13" s="11" t="inlineStr">
        <is>
          <t>WB-0012</t>
        </is>
      </c>
      <c r="B13" s="12" t="inlineStr">
        <is>
          <t>2016</t>
        </is>
      </c>
      <c r="C13" s="11" t="inlineStr">
        <is>
          <t>2016-01-15</t>
        </is>
      </c>
      <c r="D13" s="13" t="inlineStr">
        <is>
          <t>நாடு காட்டுப் பரவணிக் கல்வெட்டு</t>
        </is>
      </c>
      <c r="E13" s="13" t="inlineStr">
        <is>
          <t>Wikipedia contributors</t>
        </is>
      </c>
      <c r="F13" s="13" t="inlineStr">
        <is>
          <t>Wikipedia (ta)</t>
        </is>
      </c>
      <c r="G13" s="11" t="inlineStr">
        <is>
          <t>Encyclopedia article</t>
        </is>
      </c>
      <c r="H13" s="11" t="inlineStr">
        <is>
          <t>Tamil</t>
        </is>
      </c>
      <c r="I13" s="13" t="inlineStr">
        <is>
          <t>Inscriptions / கல்வெட்டு</t>
        </is>
      </c>
      <c r="J13" s="13" t="inlineStr">
        <is>
          <t>கல்வெட்டு</t>
        </is>
      </c>
      <c r="K13" s="11" t="inlineStr">
        <is>
          <t>Yes</t>
        </is>
      </c>
      <c r="L13" s="13" t="inlineStr">
        <is>
          <t>Date = page creation. Auto-collected 2026-10-14 (wikipedia); review.</t>
        </is>
      </c>
      <c r="M13" s="14" t="inlineStr">
        <is>
          <t>https://ta.wikipedia.org/wiki/%E0%AE%A8%E0%AE%BE%E0%AE%9F%E0%AF%81_%E0%AE%95%E0%AE%BE%E0%AE%9F%E0%AF%8D%E0%AE%9F%E0%AF%81%E0%AE%AA%E0%AF%8D_%E0%AE%AA%E0%AE%B0%E0%AE%B5%E0%AE%A3%E0%AE%BF%E0%AE%95%E0%AF%8D_%E0%AE%95%E0%AE%B2%E0%AF%8D%E0%AE%B5%E0%AF%86%E0%AE%9F%E0%AF%8D%E0%AE%9F%E0%AF%81</t>
        </is>
      </c>
    </row>
    <row r="14">
      <c r="A14" s="7" t="inlineStr">
        <is>
          <t>WB-0013</t>
        </is>
      </c>
      <c r="B14" s="8" t="inlineStr">
        <is>
          <t>2016</t>
        </is>
      </c>
      <c r="C14" s="7" t="inlineStr">
        <is>
          <t>2016-02-21</t>
        </is>
      </c>
      <c r="D14" s="9" t="inlineStr">
        <is>
          <t>Velgam Vehera</t>
        </is>
      </c>
      <c r="E14" s="9" t="inlineStr">
        <is>
          <t>Wikipedia contributors</t>
        </is>
      </c>
      <c r="F14" s="9" t="inlineStr">
        <is>
          <t>Wikipedia (en)</t>
        </is>
      </c>
      <c r="G14" s="7" t="inlineStr">
        <is>
          <t>Encyclopedia article</t>
        </is>
      </c>
      <c r="H14" s="7" t="inlineStr">
        <is>
          <t>English</t>
        </is>
      </c>
      <c r="I14" s="9" t="n"/>
      <c r="J14" s="9" t="n"/>
      <c r="K14" s="7" t="inlineStr">
        <is>
          <t>Yes</t>
        </is>
      </c>
      <c r="L14" s="9" t="inlineStr">
        <is>
          <t>Date = page creation. Auto-collected 2026-10-14 (wikipedia); review.</t>
        </is>
      </c>
      <c r="M14" s="10" t="inlineStr">
        <is>
          <t>https://en.wikipedia.org/wiki/Velgam_Vehera</t>
        </is>
      </c>
    </row>
    <row r="15">
      <c r="A15" s="11" t="inlineStr">
        <is>
          <t>WB-0014</t>
        </is>
      </c>
      <c r="B15" s="12" t="inlineStr">
        <is>
          <t>2016</t>
        </is>
      </c>
      <c r="C15" s="11" t="inlineStr">
        <is>
          <t>2016-04-03</t>
        </is>
      </c>
      <c r="D15" s="13" t="inlineStr">
        <is>
          <t>Kulakkottan</t>
        </is>
      </c>
      <c r="E15" s="13" t="inlineStr">
        <is>
          <t>Wikipedia contributors</t>
        </is>
      </c>
      <c r="F15" s="13" t="inlineStr">
        <is>
          <t>Wikipedia (en)</t>
        </is>
      </c>
      <c r="G15" s="11" t="inlineStr">
        <is>
          <t>Encyclopedia article</t>
        </is>
      </c>
      <c r="H15" s="11" t="inlineStr">
        <is>
          <t>English</t>
        </is>
      </c>
      <c r="I15" s="13" t="n"/>
      <c r="J15" s="13" t="n"/>
      <c r="K15" s="11" t="inlineStr">
        <is>
          <t>Yes</t>
        </is>
      </c>
      <c r="L15" s="13" t="inlineStr">
        <is>
          <t>Date = page creation. Auto-collected 2026-10-14 (wikipedia); review.</t>
        </is>
      </c>
      <c r="M15" s="14" t="inlineStr">
        <is>
          <t>https://en.wikipedia.org/wiki/Kulakkottan</t>
        </is>
      </c>
    </row>
    <row r="16">
      <c r="A16" s="7" t="inlineStr">
        <is>
          <t>WB-0015</t>
        </is>
      </c>
      <c r="B16" s="8" t="inlineStr">
        <is>
          <t>2016</t>
        </is>
      </c>
      <c r="C16" s="7" t="inlineStr">
        <is>
          <t>2016-04-21</t>
        </is>
      </c>
      <c r="D16" s="9" t="inlineStr">
        <is>
          <t>யாழ்ப்பாண மாவட்டத்தில் தொல்லியல் ரீதியாக பாதுகாக்கப்பட்ட நினைவுச் சின்னங்களின் பட்டியல்</t>
        </is>
      </c>
      <c r="E16" s="9" t="inlineStr">
        <is>
          <t>Wikipedia contributors</t>
        </is>
      </c>
      <c r="F16" s="9" t="inlineStr">
        <is>
          <t>Wikipedia (ta)</t>
        </is>
      </c>
      <c r="G16" s="7" t="inlineStr">
        <is>
          <t>Encyclopedia article</t>
        </is>
      </c>
      <c r="H16" s="7" t="inlineStr">
        <is>
          <t>Tamil</t>
        </is>
      </c>
      <c r="I16" s="9" t="inlineStr">
        <is>
          <t>Archaeology / தொல்லியல்</t>
        </is>
      </c>
      <c r="J16" s="9" t="inlineStr">
        <is>
          <t>தொல்லியல்</t>
        </is>
      </c>
      <c r="K16" s="7" t="inlineStr">
        <is>
          <t>Yes</t>
        </is>
      </c>
      <c r="L16" s="9" t="inlineStr">
        <is>
          <t>Date = page creation. Auto-collected 2026-10-14 (wikipedia); review.</t>
        </is>
      </c>
      <c r="M16" s="10" t="inlineStr">
        <is>
          <t>https://ta.wikipedia.org/wiki/%E0%AE%AF%E0%AE%BE%E0%AE%B4%E0%AF%8D%E0%AE%AA%E0%AF%8D%E0%AE%AA%E0%AE%BE%E0%AE%A3_%E0%AE%AE%E0%AE%BE%E0%AE%B5%E0%AE%9F%E0%AF%8D%E0%AE%9F%E0%AE%A4%E0%AF%8D%E0%AE%A4%E0%AE%BF%E0%AE%B2%E0%AF%8D_%E0%AE%A4%E0%AF%8A%E0%AE%B2%E0%AF%8D%E0%AE%B2%E0%AE%BF%E0%AE%AF%E0%AE%B2%E0%AF%8D_%E0%AE%B0%E0%AF%80%E0%AE%A4%E0%AE%BF%E0%AE%AF%E0%AE%BE%E0%AE%95_%E0%AE%AA%E0%AE%BE%E0%AE%A4%E0%AF%81%E0%AE%95%E0%AE%BE%E0%AE%95%E0%AF%8D%E0%AE%95%E0%AE%AA%E0%AF%8D%E0%AE%AA%E0%AE%9F%E0%AF%8D%E0%AE%9F_%E0%AE%A8%E0%AE%BF%E0%AE%A9%E0%AF%88%E0%AE%B5%E0%AF%81%E0%AE%9A%E0%AF%8D_%E0%AE%9A%E0%AE%BF%E0%AE%A9%E0%AF%8D%E0%AE%A9%E0%AE%99%E0%AF%8D%E0%AE%95%E0%AE%B3%E0%AE%BF%E0%AE%A9%E0%AF%8D_%E0%AE%AA%E0%AE%9F%E0%AF%8D%E0%AE%9F%E0%AE%BF%E0%AE%AF%E0%AE%B2%E0%AF%8D</t>
        </is>
      </c>
    </row>
    <row r="17">
      <c r="A17" s="11" t="inlineStr">
        <is>
          <t>WB-0016</t>
        </is>
      </c>
      <c r="B17" s="12" t="inlineStr">
        <is>
          <t>2016</t>
        </is>
      </c>
      <c r="C17" s="11" t="inlineStr">
        <is>
          <t>2016-12-31</t>
        </is>
      </c>
      <c r="D17" s="13" t="inlineStr">
        <is>
          <t>கந்தரோடை தொல்லியல் களம்</t>
        </is>
      </c>
      <c r="E17" s="13" t="inlineStr">
        <is>
          <t>Wikipedia contributors</t>
        </is>
      </c>
      <c r="F17" s="13" t="inlineStr">
        <is>
          <t>Wikipedia (ta)</t>
        </is>
      </c>
      <c r="G17" s="11" t="inlineStr">
        <is>
          <t>Encyclopedia article</t>
        </is>
      </c>
      <c r="H17" s="11" t="inlineStr">
        <is>
          <t>Tamil</t>
        </is>
      </c>
      <c r="I17" s="13" t="inlineStr">
        <is>
          <t>Archaeology / தொல்லியல்</t>
        </is>
      </c>
      <c r="J17" s="13" t="inlineStr">
        <is>
          <t>தொல்லியல்</t>
        </is>
      </c>
      <c r="K17" s="11" t="inlineStr">
        <is>
          <t>Yes</t>
        </is>
      </c>
      <c r="L17" s="13" t="inlineStr">
        <is>
          <t>Date = page creation. Auto-collected 2026-10-14 (wikipedia); review.</t>
        </is>
      </c>
      <c r="M17" s="14" t="inlineStr">
        <is>
          <t>https://ta.wikipedia.org/wiki/%E0%AE%95%E0%AE%A8%E0%AF%8D%E0%AE%A4%E0%AE%B0%E0%AF%8B%E0%AE%9F%E0%AF%88_%E0%AE%A4%E0%AF%8A%E0%AE%B2%E0%AF%8D%E0%AE%B2%E0%AE%BF%E0%AE%AF%E0%AE%B2%E0%AF%8D_%E0%AE%95%E0%AE%B3%E0%AE%AE%E0%AF%8D</t>
        </is>
      </c>
    </row>
    <row r="18">
      <c r="A18" s="7" t="inlineStr">
        <is>
          <t>WB-0017</t>
        </is>
      </c>
      <c r="B18" s="8" t="inlineStr">
        <is>
          <t>2015</t>
        </is>
      </c>
      <c r="C18" s="7" t="inlineStr">
        <is>
          <t>2015-02-22</t>
        </is>
      </c>
      <c r="D18" s="9" t="inlineStr">
        <is>
          <t>ஆ. வேலுப்பிள்ளை</t>
        </is>
      </c>
      <c r="E18" s="9" t="inlineStr">
        <is>
          <t>Wikipedia contributors</t>
        </is>
      </c>
      <c r="F18" s="9" t="inlineStr">
        <is>
          <t>Wikipedia (ta)</t>
        </is>
      </c>
      <c r="G18" s="7" t="inlineStr">
        <is>
          <t>Encyclopedia article</t>
        </is>
      </c>
      <c r="H18" s="7" t="inlineStr">
        <is>
          <t>Tamil</t>
        </is>
      </c>
      <c r="I18" s="9" t="n"/>
      <c r="J18" s="9" t="n"/>
      <c r="K18" s="7" t="inlineStr">
        <is>
          <t>Yes</t>
        </is>
      </c>
      <c r="L18" s="9" t="inlineStr">
        <is>
          <t>Date = page creation. Auto-collected 2026-10-14 (wikipedia); review.</t>
        </is>
      </c>
      <c r="M18" s="10" t="inlineStr">
        <is>
          <t>https://ta.wikipedia.org/wiki/%E0%AE%86._%E0%AE%B5%E0%AF%87%E0%AE%B2%E0%AF%81%E0%AE%AA%E0%AF%8D%E0%AE%AA%E0%AE%BF%E0%AE%B3%E0%AF%8D%E0%AE%B3%E0%AF%88</t>
        </is>
      </c>
    </row>
    <row r="19">
      <c r="A19" s="11" t="inlineStr">
        <is>
          <t>WB-0018</t>
        </is>
      </c>
      <c r="B19" s="12" t="inlineStr">
        <is>
          <t>2015</t>
        </is>
      </c>
      <c r="C19" s="11" t="inlineStr">
        <is>
          <t>2015-07-17</t>
        </is>
      </c>
      <c r="D19" s="13" t="inlineStr">
        <is>
          <t>வெஸ்ஸகிரிய</t>
        </is>
      </c>
      <c r="E19" s="13" t="inlineStr">
        <is>
          <t>Wikipedia contributors</t>
        </is>
      </c>
      <c r="F19" s="13" t="inlineStr">
        <is>
          <t>Wikipedia (ta)</t>
        </is>
      </c>
      <c r="G19" s="11" t="inlineStr">
        <is>
          <t>Encyclopedia article</t>
        </is>
      </c>
      <c r="H19" s="11" t="inlineStr">
        <is>
          <t>Tamil</t>
        </is>
      </c>
      <c r="I19" s="13" t="n"/>
      <c r="J19" s="13" t="n"/>
      <c r="K19" s="11" t="inlineStr">
        <is>
          <t>Yes</t>
        </is>
      </c>
      <c r="L19" s="13" t="inlineStr">
        <is>
          <t>Date = page creation. Auto-collected 2026-10-14 (wikipedia); review.</t>
        </is>
      </c>
      <c r="M19" s="14" t="inlineStr">
        <is>
          <t>https://ta.wikipedia.org/wiki/%E0%AE%B5%E0%AF%86%E0%AE%B8%E0%AF%8D%E0%AE%B8%E0%AE%95%E0%AE%BF%E0%AE%B0%E0%AE%BF%E0%AE%AF</t>
        </is>
      </c>
    </row>
    <row r="20">
      <c r="A20" s="7" t="inlineStr">
        <is>
          <t>WB-0019</t>
        </is>
      </c>
      <c r="B20" s="8" t="inlineStr">
        <is>
          <t>2015</t>
        </is>
      </c>
      <c r="C20" s="7" t="inlineStr">
        <is>
          <t>2015-07-19</t>
        </is>
      </c>
      <c r="D20" s="9" t="inlineStr">
        <is>
          <t>அனுராதபுரம் அருங்காட்சியகம்</t>
        </is>
      </c>
      <c r="E20" s="9" t="inlineStr">
        <is>
          <t>Wikipedia contributors</t>
        </is>
      </c>
      <c r="F20" s="9" t="inlineStr">
        <is>
          <t>Wikipedia (ta)</t>
        </is>
      </c>
      <c r="G20" s="7" t="inlineStr">
        <is>
          <t>Encyclopedia article</t>
        </is>
      </c>
      <c r="H20" s="7" t="inlineStr">
        <is>
          <t>Tamil</t>
        </is>
      </c>
      <c r="I20" s="9" t="n"/>
      <c r="J20" s="9" t="n"/>
      <c r="K20" s="7" t="inlineStr">
        <is>
          <t>Yes</t>
        </is>
      </c>
      <c r="L20" s="9" t="inlineStr">
        <is>
          <t>Date = page creation. Auto-collected 2026-10-14 (wikipedia); review.</t>
        </is>
      </c>
      <c r="M20" s="10" t="inlineStr">
        <is>
          <t>https://ta.wikipedia.org/wiki/%E0%AE%85%E0%AE%A9%E0%AF%81%E0%AE%B0%E0%AE%BE%E0%AE%A4%E0%AE%AA%E0%AF%81%E0%AE%B0%E0%AE%AE%E0%AF%8D_%E0%AE%85%E0%AE%B0%E0%AF%81%E0%AE%99%E0%AF%8D%E0%AE%95%E0%AE%BE%E0%AE%9F%E0%AF%8D%E0%AE%9A%E0%AE%BF%E0%AE%AF%E0%AE%95%E0%AE%AE%E0%AF%8D</t>
        </is>
      </c>
    </row>
    <row r="21">
      <c r="A21" s="11" t="inlineStr">
        <is>
          <t>WB-0020</t>
        </is>
      </c>
      <c r="B21" s="12" t="inlineStr">
        <is>
          <t>2015</t>
        </is>
      </c>
      <c r="C21" s="11" t="inlineStr">
        <is>
          <t>2015-07-19</t>
        </is>
      </c>
      <c r="D21" s="13" t="inlineStr">
        <is>
          <t>சேனரத் பரணவிதான</t>
        </is>
      </c>
      <c r="E21" s="13" t="inlineStr">
        <is>
          <t>Wikipedia contributors</t>
        </is>
      </c>
      <c r="F21" s="13" t="inlineStr">
        <is>
          <t>Wikipedia (ta)</t>
        </is>
      </c>
      <c r="G21" s="11" t="inlineStr">
        <is>
          <t>Encyclopedia article</t>
        </is>
      </c>
      <c r="H21" s="11" t="inlineStr">
        <is>
          <t>Tamil</t>
        </is>
      </c>
      <c r="I21" s="13" t="n"/>
      <c r="J21" s="13" t="n"/>
      <c r="K21" s="11" t="inlineStr">
        <is>
          <t>Yes</t>
        </is>
      </c>
      <c r="L21" s="13" t="inlineStr">
        <is>
          <t>Date = page creation. Auto-collected 2026-10-14 (wikipedia); review.</t>
        </is>
      </c>
      <c r="M21" s="14" t="inlineStr">
        <is>
          <t>https://ta.wikipedia.org/wiki/%E0%AE%9A%E0%AF%87%E0%AE%A9%E0%AE%B0%E0%AE%A4%E0%AF%8D_%E0%AE%AA%E0%AE%B0%E0%AE%A3%E0%AE%B5%E0%AE%BF%E0%AE%A4%E0%AE%BE%E0%AE%A9</t>
        </is>
      </c>
    </row>
    <row r="22">
      <c r="A22" s="7" t="inlineStr">
        <is>
          <t>WB-0021</t>
        </is>
      </c>
      <c r="B22" s="8" t="inlineStr">
        <is>
          <t>2015</t>
        </is>
      </c>
      <c r="C22" s="7" t="inlineStr">
        <is>
          <t>2015-07-19</t>
        </is>
      </c>
      <c r="D22" s="9" t="inlineStr">
        <is>
          <t>தொல்பொருள் காட்சிச்சாலை, வவுனியா</t>
        </is>
      </c>
      <c r="E22" s="9" t="inlineStr">
        <is>
          <t>Wikipedia contributors</t>
        </is>
      </c>
      <c r="F22" s="9" t="inlineStr">
        <is>
          <t>Wikipedia (ta)</t>
        </is>
      </c>
      <c r="G22" s="7" t="inlineStr">
        <is>
          <t>Encyclopedia article</t>
        </is>
      </c>
      <c r="H22" s="7" t="inlineStr">
        <is>
          <t>Tamil</t>
        </is>
      </c>
      <c r="I22" s="9" t="inlineStr">
        <is>
          <t>Archaeology / தொல்லியல்</t>
        </is>
      </c>
      <c r="J22" s="9" t="inlineStr">
        <is>
          <t>தொல்பொருள்</t>
        </is>
      </c>
      <c r="K22" s="7" t="inlineStr">
        <is>
          <t>Yes</t>
        </is>
      </c>
      <c r="L22" s="9" t="inlineStr">
        <is>
          <t>Date = page creation. Auto-collected 2026-10-14 (wikipedia); review.</t>
        </is>
      </c>
      <c r="M22" s="10" t="inlineStr">
        <is>
          <t>https://ta.wikipedia.org/wiki/%E0%AE%A4%E0%AF%8A%E0%AE%B2%E0%AF%8D%E0%AE%AA%E0%AF%8A%E0%AE%B0%E0%AF%81%E0%AE%B3%E0%AF%8D_%E0%AE%95%E0%AE%BE%E0%AE%9F%E0%AF%8D%E0%AE%9A%E0%AE%BF%E0%AE%9A%E0%AF%8D%E0%AE%9A%E0%AE%BE%E0%AE%B2%E0%AF%88%2C_%E0%AE%B5%E0%AE%B5%E0%AF%81%E0%AE%A9%E0%AE%BF%E0%AE%AF%E0%AE%BE</t>
        </is>
      </c>
    </row>
    <row r="23">
      <c r="A23" s="11" t="inlineStr">
        <is>
          <t>WB-0022</t>
        </is>
      </c>
      <c r="B23" s="12" t="inlineStr">
        <is>
          <t>2015</t>
        </is>
      </c>
      <c r="C23" s="11" t="inlineStr">
        <is>
          <t>2015-07-23</t>
        </is>
      </c>
      <c r="D23" s="13" t="inlineStr">
        <is>
          <t>சிரான் உபேந்திர தெரணியகல</t>
        </is>
      </c>
      <c r="E23" s="13" t="inlineStr">
        <is>
          <t>Wikipedia contributors</t>
        </is>
      </c>
      <c r="F23" s="13" t="inlineStr">
        <is>
          <t>Wikipedia (ta)</t>
        </is>
      </c>
      <c r="G23" s="11" t="inlineStr">
        <is>
          <t>Encyclopedia article</t>
        </is>
      </c>
      <c r="H23" s="11" t="inlineStr">
        <is>
          <t>Tamil</t>
        </is>
      </c>
      <c r="I23" s="13" t="n"/>
      <c r="J23" s="13" t="n"/>
      <c r="K23" s="11" t="inlineStr">
        <is>
          <t>Yes</t>
        </is>
      </c>
      <c r="L23" s="13" t="inlineStr">
        <is>
          <t>Date = page creation. Auto-collected 2026-10-14 (wikipedia); review.</t>
        </is>
      </c>
      <c r="M23" s="14" t="inlineStr">
        <is>
          <t>https://ta.wikipedia.org/wiki/%E0%AE%9A%E0%AE%BF%E0%AE%B0%E0%AE%BE%E0%AE%A9%E0%AF%8D_%E0%AE%89%E0%AE%AA%E0%AF%87%E0%AE%A8%E0%AF%8D%E0%AE%A4%E0%AE%BF%E0%AE%B0_%E0%AE%A4%E0%AF%86%E0%AE%B0%E0%AE%A3%E0%AE%BF%E0%AE%AF%E0%AE%95%E0%AE%B2</t>
        </is>
      </c>
    </row>
    <row r="24">
      <c r="A24" s="7" t="inlineStr">
        <is>
          <t>WB-0023</t>
        </is>
      </c>
      <c r="B24" s="8" t="inlineStr">
        <is>
          <t>2015</t>
        </is>
      </c>
      <c r="C24" s="7" t="inlineStr">
        <is>
          <t>2015-07-24</t>
        </is>
      </c>
      <c r="D24" s="9" t="inlineStr">
        <is>
          <t>தொல்பொருளியல் திணைக்களம், இலங்கை</t>
        </is>
      </c>
      <c r="E24" s="9" t="inlineStr">
        <is>
          <t>Wikipedia contributors</t>
        </is>
      </c>
      <c r="F24" s="9" t="inlineStr">
        <is>
          <t>Wikipedia (ta)</t>
        </is>
      </c>
      <c r="G24" s="7" t="inlineStr">
        <is>
          <t>Encyclopedia article</t>
        </is>
      </c>
      <c r="H24" s="7" t="inlineStr">
        <is>
          <t>Tamil</t>
        </is>
      </c>
      <c r="I24" s="9" t="n"/>
      <c r="J24" s="9" t="n"/>
      <c r="K24" s="7" t="inlineStr">
        <is>
          <t>Yes</t>
        </is>
      </c>
      <c r="L24" s="9" t="inlineStr">
        <is>
          <t>Date = page creation. Auto-collected 2026-10-14 (wikipedia); review.</t>
        </is>
      </c>
      <c r="M24" s="10" t="inlineStr">
        <is>
          <t>https://ta.wikipedia.org/wiki/%E0%AE%A4%E0%AF%8A%E0%AE%B2%E0%AF%8D%E0%AE%AA%E0%AF%8A%E0%AE%B0%E0%AF%81%E0%AE%B3%E0%AE%BF%E0%AE%AF%E0%AE%B2%E0%AF%8D_%E0%AE%A4%E0%AE%BF%E0%AE%A3%E0%AF%88%E0%AE%95%E0%AF%8D%E0%AE%95%E0%AE%B3%E0%AE%AE%E0%AF%8D%2C_%E0%AE%87%E0%AE%B2%E0%AE%99%E0%AF%8D%E0%AE%95%E0%AF%88</t>
        </is>
      </c>
    </row>
    <row r="25">
      <c r="A25" s="11" t="inlineStr">
        <is>
          <t>WB-0024</t>
        </is>
      </c>
      <c r="B25" s="12" t="inlineStr">
        <is>
          <t>2015</t>
        </is>
      </c>
      <c r="C25" s="11" t="inlineStr">
        <is>
          <t>2015-10-07</t>
        </is>
      </c>
      <c r="D25" s="13" t="inlineStr">
        <is>
          <t>அபயகிரித் தமிழ்க் கல்வெட்டு</t>
        </is>
      </c>
      <c r="E25" s="13" t="inlineStr">
        <is>
          <t>Wikipedia contributors</t>
        </is>
      </c>
      <c r="F25" s="13" t="inlineStr">
        <is>
          <t>Wikipedia (ta)</t>
        </is>
      </c>
      <c r="G25" s="11" t="inlineStr">
        <is>
          <t>Encyclopedia article</t>
        </is>
      </c>
      <c r="H25" s="11" t="inlineStr">
        <is>
          <t>Tamil</t>
        </is>
      </c>
      <c r="I25" s="13" t="inlineStr">
        <is>
          <t>Inscriptions / கல்வெட்டு</t>
        </is>
      </c>
      <c r="J25" s="13" t="inlineStr">
        <is>
          <t>கல்வெட்டு</t>
        </is>
      </c>
      <c r="K25" s="11" t="inlineStr">
        <is>
          <t>Yes</t>
        </is>
      </c>
      <c r="L25" s="13" t="inlineStr">
        <is>
          <t>Date = page creation. Auto-collected 2026-10-14 (wikipedia); review.</t>
        </is>
      </c>
      <c r="M25" s="14" t="inlineStr">
        <is>
          <t>https://ta.wikipedia.org/wiki/%E0%AE%85%E0%AE%AA%E0%AE%AF%E0%AE%95%E0%AE%BF%E0%AE%B0%E0%AE%BF%E0%AE%A4%E0%AF%8D_%E0%AE%A4%E0%AE%AE%E0%AE%BF%E0%AE%B4%E0%AF%8D%E0%AE%95%E0%AF%8D_%E0%AE%95%E0%AE%B2%E0%AF%8D%E0%AE%B5%E0%AF%86%E0%AE%9F%E0%AF%8D%E0%AE%9F%E0%AF%81</t>
        </is>
      </c>
    </row>
    <row r="26">
      <c r="A26" s="7" t="inlineStr">
        <is>
          <t>WB-0025</t>
        </is>
      </c>
      <c r="B26" s="8" t="inlineStr">
        <is>
          <t>2015</t>
        </is>
      </c>
      <c r="C26" s="7" t="inlineStr">
        <is>
          <t>2015-10-07</t>
        </is>
      </c>
      <c r="D26" s="9" t="inlineStr">
        <is>
          <t>இலங்கைத் தமிழ்க் கல்வெட்டுக்களின் பட்டியல்</t>
        </is>
      </c>
      <c r="E26" s="9" t="inlineStr">
        <is>
          <t>Wikipedia contributors</t>
        </is>
      </c>
      <c r="F26" s="9" t="inlineStr">
        <is>
          <t>Wikipedia (ta)</t>
        </is>
      </c>
      <c r="G26" s="7" t="inlineStr">
        <is>
          <t>Encyclopedia article</t>
        </is>
      </c>
      <c r="H26" s="7" t="inlineStr">
        <is>
          <t>Tamil</t>
        </is>
      </c>
      <c r="I26" s="9" t="inlineStr">
        <is>
          <t>Inscriptions / கல்வெட்டு</t>
        </is>
      </c>
      <c r="J26" s="9" t="inlineStr">
        <is>
          <t>கல்வெட்டு</t>
        </is>
      </c>
      <c r="K26" s="7" t="inlineStr">
        <is>
          <t>Yes</t>
        </is>
      </c>
      <c r="L26" s="9" t="inlineStr">
        <is>
          <t>Date = page creation. Auto-collected 2026-10-14 (wikipedia); review.</t>
        </is>
      </c>
      <c r="M26" s="10" t="inlineStr">
        <is>
          <t>https://ta.wikipedia.org/wiki/%E0%AE%87%E0%AE%B2%E0%AE%99%E0%AF%8D%E0%AE%95%E0%AF%88%E0%AE%A4%E0%AF%8D_%E0%AE%A4%E0%AE%AE%E0%AE%BF%E0%AE%B4%E0%AF%8D%E0%AE%95%E0%AF%8D_%E0%AE%95%E0%AE%B2%E0%AF%8D%E0%AE%B5%E0%AF%86%E0%AE%9F%E0%AF%8D%E0%AE%9F%E0%AF%81%E0%AE%95%E0%AF%8D%E0%AE%95%E0%AE%B3%E0%AE%BF%E0%AE%A9%E0%AF%8D_%E0%AE%AA%E0%AE%9F%E0%AF%8D%E0%AE%9F%E0%AE%BF%E0%AE%AF%E0%AE%B2%E0%AF%8D</t>
        </is>
      </c>
    </row>
    <row r="27">
      <c r="A27" s="11" t="inlineStr">
        <is>
          <t>WB-0026</t>
        </is>
      </c>
      <c r="B27" s="12" t="inlineStr">
        <is>
          <t>2015</t>
        </is>
      </c>
      <c r="C27" s="11" t="inlineStr">
        <is>
          <t>2015-10-09</t>
        </is>
      </c>
      <c r="D27" s="13" t="inlineStr">
        <is>
          <t>அனுராதபுரம் குமாரகணத்துப் பேரூரார் கல்வெட்டுக்கள்</t>
        </is>
      </c>
      <c r="E27" s="13" t="inlineStr">
        <is>
          <t>Wikipedia contributors</t>
        </is>
      </c>
      <c r="F27" s="13" t="inlineStr">
        <is>
          <t>Wikipedia (ta)</t>
        </is>
      </c>
      <c r="G27" s="11" t="inlineStr">
        <is>
          <t>Encyclopedia article</t>
        </is>
      </c>
      <c r="H27" s="11" t="inlineStr">
        <is>
          <t>Tamil</t>
        </is>
      </c>
      <c r="I27" s="13" t="inlineStr">
        <is>
          <t>Inscriptions / கல்வெட்டு</t>
        </is>
      </c>
      <c r="J27" s="13" t="inlineStr">
        <is>
          <t>கல்வெட்டு; கல்வெட்டுக்கள்</t>
        </is>
      </c>
      <c r="K27" s="11" t="inlineStr">
        <is>
          <t>Yes</t>
        </is>
      </c>
      <c r="L27" s="13" t="inlineStr">
        <is>
          <t>Date = page creation. Auto-collected 2026-10-14 (wikipedia); review.</t>
        </is>
      </c>
      <c r="M27" s="14" t="inlineStr">
        <is>
          <t>https://ta.wikipedia.org/wiki/%E0%AE%85%E0%AE%A9%E0%AF%81%E0%AE%B0%E0%AE%BE%E0%AE%A4%E0%AE%AA%E0%AF%81%E0%AE%B0%E0%AE%AE%E0%AF%8D_%E0%AE%95%E0%AF%81%E0%AE%AE%E0%AE%BE%E0%AE%B0%E0%AE%95%E0%AE%A3%E0%AE%A4%E0%AF%8D%E0%AE%A4%E0%AF%81%E0%AE%AA%E0%AF%8D_%E0%AE%AA%E0%AF%87%E0%AE%B0%E0%AF%82%E0%AE%B0%E0%AE%BE%E0%AE%B0%E0%AF%8D_%E0%AE%95%E0%AE%B2%E0%AF%8D%E0%AE%B5%E0%AF%86%E0%AE%9F%E0%AF%8D%E0%AE%9F%E0%AF%81%E0%AE%95%E0%AF%8D%E0%AE%95%E0%AE%B3%E0%AF%8D</t>
        </is>
      </c>
    </row>
    <row r="28">
      <c r="A28" s="7" t="inlineStr">
        <is>
          <t>WB-0027</t>
        </is>
      </c>
      <c r="B28" s="8" t="inlineStr">
        <is>
          <t>2015</t>
        </is>
      </c>
      <c r="C28" s="7" t="inlineStr">
        <is>
          <t>2015-10-10</t>
        </is>
      </c>
      <c r="D28" s="9" t="inlineStr">
        <is>
          <t>தாழிகுமாரன் கல்வெட்டு (மாதோட்டம்)</t>
        </is>
      </c>
      <c r="E28" s="9" t="inlineStr">
        <is>
          <t>Wikipedia contributors</t>
        </is>
      </c>
      <c r="F28" s="9" t="inlineStr">
        <is>
          <t>Wikipedia (ta)</t>
        </is>
      </c>
      <c r="G28" s="7" t="inlineStr">
        <is>
          <t>Encyclopedia article</t>
        </is>
      </c>
      <c r="H28" s="7" t="inlineStr">
        <is>
          <t>Tamil</t>
        </is>
      </c>
      <c r="I28" s="9" t="inlineStr">
        <is>
          <t>Inscriptions / கல்வெட்டு</t>
        </is>
      </c>
      <c r="J28" s="9" t="inlineStr">
        <is>
          <t>கல்வெட்டு</t>
        </is>
      </c>
      <c r="K28" s="7" t="inlineStr">
        <is>
          <t>Yes</t>
        </is>
      </c>
      <c r="L28" s="9" t="inlineStr">
        <is>
          <t>Date = page creation. Auto-collected 2026-10-14 (wikipedia); review.</t>
        </is>
      </c>
      <c r="M28" s="10" t="inlineStr">
        <is>
          <t>https://ta.wikipedia.org/wiki/%E0%AE%A4%E0%AE%BE%E0%AE%B4%E0%AE%BF%E0%AE%95%E0%AF%81%E0%AE%AE%E0%AE%BE%E0%AE%B0%E0%AE%A9%E0%AF%8D_%E0%AE%95%E0%AE%B2%E0%AF%8D%E0%AE%B5%E0%AF%86%E0%AE%9F%E0%AF%8D%E0%AE%9F%E0%AF%81_%28%E0%AE%AE%E0%AE%BE%E0%AE%A4%E0%AF%8B%E0%AE%9F%E0%AF%8D%E0%AE%9F%E0%AE%AE%E0%AF%8D%29</t>
        </is>
      </c>
    </row>
    <row r="29">
      <c r="A29" s="11" t="inlineStr">
        <is>
          <t>WB-0028</t>
        </is>
      </c>
      <c r="B29" s="12" t="inlineStr">
        <is>
          <t>2015</t>
        </is>
      </c>
      <c r="C29" s="11" t="inlineStr">
        <is>
          <t>2015-10-10</t>
        </is>
      </c>
      <c r="D29" s="13" t="inlineStr">
        <is>
          <t>பளமோட்டைக் கல்வெட்டு</t>
        </is>
      </c>
      <c r="E29" s="13" t="inlineStr">
        <is>
          <t>Wikipedia contributors</t>
        </is>
      </c>
      <c r="F29" s="13" t="inlineStr">
        <is>
          <t>Wikipedia (ta)</t>
        </is>
      </c>
      <c r="G29" s="11" t="inlineStr">
        <is>
          <t>Encyclopedia article</t>
        </is>
      </c>
      <c r="H29" s="11" t="inlineStr">
        <is>
          <t>Tamil</t>
        </is>
      </c>
      <c r="I29" s="13" t="inlineStr">
        <is>
          <t>Inscriptions / கல்வெட்டு</t>
        </is>
      </c>
      <c r="J29" s="13" t="inlineStr">
        <is>
          <t>கல்வெட்டு</t>
        </is>
      </c>
      <c r="K29" s="11" t="inlineStr">
        <is>
          <t>Yes</t>
        </is>
      </c>
      <c r="L29" s="13" t="inlineStr">
        <is>
          <t>Date = page creation. Auto-collected 2026-10-14 (wikipedia); review.</t>
        </is>
      </c>
      <c r="M29" s="14" t="inlineStr">
        <is>
          <t>https://ta.wikipedia.org/wiki/%E0%AE%AA%E0%AE%B3%E0%AE%AE%E0%AF%8B%E0%AE%9F%E0%AF%8D%E0%AE%9F%E0%AF%88%E0%AE%95%E0%AF%8D_%E0%AE%95%E0%AE%B2%E0%AF%8D%E0%AE%B5%E0%AF%86%E0%AE%9F%E0%AF%8D%E0%AE%9F%E0%AF%81</t>
        </is>
      </c>
    </row>
    <row r="30">
      <c r="A30" s="7" t="inlineStr">
        <is>
          <t>WB-0029</t>
        </is>
      </c>
      <c r="B30" s="8" t="inlineStr">
        <is>
          <t>2015</t>
        </is>
      </c>
      <c r="C30" s="7" t="inlineStr">
        <is>
          <t>2015-10-11</t>
        </is>
      </c>
      <c r="D30" s="9" t="inlineStr">
        <is>
          <t>மானாங்கேணிக் கல்வெட்டு</t>
        </is>
      </c>
      <c r="E30" s="9" t="inlineStr">
        <is>
          <t>Wikipedia contributors</t>
        </is>
      </c>
      <c r="F30" s="9" t="inlineStr">
        <is>
          <t>Wikipedia (ta)</t>
        </is>
      </c>
      <c r="G30" s="7" t="inlineStr">
        <is>
          <t>Encyclopedia article</t>
        </is>
      </c>
      <c r="H30" s="7" t="inlineStr">
        <is>
          <t>Tamil</t>
        </is>
      </c>
      <c r="I30" s="9" t="inlineStr">
        <is>
          <t>Inscriptions / கல்வெட்டு</t>
        </is>
      </c>
      <c r="J30" s="9" t="inlineStr">
        <is>
          <t>கல்வெட்டு</t>
        </is>
      </c>
      <c r="K30" s="7" t="inlineStr">
        <is>
          <t>Yes</t>
        </is>
      </c>
      <c r="L30" s="9" t="inlineStr">
        <is>
          <t>Date = page creation. Auto-collected 2026-10-14 (wikipedia); review.</t>
        </is>
      </c>
      <c r="M30" s="10" t="inlineStr">
        <is>
          <t>https://ta.wikipedia.org/wiki/%E0%AE%AE%E0%AE%BE%E0%AE%A9%E0%AE%BE%E0%AE%99%E0%AF%8D%E0%AE%95%E0%AF%87%E0%AE%A3%E0%AE%BF%E0%AE%95%E0%AF%8D_%E0%AE%95%E0%AE%B2%E0%AF%8D%E0%AE%B5%E0%AF%86%E0%AE%9F%E0%AF%8D%E0%AE%9F%E0%AF%81</t>
        </is>
      </c>
    </row>
    <row r="31">
      <c r="A31" s="11" t="inlineStr">
        <is>
          <t>WB-0030</t>
        </is>
      </c>
      <c r="B31" s="12" t="inlineStr">
        <is>
          <t>2015</t>
        </is>
      </c>
      <c r="C31" s="11" t="inlineStr">
        <is>
          <t>2015-10-13</t>
        </is>
      </c>
      <c r="D31" s="13" t="inlineStr">
        <is>
          <t>நிலாவெளிக் கல்வெட்டு</t>
        </is>
      </c>
      <c r="E31" s="13" t="inlineStr">
        <is>
          <t>Wikipedia contributors</t>
        </is>
      </c>
      <c r="F31" s="13" t="inlineStr">
        <is>
          <t>Wikipedia (ta)</t>
        </is>
      </c>
      <c r="G31" s="11" t="inlineStr">
        <is>
          <t>Encyclopedia article</t>
        </is>
      </c>
      <c r="H31" s="11" t="inlineStr">
        <is>
          <t>Tamil</t>
        </is>
      </c>
      <c r="I31" s="13" t="inlineStr">
        <is>
          <t>Inscriptions / கல்வெட்டு</t>
        </is>
      </c>
      <c r="J31" s="13" t="inlineStr">
        <is>
          <t>கல்வெட்டு</t>
        </is>
      </c>
      <c r="K31" s="11" t="inlineStr">
        <is>
          <t>Yes</t>
        </is>
      </c>
      <c r="L31" s="13" t="inlineStr">
        <is>
          <t>Date = page creation. Auto-collected 2026-10-14 (wikipedia); review.</t>
        </is>
      </c>
      <c r="M31" s="14" t="inlineStr">
        <is>
          <t>https://ta.wikipedia.org/wiki/%E0%AE%A8%E0%AE%BF%E0%AE%B2%E0%AE%BE%E0%AE%B5%E0%AF%86%E0%AE%B3%E0%AE%BF%E0%AE%95%E0%AF%8D_%E0%AE%95%E0%AE%B2%E0%AF%8D%E0%AE%B5%E0%AF%86%E0%AE%9F%E0%AF%8D%E0%AE%9F%E0%AF%81</t>
        </is>
      </c>
    </row>
    <row r="32">
      <c r="A32" s="7" t="inlineStr">
        <is>
          <t>WB-0031</t>
        </is>
      </c>
      <c r="B32" s="8" t="inlineStr">
        <is>
          <t>2015</t>
        </is>
      </c>
      <c r="C32" s="7" t="inlineStr">
        <is>
          <t>2015-10-14</t>
        </is>
      </c>
      <c r="D32" s="9" t="inlineStr">
        <is>
          <t>அதரகுளிய கல்வெட்டு</t>
        </is>
      </c>
      <c r="E32" s="9" t="inlineStr">
        <is>
          <t>Wikipedia contributors</t>
        </is>
      </c>
      <c r="F32" s="9" t="inlineStr">
        <is>
          <t>Wikipedia (ta)</t>
        </is>
      </c>
      <c r="G32" s="7" t="inlineStr">
        <is>
          <t>Encyclopedia article</t>
        </is>
      </c>
      <c r="H32" s="7" t="inlineStr">
        <is>
          <t>Tamil</t>
        </is>
      </c>
      <c r="I32" s="9" t="inlineStr">
        <is>
          <t>Inscriptions / கல்வெட்டு</t>
        </is>
      </c>
      <c r="J32" s="9" t="inlineStr">
        <is>
          <t>கல்வெட்டு</t>
        </is>
      </c>
      <c r="K32" s="7" t="inlineStr">
        <is>
          <t>Yes</t>
        </is>
      </c>
      <c r="L32" s="9" t="inlineStr">
        <is>
          <t>Date = page creation. Auto-collected 2026-10-14 (wikipedia); review.</t>
        </is>
      </c>
      <c r="M32" s="10" t="inlineStr">
        <is>
          <t>https://ta.wikipedia.org/wiki/%E0%AE%85%E0%AE%A4%E0%AE%B0%E0%AE%95%E0%AF%81%E0%AE%B3%E0%AE%BF%E0%AE%AF_%E0%AE%95%E0%AE%B2%E0%AF%8D%E0%AE%B5%E0%AF%86%E0%AE%9F%E0%AF%8D%E0%AE%9F%E0%AF%81</t>
        </is>
      </c>
    </row>
    <row r="33">
      <c r="A33" s="11" t="inlineStr">
        <is>
          <t>WB-0032</t>
        </is>
      </c>
      <c r="B33" s="12" t="inlineStr">
        <is>
          <t>2015</t>
        </is>
      </c>
      <c r="C33" s="11" t="inlineStr">
        <is>
          <t>2015-10-14</t>
        </is>
      </c>
      <c r="D33" s="13" t="inlineStr">
        <is>
          <t>ஆதகட கல்வெட்டு</t>
        </is>
      </c>
      <c r="E33" s="13" t="inlineStr">
        <is>
          <t>Wikipedia contributors</t>
        </is>
      </c>
      <c r="F33" s="13" t="inlineStr">
        <is>
          <t>Wikipedia (ta)</t>
        </is>
      </c>
      <c r="G33" s="11" t="inlineStr">
        <is>
          <t>Encyclopedia article</t>
        </is>
      </c>
      <c r="H33" s="11" t="inlineStr">
        <is>
          <t>Tamil</t>
        </is>
      </c>
      <c r="I33" s="13" t="inlineStr">
        <is>
          <t>Inscriptions / கல்வெட்டு</t>
        </is>
      </c>
      <c r="J33" s="13" t="inlineStr">
        <is>
          <t>கல்வெட்டு</t>
        </is>
      </c>
      <c r="K33" s="11" t="inlineStr">
        <is>
          <t>Yes</t>
        </is>
      </c>
      <c r="L33" s="13" t="inlineStr">
        <is>
          <t>Date = page creation. Auto-collected 2026-10-14 (wikipedia); review.</t>
        </is>
      </c>
      <c r="M33" s="14" t="inlineStr">
        <is>
          <t>https://ta.wikipedia.org/wiki/%E0%AE%86%E0%AE%A4%E0%AE%95%E0%AE%9F_%E0%AE%95%E0%AE%B2%E0%AF%8D%E0%AE%B5%E0%AF%86%E0%AE%9F%E0%AF%8D%E0%AE%9F%E0%AF%81</t>
        </is>
      </c>
    </row>
    <row r="34">
      <c r="A34" s="7" t="inlineStr">
        <is>
          <t>WB-0033</t>
        </is>
      </c>
      <c r="B34" s="8" t="inlineStr">
        <is>
          <t>2015</t>
        </is>
      </c>
      <c r="C34" s="7" t="inlineStr">
        <is>
          <t>2015-10-15</t>
        </is>
      </c>
      <c r="D34" s="9" t="inlineStr">
        <is>
          <t>சிறுகுளத்தூர் உடையான் கல்வெட்டு</t>
        </is>
      </c>
      <c r="E34" s="9" t="inlineStr">
        <is>
          <t>Wikipedia contributors</t>
        </is>
      </c>
      <c r="F34" s="9" t="inlineStr">
        <is>
          <t>Wikipedia (ta)</t>
        </is>
      </c>
      <c r="G34" s="7" t="inlineStr">
        <is>
          <t>Encyclopedia article</t>
        </is>
      </c>
      <c r="H34" s="7" t="inlineStr">
        <is>
          <t>Tamil</t>
        </is>
      </c>
      <c r="I34" s="9" t="inlineStr">
        <is>
          <t>Inscriptions / கல்வெட்டு</t>
        </is>
      </c>
      <c r="J34" s="9" t="inlineStr">
        <is>
          <t>கல்வெட்டு</t>
        </is>
      </c>
      <c r="K34" s="7" t="inlineStr">
        <is>
          <t>Yes</t>
        </is>
      </c>
      <c r="L34" s="9" t="inlineStr">
        <is>
          <t>Date = page creation. Auto-collected 2026-10-14 (wikipedia); review.</t>
        </is>
      </c>
      <c r="M34" s="10" t="inlineStr">
        <is>
          <t>https://ta.wikipedia.org/wiki/%E0%AE%9A%E0%AE%BF%E0%AE%B1%E0%AF%81%E0%AE%95%E0%AF%81%E0%AE%B3%E0%AE%A4%E0%AF%8D%E0%AE%A4%E0%AF%82%E0%AE%B0%E0%AF%8D_%E0%AE%89%E0%AE%9F%E0%AF%88%E0%AE%AF%E0%AE%BE%E0%AE%A9%E0%AF%8D_%E0%AE%95%E0%AE%B2%E0%AF%8D%E0%AE%B5%E0%AF%86%E0%AE%9F%E0%AF%8D%E0%AE%9F%E0%AF%81</t>
        </is>
      </c>
    </row>
    <row r="35">
      <c r="A35" s="11" t="inlineStr">
        <is>
          <t>WB-0034</t>
        </is>
      </c>
      <c r="B35" s="12" t="inlineStr">
        <is>
          <t>2015</t>
        </is>
      </c>
      <c r="C35" s="11" t="inlineStr">
        <is>
          <t>2015-10-15</t>
        </is>
      </c>
      <c r="D35" s="13" t="inlineStr">
        <is>
          <t>பொலநறுவை வேளைக்காரர் கல்வெட்டு</t>
        </is>
      </c>
      <c r="E35" s="13" t="inlineStr">
        <is>
          <t>Wikipedia contributors</t>
        </is>
      </c>
      <c r="F35" s="13" t="inlineStr">
        <is>
          <t>Wikipedia (ta)</t>
        </is>
      </c>
      <c r="G35" s="11" t="inlineStr">
        <is>
          <t>Encyclopedia article</t>
        </is>
      </c>
      <c r="H35" s="11" t="inlineStr">
        <is>
          <t>Tamil</t>
        </is>
      </c>
      <c r="I35" s="13" t="inlineStr">
        <is>
          <t>Inscriptions / கல்வெட்டு</t>
        </is>
      </c>
      <c r="J35" s="13" t="inlineStr">
        <is>
          <t>கல்வெட்டு</t>
        </is>
      </c>
      <c r="K35" s="11" t="inlineStr">
        <is>
          <t>Yes</t>
        </is>
      </c>
      <c r="L35" s="13" t="inlineStr">
        <is>
          <t>Date = page creation. Auto-collected 2026-10-14 (wikipedia); review.</t>
        </is>
      </c>
      <c r="M35" s="14" t="inlineStr">
        <is>
          <t>https://ta.wikipedia.org/wiki/%E0%AE%AA%E0%AF%8A%E0%AE%B2%E0%AE%A8%E0%AE%B1%E0%AF%81%E0%AE%B5%E0%AF%88_%E0%AE%B5%E0%AF%87%E0%AE%B3%E0%AF%88%E0%AE%95%E0%AF%8D%E0%AE%95%E0%AE%BE%E0%AE%B0%E0%AE%B0%E0%AF%8D_%E0%AE%95%E0%AE%B2%E0%AF%8D%E0%AE%B5%E0%AF%86%E0%AE%9F%E0%AF%8D%E0%AE%9F%E0%AF%81</t>
        </is>
      </c>
    </row>
    <row r="36">
      <c r="A36" s="7" t="inlineStr">
        <is>
          <t>WB-0035</t>
        </is>
      </c>
      <c r="B36" s="8" t="inlineStr">
        <is>
          <t>2015</t>
        </is>
      </c>
      <c r="C36" s="7" t="inlineStr">
        <is>
          <t>2015-10-15</t>
        </is>
      </c>
      <c r="D36" s="9" t="inlineStr">
        <is>
          <t>மயிலன் குளம் வேளைக்காரர் கல்வெட்டு</t>
        </is>
      </c>
      <c r="E36" s="9" t="inlineStr">
        <is>
          <t>Wikipedia contributors</t>
        </is>
      </c>
      <c r="F36" s="9" t="inlineStr">
        <is>
          <t>Wikipedia (ta)</t>
        </is>
      </c>
      <c r="G36" s="7" t="inlineStr">
        <is>
          <t>Encyclopedia article</t>
        </is>
      </c>
      <c r="H36" s="7" t="inlineStr">
        <is>
          <t>Tamil</t>
        </is>
      </c>
      <c r="I36" s="9" t="inlineStr">
        <is>
          <t>Inscriptions / கல்வெட்டு</t>
        </is>
      </c>
      <c r="J36" s="9" t="inlineStr">
        <is>
          <t>கல்வெட்டு</t>
        </is>
      </c>
      <c r="K36" s="7" t="inlineStr">
        <is>
          <t>Yes</t>
        </is>
      </c>
      <c r="L36" s="9" t="inlineStr">
        <is>
          <t>Date = page creation. Auto-collected 2026-10-14 (wikipedia); review.</t>
        </is>
      </c>
      <c r="M36" s="10" t="inlineStr">
        <is>
          <t>https://ta.wikipedia.org/wiki/%E0%AE%AE%E0%AE%AF%E0%AE%BF%E0%AE%B2%E0%AE%A9%E0%AF%8D_%E0%AE%95%E0%AF%81%E0%AE%B3%E0%AE%AE%E0%AF%8D_%E0%AE%B5%E0%AF%87%E0%AE%B3%E0%AF%88%E0%AE%95%E0%AF%8D%E0%AE%95%E0%AE%BE%E0%AE%B0%E0%AE%B0%E0%AF%8D_%E0%AE%95%E0%AE%B2%E0%AF%8D%E0%AE%B5%E0%AF%86%E0%AE%9F%E0%AF%8D%E0%AE%9F%E0%AF%81</t>
        </is>
      </c>
    </row>
    <row r="37">
      <c r="A37" s="11" t="inlineStr">
        <is>
          <t>WB-0036</t>
        </is>
      </c>
      <c r="B37" s="12" t="inlineStr">
        <is>
          <t>2015</t>
        </is>
      </c>
      <c r="C37" s="11" t="inlineStr">
        <is>
          <t>2015-11-29</t>
        </is>
      </c>
      <c r="D37" s="13" t="inlineStr">
        <is>
          <t>Department of Archaeology (Sri Lanka)</t>
        </is>
      </c>
      <c r="E37" s="13" t="inlineStr">
        <is>
          <t>Wikipedia contributors</t>
        </is>
      </c>
      <c r="F37" s="13" t="inlineStr">
        <is>
          <t>Wikipedia (en)</t>
        </is>
      </c>
      <c r="G37" s="11" t="inlineStr">
        <is>
          <t>Encyclopedia article</t>
        </is>
      </c>
      <c r="H37" s="11" t="inlineStr">
        <is>
          <t>English</t>
        </is>
      </c>
      <c r="I37" s="13" t="inlineStr">
        <is>
          <t>Archaeology / தொல்லியல்</t>
        </is>
      </c>
      <c r="J37" s="13" t="inlineStr">
        <is>
          <t>archaeology</t>
        </is>
      </c>
      <c r="K37" s="11" t="inlineStr">
        <is>
          <t>Yes</t>
        </is>
      </c>
      <c r="L37" s="13" t="inlineStr">
        <is>
          <t>Date = page creation. Auto-collected 2026-10-14 (wikipedia); review.</t>
        </is>
      </c>
      <c r="M37" s="14" t="inlineStr">
        <is>
          <t>https://en.wikipedia.org/wiki/Department_of_Archaeology_%28Sri_Lanka%29</t>
        </is>
      </c>
    </row>
    <row r="38">
      <c r="A38" s="7" t="inlineStr">
        <is>
          <t>WB-0037</t>
        </is>
      </c>
      <c r="B38" s="8" t="inlineStr">
        <is>
          <t>2014</t>
        </is>
      </c>
      <c r="C38" s="7" t="inlineStr">
        <is>
          <t>2014-01-12</t>
        </is>
      </c>
      <c r="D38" s="9" t="inlineStr">
        <is>
          <t>Megalithic graffiti symbols</t>
        </is>
      </c>
      <c r="E38" s="9" t="inlineStr">
        <is>
          <t>Wikipedia contributors</t>
        </is>
      </c>
      <c r="F38" s="9" t="inlineStr">
        <is>
          <t>Wikipedia (en)</t>
        </is>
      </c>
      <c r="G38" s="7" t="inlineStr">
        <is>
          <t>Encyclopedia article</t>
        </is>
      </c>
      <c r="H38" s="7" t="inlineStr">
        <is>
          <t>English</t>
        </is>
      </c>
      <c r="I38" s="9" t="inlineStr">
        <is>
          <t>Brahmi / பிராமி; Archaeology / தொல்லியல்</t>
        </is>
      </c>
      <c r="J38" s="9" t="inlineStr">
        <is>
          <t>megalithic</t>
        </is>
      </c>
      <c r="K38" s="7" t="inlineStr">
        <is>
          <t>Yes</t>
        </is>
      </c>
      <c r="L38" s="9" t="inlineStr">
        <is>
          <t>Date = page creation. Auto-collected 2026-10-14 (wikipedia); review.</t>
        </is>
      </c>
      <c r="M38" s="10" t="inlineStr">
        <is>
          <t>https://en.wikipedia.org/wiki/Megalithic_graffiti_symbols</t>
        </is>
      </c>
    </row>
    <row r="39">
      <c r="A39" s="11" t="inlineStr">
        <is>
          <t>WB-0038</t>
        </is>
      </c>
      <c r="B39" s="12" t="inlineStr">
        <is>
          <t>2014</t>
        </is>
      </c>
      <c r="C39" s="11" t="inlineStr">
        <is>
          <t>2014-03-01</t>
        </is>
      </c>
      <c r="D39" s="13" t="inlineStr">
        <is>
          <t>யாழ்ப்பாண இராச்சியம் (சிற்றம்பலம்)</t>
        </is>
      </c>
      <c r="E39" s="13" t="inlineStr">
        <is>
          <t>Wikipedia contributors</t>
        </is>
      </c>
      <c r="F39" s="13" t="inlineStr">
        <is>
          <t>Wikipedia (ta)</t>
        </is>
      </c>
      <c r="G39" s="11" t="inlineStr">
        <is>
          <t>Encyclopedia article</t>
        </is>
      </c>
      <c r="H39" s="11" t="inlineStr">
        <is>
          <t>Tamil</t>
        </is>
      </c>
      <c r="I39" s="13" t="n"/>
      <c r="J39" s="13" t="n"/>
      <c r="K39" s="11" t="inlineStr">
        <is>
          <t>Yes</t>
        </is>
      </c>
      <c r="L39" s="13" t="inlineStr">
        <is>
          <t>Date = page creation. Auto-collected 2026-10-14 (wikipedia); review.</t>
        </is>
      </c>
      <c r="M39" s="14" t="inlineStr">
        <is>
          <t>https://ta.wikipedia.org/wiki/%E0%AE%AF%E0%AE%BE%E0%AE%B4%E0%AF%8D%E0%AE%AA%E0%AF%8D%E0%AE%AA%E0%AE%BE%E0%AE%A3_%E0%AE%87%E0%AE%B0%E0%AE%BE%E0%AE%9A%E0%AF%8D%E0%AE%9A%E0%AE%BF%E0%AE%AF%E0%AE%AE%E0%AF%8D_%28%E0%AE%9A%E0%AE%BF%E0%AE%B1%E0%AF%8D%E0%AE%B1%E0%AE%AE%E0%AF%8D%E0%AE%AA%E0%AE%B2%E0%AE%AE%E0%AF%8D%29</t>
        </is>
      </c>
    </row>
    <row r="40">
      <c r="A40" s="7" t="inlineStr">
        <is>
          <t>WB-0039</t>
        </is>
      </c>
      <c r="B40" s="8" t="inlineStr">
        <is>
          <t>2014</t>
        </is>
      </c>
      <c r="C40" s="7" t="inlineStr">
        <is>
          <t>2014-08-27</t>
        </is>
      </c>
      <c r="D40" s="9" t="inlineStr">
        <is>
          <t>காலி மும்மொழிக் கல்வெட்டு</t>
        </is>
      </c>
      <c r="E40" s="9" t="inlineStr">
        <is>
          <t>Wikipedia contributors</t>
        </is>
      </c>
      <c r="F40" s="9" t="inlineStr">
        <is>
          <t>Wikipedia (ta)</t>
        </is>
      </c>
      <c r="G40" s="7" t="inlineStr">
        <is>
          <t>Encyclopedia article</t>
        </is>
      </c>
      <c r="H40" s="7" t="inlineStr">
        <is>
          <t>Tamil</t>
        </is>
      </c>
      <c r="I40" s="9" t="inlineStr">
        <is>
          <t>Inscriptions / கல்வெட்டு</t>
        </is>
      </c>
      <c r="J40" s="9" t="inlineStr">
        <is>
          <t>கல்வெட்டு</t>
        </is>
      </c>
      <c r="K40" s="7" t="inlineStr">
        <is>
          <t>Yes</t>
        </is>
      </c>
      <c r="L40" s="9" t="inlineStr">
        <is>
          <t>Date = page creation. Auto-collected 2026-10-14 (wikipedia); review.</t>
        </is>
      </c>
      <c r="M40" s="10" t="inlineStr">
        <is>
          <t>https://ta.wikipedia.org/wiki/%E0%AE%95%E0%AE%BE%E0%AE%B2%E0%AE%BF_%E0%AE%AE%E0%AF%81%E0%AE%AE%E0%AF%8D%E0%AE%AE%E0%AF%8A%E0%AE%B4%E0%AE%BF%E0%AE%95%E0%AF%8D_%E0%AE%95%E0%AE%B2%E0%AF%8D%E0%AE%B5%E0%AF%86%E0%AE%9F%E0%AF%8D%E0%AE%9F%E0%AF%81</t>
        </is>
      </c>
    </row>
    <row r="41">
      <c r="A41" s="11" t="inlineStr">
        <is>
          <t>WB-0040</t>
        </is>
      </c>
      <c r="B41" s="12" t="inlineStr">
        <is>
          <t>2014</t>
        </is>
      </c>
      <c r="C41" s="11" t="inlineStr">
        <is>
          <t>2014-10-08</t>
        </is>
      </c>
      <c r="D41" s="13" t="inlineStr">
        <is>
          <t>யாழ்ப்பாணத்துச் சாசனங்கள்</t>
        </is>
      </c>
      <c r="E41" s="13" t="inlineStr">
        <is>
          <t>Wikipedia contributors</t>
        </is>
      </c>
      <c r="F41" s="13" t="inlineStr">
        <is>
          <t>Wikipedia (ta)</t>
        </is>
      </c>
      <c r="G41" s="11" t="inlineStr">
        <is>
          <t>Encyclopedia article</t>
        </is>
      </c>
      <c r="H41" s="11" t="inlineStr">
        <is>
          <t>Tamil</t>
        </is>
      </c>
      <c r="I41" s="13" t="inlineStr">
        <is>
          <t>Inscriptions / கல்வெட்டு</t>
        </is>
      </c>
      <c r="J41" s="13" t="n"/>
      <c r="K41" s="11" t="inlineStr">
        <is>
          <t>Yes</t>
        </is>
      </c>
      <c r="L41" s="13" t="inlineStr">
        <is>
          <t>Date = page creation. Auto-collected 2026-10-14 (wikipedia); review.</t>
        </is>
      </c>
      <c r="M41" s="14" t="inlineStr">
        <is>
          <t>https://ta.wikipedia.org/wiki/%E0%AE%AF%E0%AE%BE%E0%AE%B4%E0%AF%8D%E0%AE%AA%E0%AF%8D%E0%AE%AA%E0%AE%BE%E0%AE%A3%E0%AE%A4%E0%AF%8D%E0%AE%A4%E0%AF%81%E0%AE%9A%E0%AF%8D_%E0%AE%9A%E0%AE%BE%E0%AE%9A%E0%AE%A9%E0%AE%99%E0%AF%8D%E0%AE%95%E0%AE%B3%E0%AF%8D</t>
        </is>
      </c>
    </row>
    <row r="42">
      <c r="A42" s="7" t="inlineStr">
        <is>
          <t>WB-0041</t>
        </is>
      </c>
      <c r="B42" s="8" t="inlineStr">
        <is>
          <t>2014</t>
        </is>
      </c>
      <c r="C42" s="7" t="inlineStr">
        <is>
          <t>2014-10-10</t>
        </is>
      </c>
      <c r="D42" s="9" t="inlineStr">
        <is>
          <t>இலங்கையில் சங்ககால நாணயங்கள்</t>
        </is>
      </c>
      <c r="E42" s="9" t="inlineStr">
        <is>
          <t>Wikipedia contributors</t>
        </is>
      </c>
      <c r="F42" s="9" t="inlineStr">
        <is>
          <t>Wikipedia (ta)</t>
        </is>
      </c>
      <c r="G42" s="7" t="inlineStr">
        <is>
          <t>Encyclopedia article</t>
        </is>
      </c>
      <c r="H42" s="7" t="inlineStr">
        <is>
          <t>Tamil</t>
        </is>
      </c>
      <c r="I42" s="9" t="inlineStr">
        <is>
          <t>Coins / நாணயம்</t>
        </is>
      </c>
      <c r="J42" s="9" t="n"/>
      <c r="K42" s="7" t="inlineStr">
        <is>
          <t>Yes</t>
        </is>
      </c>
      <c r="L42" s="9" t="inlineStr">
        <is>
          <t>Date = page creation. Auto-collected 2026-10-14 (wikipedia); review.</t>
        </is>
      </c>
      <c r="M42" s="10" t="inlineStr">
        <is>
          <t>https://ta.wikipedia.org/wiki/%E0%AE%87%E0%AE%B2%E0%AE%99%E0%AF%8D%E0%AE%95%E0%AF%88%E0%AE%AF%E0%AE%BF%E0%AE%B2%E0%AF%8D_%E0%AE%9A%E0%AE%99%E0%AF%8D%E0%AE%95%E0%AE%95%E0%AE%BE%E0%AE%B2_%E0%AE%A8%E0%AE%BE%E0%AE%A3%E0%AE%AF%E0%AE%99%E0%AF%8D%E0%AE%95%E0%AE%B3%E0%AF%8D</t>
        </is>
      </c>
    </row>
    <row r="43">
      <c r="A43" s="11" t="inlineStr">
        <is>
          <t>WB-0042</t>
        </is>
      </c>
      <c r="B43" s="12" t="inlineStr">
        <is>
          <t>2014</t>
        </is>
      </c>
      <c r="C43" s="11" t="inlineStr">
        <is>
          <t>2014-10-10</t>
        </is>
      </c>
      <c r="D43" s="13" t="inlineStr">
        <is>
          <t>நயினாதீவுக் கல்வெட்டு</t>
        </is>
      </c>
      <c r="E43" s="13" t="inlineStr">
        <is>
          <t>Wikipedia contributors</t>
        </is>
      </c>
      <c r="F43" s="13" t="inlineStr">
        <is>
          <t>Wikipedia (ta)</t>
        </is>
      </c>
      <c r="G43" s="11" t="inlineStr">
        <is>
          <t>Encyclopedia article</t>
        </is>
      </c>
      <c r="H43" s="11" t="inlineStr">
        <is>
          <t>Tamil</t>
        </is>
      </c>
      <c r="I43" s="13" t="inlineStr">
        <is>
          <t>Inscriptions / கல்வெட்டு</t>
        </is>
      </c>
      <c r="J43" s="13" t="inlineStr">
        <is>
          <t>கல்வெட்டு</t>
        </is>
      </c>
      <c r="K43" s="11" t="inlineStr">
        <is>
          <t>Yes</t>
        </is>
      </c>
      <c r="L43" s="13" t="inlineStr">
        <is>
          <t>Date = page creation. Auto-collected 2026-10-14 (wikipedia); review.</t>
        </is>
      </c>
      <c r="M43" s="14" t="inlineStr">
        <is>
          <t>https://ta.wikipedia.org/wiki/%E0%AE%A8%E0%AE%AF%E0%AE%BF%E0%AE%A9%E0%AE%BE%E0%AE%A4%E0%AF%80%E0%AE%B5%E0%AF%81%E0%AE%95%E0%AF%8D_%E0%AE%95%E0%AE%B2%E0%AF%8D%E0%AE%B5%E0%AF%86%E0%AE%9F%E0%AF%8D%E0%AE%9F%E0%AF%81</t>
        </is>
      </c>
    </row>
    <row r="44">
      <c r="A44" s="7" t="inlineStr">
        <is>
          <t>WB-0043</t>
        </is>
      </c>
      <c r="B44" s="8" t="inlineStr">
        <is>
          <t>2014</t>
        </is>
      </c>
      <c r="C44" s="7" t="inlineStr">
        <is>
          <t>2014-10-11</t>
        </is>
      </c>
      <c r="D44" s="9" t="inlineStr">
        <is>
          <t>யாழ்ப்பாணம் பிரதான வீதிக் கல்வெட்டு</t>
        </is>
      </c>
      <c r="E44" s="9" t="inlineStr">
        <is>
          <t>Wikipedia contributors</t>
        </is>
      </c>
      <c r="F44" s="9" t="inlineStr">
        <is>
          <t>Wikipedia (ta)</t>
        </is>
      </c>
      <c r="G44" s="7" t="inlineStr">
        <is>
          <t>Encyclopedia article</t>
        </is>
      </c>
      <c r="H44" s="7" t="inlineStr">
        <is>
          <t>Tamil</t>
        </is>
      </c>
      <c r="I44" s="9" t="inlineStr">
        <is>
          <t>Inscriptions / கல்வெட்டு</t>
        </is>
      </c>
      <c r="J44" s="9" t="inlineStr">
        <is>
          <t>கல்வெட்டு</t>
        </is>
      </c>
      <c r="K44" s="7" t="inlineStr">
        <is>
          <t>Yes</t>
        </is>
      </c>
      <c r="L44" s="9" t="inlineStr">
        <is>
          <t>Date = page creation. Auto-collected 2026-10-14 (wikipedia); review.</t>
        </is>
      </c>
      <c r="M44" s="10" t="inlineStr">
        <is>
          <t>https://ta.wikipedia.org/wiki/%E0%AE%AF%E0%AE%BE%E0%AE%B4%E0%AF%8D%E0%AE%AA%E0%AF%8D%E0%AE%AA%E0%AE%BE%E0%AE%A3%E0%AE%AE%E0%AF%8D_%E0%AE%AA%E0%AE%BF%E0%AE%B0%E0%AE%A4%E0%AE%BE%E0%AE%A9_%E0%AE%B5%E0%AF%80%E0%AE%A4%E0%AE%BF%E0%AE%95%E0%AF%8D_%E0%AE%95%E0%AE%B2%E0%AF%8D%E0%AE%B5%E0%AF%86%E0%AE%9F%E0%AF%8D%E0%AE%9F%E0%AF%81</t>
        </is>
      </c>
    </row>
    <row r="45">
      <c r="A45" s="11" t="inlineStr">
        <is>
          <t>WB-0044</t>
        </is>
      </c>
      <c r="B45" s="12" t="inlineStr">
        <is>
          <t>2014</t>
        </is>
      </c>
      <c r="C45" s="11" t="inlineStr">
        <is>
          <t>2014-10-25</t>
        </is>
      </c>
      <c r="D45" s="13" t="inlineStr">
        <is>
          <t>கருணாகரப் பிள்ளையார் கோயிற் கல்வெட்டு</t>
        </is>
      </c>
      <c r="E45" s="13" t="inlineStr">
        <is>
          <t>Wikipedia contributors</t>
        </is>
      </c>
      <c r="F45" s="13" t="inlineStr">
        <is>
          <t>Wikipedia (ta)</t>
        </is>
      </c>
      <c r="G45" s="11" t="inlineStr">
        <is>
          <t>Encyclopedia article</t>
        </is>
      </c>
      <c r="H45" s="11" t="inlineStr">
        <is>
          <t>Tamil</t>
        </is>
      </c>
      <c r="I45" s="13" t="inlineStr">
        <is>
          <t>Inscriptions / கல்வெட்டு</t>
        </is>
      </c>
      <c r="J45" s="13" t="inlineStr">
        <is>
          <t>கல்வெட்டு</t>
        </is>
      </c>
      <c r="K45" s="11" t="inlineStr">
        <is>
          <t>Yes</t>
        </is>
      </c>
      <c r="L45" s="13" t="inlineStr">
        <is>
          <t>Date = page creation. Auto-collected 2026-10-14 (wikipedia); review.</t>
        </is>
      </c>
      <c r="M45" s="14" t="inlineStr">
        <is>
          <t>https://ta.wikipedia.org/wiki/%E0%AE%95%E0%AE%B0%E0%AF%81%E0%AE%A3%E0%AE%BE%E0%AE%95%E0%AE%B0%E0%AE%AA%E0%AF%8D_%E0%AE%AA%E0%AE%BF%E0%AE%B3%E0%AF%8D%E0%AE%B3%E0%AF%88%E0%AE%AF%E0%AE%BE%E0%AE%B0%E0%AF%8D_%E0%AE%95%E0%AF%8B%E0%AE%AF%E0%AE%BF%E0%AE%B1%E0%AF%8D_%E0%AE%95%E0%AE%B2%E0%AF%8D%E0%AE%B5%E0%AF%86%E0%AE%9F%E0%AF%8D%E0%AE%9F%E0%AF%81</t>
        </is>
      </c>
    </row>
    <row r="46">
      <c r="A46" s="7" t="inlineStr">
        <is>
          <t>WB-0045</t>
        </is>
      </c>
      <c r="B46" s="8" t="inlineStr">
        <is>
          <t>2014</t>
        </is>
      </c>
      <c r="C46" s="7" t="inlineStr">
        <is>
          <t>2014-12-10</t>
        </is>
      </c>
      <c r="D46" s="9" t="inlineStr">
        <is>
          <t>இரத்தினபுரி தேசிய நூதனசாலை</t>
        </is>
      </c>
      <c r="E46" s="9" t="inlineStr">
        <is>
          <t>Wikipedia contributors</t>
        </is>
      </c>
      <c r="F46" s="9" t="inlineStr">
        <is>
          <t>Wikipedia (ta)</t>
        </is>
      </c>
      <c r="G46" s="7" t="inlineStr">
        <is>
          <t>Encyclopedia article</t>
        </is>
      </c>
      <c r="H46" s="7" t="inlineStr">
        <is>
          <t>Tamil</t>
        </is>
      </c>
      <c r="I46" s="9" t="n"/>
      <c r="J46" s="9" t="n"/>
      <c r="K46" s="7" t="inlineStr">
        <is>
          <t>Yes</t>
        </is>
      </c>
      <c r="L46" s="9" t="inlineStr">
        <is>
          <t>Date = page creation. Auto-collected 2026-10-14 (wikipedia); review.</t>
        </is>
      </c>
      <c r="M46" s="10" t="inlineStr">
        <is>
          <t>https://ta.wikipedia.org/wiki/%E0%AE%87%E0%AE%B0%E0%AE%A4%E0%AF%8D%E0%AE%A4%E0%AE%BF%E0%AE%A9%E0%AE%AA%E0%AF%81%E0%AE%B0%E0%AE%BF_%E0%AE%A4%E0%AF%87%E0%AE%9A%E0%AE%BF%E0%AE%AF_%E0%AE%A8%E0%AF%82%E0%AE%A4%E0%AE%A9%E0%AE%9A%E0%AE%BE%E0%AE%B2%E0%AF%88</t>
        </is>
      </c>
    </row>
    <row r="47">
      <c r="A47" s="11" t="inlineStr">
        <is>
          <t>WB-0046</t>
        </is>
      </c>
      <c r="B47" s="12" t="inlineStr">
        <is>
          <t>2013</t>
        </is>
      </c>
      <c r="C47" s="11" t="inlineStr">
        <is>
          <t>2013-02-02</t>
        </is>
      </c>
      <c r="D47" s="13" t="inlineStr">
        <is>
          <t>சீனர் - தமிழர் தொடர்புகள்</t>
        </is>
      </c>
      <c r="E47" s="13" t="inlineStr">
        <is>
          <t>Wikipedia contributors</t>
        </is>
      </c>
      <c r="F47" s="13" t="inlineStr">
        <is>
          <t>Wikipedia (ta)</t>
        </is>
      </c>
      <c r="G47" s="11" t="inlineStr">
        <is>
          <t>Encyclopedia article</t>
        </is>
      </c>
      <c r="H47" s="11" t="inlineStr">
        <is>
          <t>Tamil</t>
        </is>
      </c>
      <c r="I47" s="13" t="n"/>
      <c r="J47" s="13" t="n"/>
      <c r="K47" s="11" t="inlineStr">
        <is>
          <t>Yes</t>
        </is>
      </c>
      <c r="L47" s="13" t="inlineStr">
        <is>
          <t>Date = page creation. Auto-collected 2026-10-14 (wikipedia); review.</t>
        </is>
      </c>
      <c r="M47" s="14" t="inlineStr">
        <is>
          <t>https://ta.wikipedia.org/wiki/%E0%AE%9A%E0%AF%80%E0%AE%A9%E0%AE%B0%E0%AF%8D_-_%E0%AE%A4%E0%AE%AE%E0%AE%BF%E0%AE%B4%E0%AE%B0%E0%AF%8D_%E0%AE%A4%E0%AF%8A%E0%AE%9F%E0%AE%B0%E0%AF%8D%E0%AE%AA%E0%AF%81%E0%AE%95%E0%AE%B3%E0%AF%8D</t>
        </is>
      </c>
    </row>
    <row r="48">
      <c r="A48" s="7" t="inlineStr">
        <is>
          <t>WB-0047</t>
        </is>
      </c>
      <c r="B48" s="8" t="inlineStr">
        <is>
          <t>2013</t>
        </is>
      </c>
      <c r="C48" s="7" t="inlineStr">
        <is>
          <t>2013-05-10</t>
        </is>
      </c>
      <c r="D48" s="9" t="inlineStr">
        <is>
          <t>வேளிர் (ஈழம்)</t>
        </is>
      </c>
      <c r="E48" s="9" t="inlineStr">
        <is>
          <t>Wikipedia contributors</t>
        </is>
      </c>
      <c r="F48" s="9" t="inlineStr">
        <is>
          <t>Wikipedia (ta)</t>
        </is>
      </c>
      <c r="G48" s="7" t="inlineStr">
        <is>
          <t>Encyclopedia article</t>
        </is>
      </c>
      <c r="H48" s="7" t="inlineStr">
        <is>
          <t>Tamil</t>
        </is>
      </c>
      <c r="I48" s="9" t="n"/>
      <c r="J48" s="9" t="n"/>
      <c r="K48" s="7" t="inlineStr">
        <is>
          <t>Yes</t>
        </is>
      </c>
      <c r="L48" s="9" t="inlineStr">
        <is>
          <t>Date = page creation. Auto-collected 2026-10-14 (wikipedia); review.</t>
        </is>
      </c>
      <c r="M48" s="10" t="inlineStr">
        <is>
          <t>https://ta.wikipedia.org/wiki/%E0%AE%B5%E0%AF%87%E0%AE%B3%E0%AE%BF%E0%AE%B0%E0%AF%8D_%28%E0%AE%88%E0%AE%B4%E0%AE%AE%E0%AF%8D%29</t>
        </is>
      </c>
    </row>
    <row r="49">
      <c r="A49" s="11" t="inlineStr">
        <is>
          <t>WB-0048</t>
        </is>
      </c>
      <c r="B49" s="12" t="inlineStr">
        <is>
          <t>2013</t>
        </is>
      </c>
      <c r="C49" s="11" t="inlineStr">
        <is>
          <t>2013-08-21</t>
        </is>
      </c>
      <c r="D49" s="13" t="inlineStr">
        <is>
          <t>Archaeological Museum, Jaffna</t>
        </is>
      </c>
      <c r="E49" s="13" t="inlineStr">
        <is>
          <t>Wikipedia contributors</t>
        </is>
      </c>
      <c r="F49" s="13" t="inlineStr">
        <is>
          <t>Wikipedia (en)</t>
        </is>
      </c>
      <c r="G49" s="11" t="inlineStr">
        <is>
          <t>Encyclopedia article</t>
        </is>
      </c>
      <c r="H49" s="11" t="inlineStr">
        <is>
          <t>English</t>
        </is>
      </c>
      <c r="I49" s="13" t="inlineStr">
        <is>
          <t>Archaeology / தொல்லியல்</t>
        </is>
      </c>
      <c r="J49" s="13" t="inlineStr">
        <is>
          <t>archaeological</t>
        </is>
      </c>
      <c r="K49" s="11" t="inlineStr">
        <is>
          <t>Yes</t>
        </is>
      </c>
      <c r="L49" s="13" t="inlineStr">
        <is>
          <t>Date = page creation. Auto-collected 2026-10-14 (wikipedia); review.</t>
        </is>
      </c>
      <c r="M49" s="14" t="inlineStr">
        <is>
          <t>https://en.wikipedia.org/wiki/Archaeological_Museum%2C_Jaffna</t>
        </is>
      </c>
    </row>
    <row r="50">
      <c r="A50" s="7" t="inlineStr">
        <is>
          <t>WB-0049</t>
        </is>
      </c>
      <c r="B50" s="8" t="inlineStr">
        <is>
          <t>2012</t>
        </is>
      </c>
      <c r="C50" s="7" t="inlineStr">
        <is>
          <t>2012-01-17</t>
        </is>
      </c>
      <c r="D50" s="9" t="inlineStr">
        <is>
          <t>History of the Jaffna kingdom</t>
        </is>
      </c>
      <c r="E50" s="9" t="inlineStr">
        <is>
          <t>Wikipedia contributors</t>
        </is>
      </c>
      <c r="F50" s="9" t="inlineStr">
        <is>
          <t>Wikipedia (en)</t>
        </is>
      </c>
      <c r="G50" s="7" t="inlineStr">
        <is>
          <t>Encyclopedia article</t>
        </is>
      </c>
      <c r="H50" s="7" t="inlineStr">
        <is>
          <t>English</t>
        </is>
      </c>
      <c r="I50" s="9" t="n"/>
      <c r="J50" s="9" t="n"/>
      <c r="K50" s="7" t="inlineStr">
        <is>
          <t>Yes</t>
        </is>
      </c>
      <c r="L50" s="9" t="inlineStr">
        <is>
          <t>Date = page creation. Auto-collected 2026-10-14 (wikipedia); review.</t>
        </is>
      </c>
      <c r="M50" s="10" t="inlineStr">
        <is>
          <t>https://en.wikipedia.org/wiki/History_of_the_Jaffna_kingdom</t>
        </is>
      </c>
    </row>
    <row r="51">
      <c r="A51" s="11" t="inlineStr">
        <is>
          <t>WB-0050</t>
        </is>
      </c>
      <c r="B51" s="12" t="inlineStr">
        <is>
          <t>2012</t>
        </is>
      </c>
      <c r="C51" s="11" t="inlineStr">
        <is>
          <t>2012-06-27</t>
        </is>
      </c>
      <c r="D51" s="13" t="inlineStr">
        <is>
          <t>Prehistoric skeleton found in Sri Lanka</t>
        </is>
      </c>
      <c r="E51" s="13" t="n"/>
      <c r="F51" s="13" t="inlineStr">
        <is>
          <t>SEAArch (Southeast Asian Archaeology)</t>
        </is>
      </c>
      <c r="G51" s="11" t="inlineStr">
        <is>
          <t>Web article</t>
        </is>
      </c>
      <c r="H51" s="11" t="inlineStr">
        <is>
          <t>English</t>
        </is>
      </c>
      <c r="I51" s="13" t="inlineStr">
        <is>
          <t>Archaeology / தொல்லியல்</t>
        </is>
      </c>
      <c r="J51" s="13" t="inlineStr">
        <is>
          <t>prehistory; archaeology</t>
        </is>
      </c>
      <c r="K51" s="11" t="inlineStr">
        <is>
          <t>Yes</t>
        </is>
      </c>
      <c r="L51" s="13" t="n"/>
      <c r="M51" s="14" t="inlineStr">
        <is>
          <t>https://southeastasianarchaeology.com/2012/06/27/prehistoric-skeleton-found-in-sri-lanka</t>
        </is>
      </c>
    </row>
    <row r="52">
      <c r="A52" s="7" t="inlineStr">
        <is>
          <t>WB-0051</t>
        </is>
      </c>
      <c r="B52" s="8" t="inlineStr">
        <is>
          <t>2012</t>
        </is>
      </c>
      <c r="C52" s="7" t="inlineStr">
        <is>
          <t>2012-07-22</t>
        </is>
      </c>
      <c r="D52" s="9" t="inlineStr">
        <is>
          <t>Anaikoddai seal</t>
        </is>
      </c>
      <c r="E52" s="9" t="inlineStr">
        <is>
          <t>Wikipedia contributors</t>
        </is>
      </c>
      <c r="F52" s="9" t="inlineStr">
        <is>
          <t>Wikipedia (en)</t>
        </is>
      </c>
      <c r="G52" s="7" t="inlineStr">
        <is>
          <t>Encyclopedia article</t>
        </is>
      </c>
      <c r="H52" s="7" t="inlineStr">
        <is>
          <t>English</t>
        </is>
      </c>
      <c r="I52" s="9" t="inlineStr">
        <is>
          <t>Inscriptions / கல்வெட்டு</t>
        </is>
      </c>
      <c r="J52" s="9" t="n"/>
      <c r="K52" s="7" t="inlineStr">
        <is>
          <t>Yes</t>
        </is>
      </c>
      <c r="L52" s="9" t="inlineStr">
        <is>
          <t>Date = page creation. Auto-collected 2026-10-14 (wikipedia); review.</t>
        </is>
      </c>
      <c r="M52" s="10" t="inlineStr">
        <is>
          <t>https://en.wikipedia.org/wiki/Anaikoddai_seal</t>
        </is>
      </c>
    </row>
    <row r="53">
      <c r="A53" s="11" t="inlineStr">
        <is>
          <t>WB-0052</t>
        </is>
      </c>
      <c r="B53" s="12" t="inlineStr">
        <is>
          <t>2011</t>
        </is>
      </c>
      <c r="C53" s="11" t="inlineStr">
        <is>
          <t>2011-02-03</t>
        </is>
      </c>
      <c r="D53" s="13" t="inlineStr">
        <is>
          <t>இலங்கைத் தமிழர் வரலாறு - தமிழ் நூல் பட்டியல்</t>
        </is>
      </c>
      <c r="E53" s="13" t="inlineStr">
        <is>
          <t>Wikipedia contributors</t>
        </is>
      </c>
      <c r="F53" s="13" t="inlineStr">
        <is>
          <t>Wikipedia (ta)</t>
        </is>
      </c>
      <c r="G53" s="11" t="inlineStr">
        <is>
          <t>Encyclopedia article</t>
        </is>
      </c>
      <c r="H53" s="11" t="inlineStr">
        <is>
          <t>Tamil</t>
        </is>
      </c>
      <c r="I53" s="13" t="n"/>
      <c r="J53" s="13" t="n"/>
      <c r="K53" s="11" t="inlineStr">
        <is>
          <t>Yes</t>
        </is>
      </c>
      <c r="L53" s="13" t="inlineStr">
        <is>
          <t>Date = page creation. Auto-collected 2026-10-14 (wikipedia); review.</t>
        </is>
      </c>
      <c r="M53" s="14" t="inlineStr">
        <is>
          <t>https://ta.wikipedia.org/wiki/%E0%AE%87%E0%AE%B2%E0%AE%99%E0%AF%8D%E0%AE%95%E0%AF%88%E0%AE%A4%E0%AF%8D_%E0%AE%A4%E0%AE%AE%E0%AE%BF%E0%AE%B4%E0%AE%B0%E0%AF%8D_%E0%AE%B5%E0%AE%B0%E0%AE%B2%E0%AE%BE%E0%AE%B1%E0%AF%81_-_%E0%AE%A4%E0%AE%AE%E0%AE%BF%E0%AE%B4%E0%AF%8D_%E0%AE%A8%E0%AF%82%E0%AE%B2%E0%AF%8D_%E0%AE%AA%E0%AE%9F%E0%AF%8D%E0%AE%9F%E0%AE%BF%E0%AE%AF%E0%AE%B2%E0%AF%8D</t>
        </is>
      </c>
    </row>
    <row r="54">
      <c r="A54" s="7" t="inlineStr">
        <is>
          <t>WB-0053</t>
        </is>
      </c>
      <c r="B54" s="8" t="inlineStr">
        <is>
          <t>2011</t>
        </is>
      </c>
      <c r="C54" s="7" t="inlineStr">
        <is>
          <t>2011-09-01</t>
        </is>
      </c>
      <c r="D54" s="9" t="inlineStr">
        <is>
          <t>மட்டக்களப்பு மான்மியம்</t>
        </is>
      </c>
      <c r="E54" s="9" t="inlineStr">
        <is>
          <t>Wikipedia contributors</t>
        </is>
      </c>
      <c r="F54" s="9" t="inlineStr">
        <is>
          <t>Wikipedia (ta)</t>
        </is>
      </c>
      <c r="G54" s="7" t="inlineStr">
        <is>
          <t>Encyclopedia article</t>
        </is>
      </c>
      <c r="H54" s="7" t="inlineStr">
        <is>
          <t>Tamil</t>
        </is>
      </c>
      <c r="I54" s="9" t="n"/>
      <c r="J54" s="9" t="n"/>
      <c r="K54" s="7" t="inlineStr">
        <is>
          <t>Yes</t>
        </is>
      </c>
      <c r="L54" s="9" t="inlineStr">
        <is>
          <t>Date = page creation. Auto-collected 2026-10-14 (wikipedia); review.</t>
        </is>
      </c>
      <c r="M54" s="10" t="inlineStr">
        <is>
          <t>https://ta.wikipedia.org/wiki/%E0%AE%AE%E0%AE%9F%E0%AF%8D%E0%AE%9F%E0%AE%95%E0%AF%8D%E0%AE%95%E0%AE%B3%E0%AE%AA%E0%AF%8D%E0%AE%AA%E0%AF%81_%E0%AE%AE%E0%AE%BE%E0%AE%A9%E0%AF%8D%E0%AE%AE%E0%AE%BF%E0%AE%AF%E0%AE%AE%E0%AF%8D</t>
        </is>
      </c>
    </row>
    <row r="55">
      <c r="A55" s="11" t="inlineStr">
        <is>
          <t>WB-0054</t>
        </is>
      </c>
      <c r="B55" s="12" t="inlineStr">
        <is>
          <t>2010</t>
        </is>
      </c>
      <c r="C55" s="11" t="inlineStr">
        <is>
          <t>2010-08-06</t>
        </is>
      </c>
      <c r="D55" s="13" t="inlineStr">
        <is>
          <t>நாயன்மார்கட்டுக் கல்வெட்டு</t>
        </is>
      </c>
      <c r="E55" s="13" t="inlineStr">
        <is>
          <t>Wikipedia contributors</t>
        </is>
      </c>
      <c r="F55" s="13" t="inlineStr">
        <is>
          <t>Wikipedia (ta)</t>
        </is>
      </c>
      <c r="G55" s="11" t="inlineStr">
        <is>
          <t>Encyclopedia article</t>
        </is>
      </c>
      <c r="H55" s="11" t="inlineStr">
        <is>
          <t>Tamil</t>
        </is>
      </c>
      <c r="I55" s="13" t="inlineStr">
        <is>
          <t>Inscriptions / கல்வெட்டு</t>
        </is>
      </c>
      <c r="J55" s="13" t="inlineStr">
        <is>
          <t>கல்வெட்டு</t>
        </is>
      </c>
      <c r="K55" s="11" t="inlineStr">
        <is>
          <t>Yes</t>
        </is>
      </c>
      <c r="L55" s="13" t="inlineStr">
        <is>
          <t>Date = page creation. Auto-collected 2026-10-14 (wikipedia); review.</t>
        </is>
      </c>
      <c r="M55" s="14" t="inlineStr">
        <is>
          <t>https://ta.wikipedia.org/wiki/%E0%AE%A8%E0%AE%BE%E0%AE%AF%E0%AE%A9%E0%AF%8D%E0%AE%AE%E0%AE%BE%E0%AE%B0%E0%AF%8D%E0%AE%95%E0%AE%9F%E0%AF%8D%E0%AE%9F%E0%AF%81%E0%AE%95%E0%AF%8D_%E0%AE%95%E0%AE%B2%E0%AF%8D%E0%AE%B5%E0%AF%86%E0%AE%9F%E0%AF%8D%E0%AE%9F%E0%AF%81</t>
        </is>
      </c>
    </row>
    <row r="56">
      <c r="A56" s="7" t="inlineStr">
        <is>
          <t>WB-0055</t>
        </is>
      </c>
      <c r="B56" s="8" t="inlineStr">
        <is>
          <t>2010</t>
        </is>
      </c>
      <c r="C56" s="7" t="inlineStr">
        <is>
          <t>2010-11-01</t>
        </is>
      </c>
      <c r="D56" s="9" t="inlineStr">
        <is>
          <t>Tissamaharama inscription No. 53</t>
        </is>
      </c>
      <c r="E56" s="9" t="inlineStr">
        <is>
          <t>Wikipedia contributors</t>
        </is>
      </c>
      <c r="F56" s="9" t="inlineStr">
        <is>
          <t>Wikipedia (en)</t>
        </is>
      </c>
      <c r="G56" s="7" t="inlineStr">
        <is>
          <t>Encyclopedia article</t>
        </is>
      </c>
      <c r="H56" s="7" t="inlineStr">
        <is>
          <t>English</t>
        </is>
      </c>
      <c r="I56" s="9" t="inlineStr">
        <is>
          <t>Inscriptions / கல்வெட்டு</t>
        </is>
      </c>
      <c r="J56" s="9" t="inlineStr">
        <is>
          <t>inscription</t>
        </is>
      </c>
      <c r="K56" s="7" t="inlineStr">
        <is>
          <t>Yes</t>
        </is>
      </c>
      <c r="L56" s="9" t="inlineStr">
        <is>
          <t>Date = page creation. Auto-collected 2026-10-14 (wikipedia); review.</t>
        </is>
      </c>
      <c r="M56" s="10" t="inlineStr">
        <is>
          <t>https://en.wikipedia.org/wiki/Tissamaharama_inscription_No._53</t>
        </is>
      </c>
    </row>
    <row r="57">
      <c r="A57" s="11" t="inlineStr">
        <is>
          <t>WB-0056</t>
        </is>
      </c>
      <c r="B57" s="12" t="inlineStr">
        <is>
          <t>2008</t>
        </is>
      </c>
      <c r="C57" s="11" t="inlineStr">
        <is>
          <t>2008-08-09</t>
        </is>
      </c>
      <c r="D57" s="13" t="inlineStr">
        <is>
          <t>Prehistory of Sri Lanka</t>
        </is>
      </c>
      <c r="E57" s="13" t="inlineStr">
        <is>
          <t>Wikipedia contributors</t>
        </is>
      </c>
      <c r="F57" s="13" t="inlineStr">
        <is>
          <t>Wikipedia (en)</t>
        </is>
      </c>
      <c r="G57" s="11" t="inlineStr">
        <is>
          <t>Encyclopedia article</t>
        </is>
      </c>
      <c r="H57" s="11" t="inlineStr">
        <is>
          <t>English</t>
        </is>
      </c>
      <c r="I57" s="13" t="n"/>
      <c r="J57" s="13" t="n"/>
      <c r="K57" s="11" t="inlineStr">
        <is>
          <t>Yes</t>
        </is>
      </c>
      <c r="L57" s="13" t="inlineStr">
        <is>
          <t>Date = page creation. Auto-collected 2026-10-14 (wikipedia); review.</t>
        </is>
      </c>
      <c r="M57" s="14" t="inlineStr">
        <is>
          <t>https://en.wikipedia.org/wiki/Prehistory_of_Sri_Lanka</t>
        </is>
      </c>
    </row>
    <row r="58">
      <c r="A58" s="7" t="inlineStr">
        <is>
          <t>WB-0057</t>
        </is>
      </c>
      <c r="B58" s="8" t="inlineStr">
        <is>
          <t>2008</t>
        </is>
      </c>
      <c r="C58" s="7" t="inlineStr">
        <is>
          <t>2008-10-12</t>
        </is>
      </c>
      <c r="D58" s="9" t="inlineStr">
        <is>
          <t>கா. இந்திரபாலா</t>
        </is>
      </c>
      <c r="E58" s="9" t="inlineStr">
        <is>
          <t>Wikipedia contributors</t>
        </is>
      </c>
      <c r="F58" s="9" t="inlineStr">
        <is>
          <t>Wikipedia (ta)</t>
        </is>
      </c>
      <c r="G58" s="7" t="inlineStr">
        <is>
          <t>Encyclopedia article</t>
        </is>
      </c>
      <c r="H58" s="7" t="inlineStr">
        <is>
          <t>Tamil</t>
        </is>
      </c>
      <c r="I58" s="9" t="n"/>
      <c r="J58" s="9" t="n"/>
      <c r="K58" s="7" t="inlineStr">
        <is>
          <t>Yes</t>
        </is>
      </c>
      <c r="L58" s="9" t="inlineStr">
        <is>
          <t>Date = page creation. Auto-collected 2026-10-14 (wikipedia); review.</t>
        </is>
      </c>
      <c r="M58" s="10" t="inlineStr">
        <is>
          <t>https://ta.wikipedia.org/wiki/%E0%AE%95%E0%AE%BE._%E0%AE%87%E0%AE%A8%E0%AF%8D%E0%AE%A4%E0%AE%BF%E0%AE%B0%E0%AE%AA%E0%AE%BE%E0%AE%B2%E0%AE%BE</t>
        </is>
      </c>
    </row>
    <row r="59">
      <c r="A59" s="11" t="inlineStr">
        <is>
          <t>WB-0058</t>
        </is>
      </c>
      <c r="B59" s="12" t="inlineStr">
        <is>
          <t>2008</t>
        </is>
      </c>
      <c r="C59" s="11" t="inlineStr">
        <is>
          <t>2008-12-27</t>
        </is>
      </c>
      <c r="D59" s="13" t="inlineStr">
        <is>
          <t>Kandarodai</t>
        </is>
      </c>
      <c r="E59" s="13" t="inlineStr">
        <is>
          <t>Wikipedia contributors</t>
        </is>
      </c>
      <c r="F59" s="13" t="inlineStr">
        <is>
          <t>Wikipedia (en)</t>
        </is>
      </c>
      <c r="G59" s="11" t="inlineStr">
        <is>
          <t>Encyclopedia article</t>
        </is>
      </c>
      <c r="H59" s="11" t="inlineStr">
        <is>
          <t>English</t>
        </is>
      </c>
      <c r="I59" s="13" t="n"/>
      <c r="J59" s="13" t="n"/>
      <c r="K59" s="11" t="inlineStr">
        <is>
          <t>Yes</t>
        </is>
      </c>
      <c r="L59" s="13" t="inlineStr">
        <is>
          <t>Date = page creation. Auto-collected 2026-10-14 (wikipedia); review.</t>
        </is>
      </c>
      <c r="M59" s="14" t="inlineStr">
        <is>
          <t>https://en.wikipedia.org/wiki/Kandarodai</t>
        </is>
      </c>
    </row>
    <row r="60">
      <c r="A60" s="7" t="inlineStr">
        <is>
          <t>WB-0059</t>
        </is>
      </c>
      <c r="B60" s="8" t="inlineStr">
        <is>
          <t>2007</t>
        </is>
      </c>
      <c r="C60" s="7" t="inlineStr">
        <is>
          <t>2007-12-07</t>
        </is>
      </c>
      <c r="D60" s="9" t="inlineStr">
        <is>
          <t>தமிழி</t>
        </is>
      </c>
      <c r="E60" s="9" t="inlineStr">
        <is>
          <t>Wikipedia contributors</t>
        </is>
      </c>
      <c r="F60" s="9" t="inlineStr">
        <is>
          <t>Wikipedia (ta)</t>
        </is>
      </c>
      <c r="G60" s="7" t="inlineStr">
        <is>
          <t>Encyclopedia article</t>
        </is>
      </c>
      <c r="H60" s="7" t="inlineStr">
        <is>
          <t>Tamil</t>
        </is>
      </c>
      <c r="I60" s="9" t="n"/>
      <c r="J60" s="9" t="n"/>
      <c r="K60" s="7" t="inlineStr">
        <is>
          <t>Yes</t>
        </is>
      </c>
      <c r="L60" s="9" t="inlineStr">
        <is>
          <t>Date = page creation. Auto-collected 2026-10-14 (wikipedia); review.</t>
        </is>
      </c>
      <c r="M60" s="10" t="inlineStr">
        <is>
          <t>https://ta.wikipedia.org/wiki/%E0%AE%A4%E0%AE%AE%E0%AE%BF%E0%AE%B4%E0%AE%BF</t>
        </is>
      </c>
    </row>
    <row r="61">
      <c r="A61" s="11" t="inlineStr">
        <is>
          <t>WB-0060</t>
        </is>
      </c>
      <c r="B61" s="12" t="inlineStr">
        <is>
          <t>2007</t>
        </is>
      </c>
      <c r="C61" s="11" t="inlineStr">
        <is>
          <t>2007-12-26</t>
        </is>
      </c>
      <c r="D61" s="13" t="inlineStr">
        <is>
          <t>Naga people (Lanka)</t>
        </is>
      </c>
      <c r="E61" s="13" t="inlineStr">
        <is>
          <t>Wikipedia contributors</t>
        </is>
      </c>
      <c r="F61" s="13" t="inlineStr">
        <is>
          <t>Wikipedia (en)</t>
        </is>
      </c>
      <c r="G61" s="11" t="inlineStr">
        <is>
          <t>Encyclopedia article</t>
        </is>
      </c>
      <c r="H61" s="11" t="inlineStr">
        <is>
          <t>English</t>
        </is>
      </c>
      <c r="I61" s="13" t="n"/>
      <c r="J61" s="13" t="n"/>
      <c r="K61" s="11" t="inlineStr">
        <is>
          <t>Yes</t>
        </is>
      </c>
      <c r="L61" s="13" t="inlineStr">
        <is>
          <t>Date = page creation. Auto-collected 2026-10-14 (wikipedia); review.</t>
        </is>
      </c>
      <c r="M61" s="14" t="inlineStr">
        <is>
          <t>https://en.wikipedia.org/wiki/Naga_people_%28Lanka%29</t>
        </is>
      </c>
    </row>
    <row r="62">
      <c r="A62" s="7" t="inlineStr">
        <is>
          <t>WB-0061</t>
        </is>
      </c>
      <c r="B62" s="8" t="inlineStr">
        <is>
          <t>2006</t>
        </is>
      </c>
      <c r="C62" s="7" t="inlineStr">
        <is>
          <t>2006-04-29</t>
        </is>
      </c>
      <c r="D62" s="9" t="inlineStr">
        <is>
          <t>பொ. பூலோகசிங்கம்</t>
        </is>
      </c>
      <c r="E62" s="9" t="inlineStr">
        <is>
          <t>Wikipedia contributors</t>
        </is>
      </c>
      <c r="F62" s="9" t="inlineStr">
        <is>
          <t>Wikipedia (ta)</t>
        </is>
      </c>
      <c r="G62" s="7" t="inlineStr">
        <is>
          <t>Encyclopedia article</t>
        </is>
      </c>
      <c r="H62" s="7" t="inlineStr">
        <is>
          <t>Tamil</t>
        </is>
      </c>
      <c r="I62" s="9" t="n"/>
      <c r="J62" s="9" t="n"/>
      <c r="K62" s="7" t="inlineStr">
        <is>
          <t>Yes</t>
        </is>
      </c>
      <c r="L62" s="9" t="inlineStr">
        <is>
          <t>Date = page creation. Auto-collected 2026-10-14 (wikipedia); review.</t>
        </is>
      </c>
      <c r="M62" s="10" t="inlineStr">
        <is>
          <t>https://ta.wikipedia.org/wiki/%E0%AE%AA%E0%AF%8A._%E0%AE%AA%E0%AF%82%E0%AE%B2%E0%AF%8B%E0%AE%95%E0%AE%9A%E0%AE%BF%E0%AE%99%E0%AF%8D%E0%AE%95%E0%AE%AE%E0%AF%8D</t>
        </is>
      </c>
    </row>
    <row r="63">
      <c r="A63" s="11" t="inlineStr">
        <is>
          <t>WB-0062</t>
        </is>
      </c>
      <c r="B63" s="12" t="inlineStr">
        <is>
          <t>2006</t>
        </is>
      </c>
      <c r="C63" s="11" t="inlineStr">
        <is>
          <t>2006-08-30</t>
        </is>
      </c>
      <c r="D63" s="13" t="inlineStr">
        <is>
          <t>Velanai</t>
        </is>
      </c>
      <c r="E63" s="13" t="inlineStr">
        <is>
          <t>Wikipedia contributors</t>
        </is>
      </c>
      <c r="F63" s="13" t="inlineStr">
        <is>
          <t>Wikipedia (en)</t>
        </is>
      </c>
      <c r="G63" s="11" t="inlineStr">
        <is>
          <t>Encyclopedia article</t>
        </is>
      </c>
      <c r="H63" s="11" t="inlineStr">
        <is>
          <t>English</t>
        </is>
      </c>
      <c r="I63" s="13" t="n"/>
      <c r="J63" s="13" t="n"/>
      <c r="K63" s="11" t="inlineStr">
        <is>
          <t>Yes</t>
        </is>
      </c>
      <c r="L63" s="13" t="inlineStr">
        <is>
          <t>Date = page creation. Auto-collected 2026-10-14 (wikipedia); review.</t>
        </is>
      </c>
      <c r="M63" s="14" t="inlineStr">
        <is>
          <t>https://en.wikipedia.org/wiki/Velanai</t>
        </is>
      </c>
    </row>
    <row r="64">
      <c r="A64" s="7" t="inlineStr">
        <is>
          <t>WB-0063</t>
        </is>
      </c>
      <c r="B64" s="8" t="inlineStr">
        <is>
          <t>2006</t>
        </is>
      </c>
      <c r="C64" s="7" t="inlineStr">
        <is>
          <t>2006-10-24</t>
        </is>
      </c>
      <c r="D64" s="9" t="inlineStr">
        <is>
          <t>நாடுகள் அடிப்படையில் தொல்லியல் களங்களின் பட்டியல்</t>
        </is>
      </c>
      <c r="E64" s="9" t="inlineStr">
        <is>
          <t>Wikipedia contributors</t>
        </is>
      </c>
      <c r="F64" s="9" t="inlineStr">
        <is>
          <t>Wikipedia (ta)</t>
        </is>
      </c>
      <c r="G64" s="7" t="inlineStr">
        <is>
          <t>Encyclopedia article</t>
        </is>
      </c>
      <c r="H64" s="7" t="inlineStr">
        <is>
          <t>Tamil</t>
        </is>
      </c>
      <c r="I64" s="9" t="inlineStr">
        <is>
          <t>Archaeology / தொல்லியல்</t>
        </is>
      </c>
      <c r="J64" s="9" t="inlineStr">
        <is>
          <t>தொல்லியல்</t>
        </is>
      </c>
      <c r="K64" s="7" t="inlineStr">
        <is>
          <t>Yes</t>
        </is>
      </c>
      <c r="L64" s="9" t="inlineStr">
        <is>
          <t>Date = page creation. Auto-collected 2026-10-14 (wikipedia); review.</t>
        </is>
      </c>
      <c r="M64" s="10" t="inlineStr">
        <is>
          <t>https://ta.wikipedia.org/wiki/%E0%AE%A8%E0%AE%BE%E0%AE%9F%E0%AF%81%E0%AE%95%E0%AE%B3%E0%AF%8D_%E0%AE%85%E0%AE%9F%E0%AE%BF%E0%AE%AA%E0%AF%8D%E0%AE%AA%E0%AE%9F%E0%AF%88%E0%AE%AF%E0%AE%BF%E0%AE%B2%E0%AF%8D_%E0%AE%A4%E0%AF%8A%E0%AE%B2%E0%AF%8D%E0%AE%B2%E0%AE%BF%E0%AE%AF%E0%AE%B2%E0%AF%8D_%E0%AE%95%E0%AE%B3%E0%AE%99%E0%AF%8D%E0%AE%95%E0%AE%B3%E0%AE%BF%E0%AE%A9%E0%AF%8D_%E0%AE%AA%E0%AE%9F%E0%AF%8D%E0%AE%9F%E0%AE%BF%E0%AE%AF%E0%AE%B2%E0%AF%8D</t>
        </is>
      </c>
    </row>
    <row r="65">
      <c r="A65" s="11" t="inlineStr">
        <is>
          <t>WB-0064</t>
        </is>
      </c>
      <c r="B65" s="12" t="inlineStr">
        <is>
          <t>2006</t>
        </is>
      </c>
      <c r="C65" s="11" t="inlineStr">
        <is>
          <t>2006-11-07</t>
        </is>
      </c>
      <c r="D65" s="13" t="inlineStr">
        <is>
          <t>Tamil-Brahmi</t>
        </is>
      </c>
      <c r="E65" s="13" t="inlineStr">
        <is>
          <t>Wikipedia contributors</t>
        </is>
      </c>
      <c r="F65" s="13" t="inlineStr">
        <is>
          <t>Wikipedia (en)</t>
        </is>
      </c>
      <c r="G65" s="11" t="inlineStr">
        <is>
          <t>Encyclopedia article</t>
        </is>
      </c>
      <c r="H65" s="11" t="inlineStr">
        <is>
          <t>English</t>
        </is>
      </c>
      <c r="I65" s="13" t="inlineStr">
        <is>
          <t>Brahmi / பிராமி</t>
        </is>
      </c>
      <c r="J65" s="13" t="inlineStr">
        <is>
          <t>brahmi</t>
        </is>
      </c>
      <c r="K65" s="11" t="inlineStr">
        <is>
          <t>Yes</t>
        </is>
      </c>
      <c r="L65" s="13" t="inlineStr">
        <is>
          <t>Date = page creation. Auto-collected 2026-10-14 (wikipedia); review.</t>
        </is>
      </c>
      <c r="M65" s="14" t="inlineStr">
        <is>
          <t>https://en.wikipedia.org/wiki/Tamil-Brahmi</t>
        </is>
      </c>
    </row>
    <row r="66">
      <c r="A66" s="7" t="inlineStr">
        <is>
          <t>WB-0065</t>
        </is>
      </c>
      <c r="B66" s="8" t="n"/>
      <c r="C66" s="7" t="n"/>
      <c r="D66" s="9" t="inlineStr">
        <is>
          <t>Ancient Buddhist Shrines in Batticaloa and Ampara Districts</t>
        </is>
      </c>
      <c r="E66" s="9" t="n"/>
      <c r="F66" s="9" t="inlineStr">
        <is>
          <t>AmazingLanka.com</t>
        </is>
      </c>
      <c r="G66" s="7" t="inlineStr">
        <is>
          <t>Web article</t>
        </is>
      </c>
      <c r="H66" s="7" t="inlineStr">
        <is>
          <t>English</t>
        </is>
      </c>
      <c r="I66" s="9" t="inlineStr">
        <is>
          <t>Archaeology / தொல்லியல்</t>
        </is>
      </c>
      <c r="J66" s="9" t="inlineStr">
        <is>
          <t>archaeology; East</t>
        </is>
      </c>
      <c r="K66" s="7" t="inlineStr">
        <is>
          <t>Unknown</t>
        </is>
      </c>
      <c r="L66" s="9" t="n"/>
      <c r="M66" s="10" t="inlineStr">
        <is>
          <t>https://amazinglanka.com/wp/buddhist-shrines-in-batticaloa-and-ampara/</t>
        </is>
      </c>
    </row>
    <row r="67">
      <c r="A67" s="11" t="inlineStr">
        <is>
          <t>WB-0066</t>
        </is>
      </c>
      <c r="B67" s="12" t="n"/>
      <c r="C67" s="11" t="n"/>
      <c r="D67" s="13" t="inlineStr">
        <is>
          <t>Buddhism amongst Tamils in Sri Lanka</t>
        </is>
      </c>
      <c r="E67" s="13" t="inlineStr">
        <is>
          <t>Wikipedia contributors</t>
        </is>
      </c>
      <c r="F67" s="13" t="inlineStr">
        <is>
          <t>Wikipedia (en)</t>
        </is>
      </c>
      <c r="G67" s="11" t="inlineStr">
        <is>
          <t>Encyclopedia article</t>
        </is>
      </c>
      <c r="H67" s="11" t="inlineStr">
        <is>
          <t>English</t>
        </is>
      </c>
      <c r="I67" s="13" t="n"/>
      <c r="J67" s="13" t="n"/>
      <c r="K67" s="11" t="inlineStr">
        <is>
          <t>Unknown</t>
        </is>
      </c>
      <c r="L67" s="13" t="inlineStr">
        <is>
          <t>Date = page creation. Auto-collected 2026-10-14 (wikipedia); review.</t>
        </is>
      </c>
      <c r="M67" s="14" t="inlineStr">
        <is>
          <t>https://en.wikipedia.org/wiki/Buddhism_amongst_Tamils_in_Sri_Lanka</t>
        </is>
      </c>
    </row>
    <row r="68">
      <c r="A68" s="7" t="inlineStr">
        <is>
          <t>WB-0067</t>
        </is>
      </c>
      <c r="B68" s="8" t="n"/>
      <c r="C68" s="7" t="n"/>
      <c r="D68" s="9" t="inlineStr">
        <is>
          <t>Buddhist Remains in the Jaffna Peninsula</t>
        </is>
      </c>
      <c r="E68" s="9" t="n"/>
      <c r="F68" s="9" t="inlineStr">
        <is>
          <t>AmazingLanka.com</t>
        </is>
      </c>
      <c r="G68" s="7" t="inlineStr">
        <is>
          <t>Web article</t>
        </is>
      </c>
      <c r="H68" s="7" t="inlineStr">
        <is>
          <t>English</t>
        </is>
      </c>
      <c r="I68" s="9" t="inlineStr">
        <is>
          <t>Archaeology / தொல்லியல்</t>
        </is>
      </c>
      <c r="J68" s="9" t="inlineStr">
        <is>
          <t>தொல்லியல்; Jaffna</t>
        </is>
      </c>
      <c r="K68" s="7" t="inlineStr">
        <is>
          <t>Unknown</t>
        </is>
      </c>
      <c r="L68" s="9" t="n"/>
      <c r="M68" s="10" t="inlineStr">
        <is>
          <t>https://amazinglanka.com/wp/jaffna/</t>
        </is>
      </c>
    </row>
    <row r="69">
      <c r="A69" s="11" t="inlineStr">
        <is>
          <t>WB-0068</t>
        </is>
      </c>
      <c r="B69" s="12" t="n"/>
      <c r="C69" s="11" t="n"/>
      <c r="D69" s="13" t="inlineStr">
        <is>
          <t>Buddhist Ruins at Tikali in Pungudutivu Island in Jaffna</t>
        </is>
      </c>
      <c r="E69" s="13" t="n"/>
      <c r="F69" s="13" t="inlineStr">
        <is>
          <t>AmazingLanka.com</t>
        </is>
      </c>
      <c r="G69" s="11" t="inlineStr">
        <is>
          <t>Web article</t>
        </is>
      </c>
      <c r="H69" s="11" t="inlineStr">
        <is>
          <t>English</t>
        </is>
      </c>
      <c r="I69" s="13" t="inlineStr">
        <is>
          <t>Archaeology / தொல்லியல்</t>
        </is>
      </c>
      <c r="J69" s="13" t="inlineStr">
        <is>
          <t>தொல்லியல்; Pungudutivu</t>
        </is>
      </c>
      <c r="K69" s="11" t="inlineStr">
        <is>
          <t>Unknown</t>
        </is>
      </c>
      <c r="L69" s="13" t="n"/>
      <c r="M69" s="14" t="inlineStr">
        <is>
          <t>https://amazinglanka.com/wp/tikali/</t>
        </is>
      </c>
    </row>
    <row r="70">
      <c r="A70" s="7" t="inlineStr">
        <is>
          <t>WB-0069</t>
        </is>
      </c>
      <c r="B70" s="8" t="n"/>
      <c r="C70" s="7" t="n"/>
      <c r="D70" s="9" t="inlineStr">
        <is>
          <t>Cankilian Thoppu</t>
        </is>
      </c>
      <c r="E70" s="9" t="inlineStr">
        <is>
          <t>Wikipedia contributors</t>
        </is>
      </c>
      <c r="F70" s="9" t="inlineStr">
        <is>
          <t>Wikipedia (en)</t>
        </is>
      </c>
      <c r="G70" s="7" t="inlineStr">
        <is>
          <t>Encyclopedia article</t>
        </is>
      </c>
      <c r="H70" s="7" t="inlineStr">
        <is>
          <t>English</t>
        </is>
      </c>
      <c r="I70" s="9" t="n"/>
      <c r="J70" s="9" t="n"/>
      <c r="K70" s="7" t="inlineStr">
        <is>
          <t>Unknown</t>
        </is>
      </c>
      <c r="L70" s="9" t="inlineStr">
        <is>
          <t>Date = page creation. Auto-collected 2026-10-14 (wikipedia); review.</t>
        </is>
      </c>
      <c r="M70" s="10" t="inlineStr">
        <is>
          <t>https://en.wikipedia.org/wiki/Cankilian_Thoppu</t>
        </is>
      </c>
    </row>
    <row r="71">
      <c r="A71" s="11" t="inlineStr">
        <is>
          <t>WB-0070</t>
        </is>
      </c>
      <c r="B71" s="12" t="n"/>
      <c r="C71" s="11" t="n"/>
      <c r="D71" s="13" t="inlineStr">
        <is>
          <t>List of Archaeological Protected Monuments in Jaffna District</t>
        </is>
      </c>
      <c r="E71" s="13" t="inlineStr">
        <is>
          <t>Wikipedia contributors</t>
        </is>
      </c>
      <c r="F71" s="13" t="inlineStr">
        <is>
          <t>Wikipedia (en)</t>
        </is>
      </c>
      <c r="G71" s="11" t="inlineStr">
        <is>
          <t>Encyclopedia article</t>
        </is>
      </c>
      <c r="H71" s="11" t="inlineStr">
        <is>
          <t>English</t>
        </is>
      </c>
      <c r="I71" s="13" t="inlineStr">
        <is>
          <t>Archaeology / தொல்லியல்</t>
        </is>
      </c>
      <c r="J71" s="13" t="inlineStr">
        <is>
          <t>archaeological</t>
        </is>
      </c>
      <c r="K71" s="11" t="inlineStr">
        <is>
          <t>Unknown</t>
        </is>
      </c>
      <c r="L71" s="13" t="inlineStr">
        <is>
          <t>Date = page creation. Auto-collected 2026-10-14 (wikipedia); review.</t>
        </is>
      </c>
      <c r="M71" s="14" t="inlineStr">
        <is>
          <t>https://en.wikipedia.org/wiki/List_of_Archaeological_Protected_Monuments_in_Jaffna_District</t>
        </is>
      </c>
    </row>
    <row r="72">
      <c r="A72" s="7" t="inlineStr">
        <is>
          <t>WB-0071</t>
        </is>
      </c>
      <c r="B72" s="8" t="n"/>
      <c r="C72" s="7" t="n"/>
      <c r="D72" s="9" t="inlineStr">
        <is>
          <t>Manniththalai Sand Bar Ancient Settlement and Archaeological Sites</t>
        </is>
      </c>
      <c r="E72" s="9" t="n"/>
      <c r="F72" s="9" t="inlineStr">
        <is>
          <t>AmazingLanka.com</t>
        </is>
      </c>
      <c r="G72" s="7" t="inlineStr">
        <is>
          <t>Web article</t>
        </is>
      </c>
      <c r="H72" s="7" t="inlineStr">
        <is>
          <t>English</t>
        </is>
      </c>
      <c r="I72" s="9" t="inlineStr">
        <is>
          <t>Archaeology / தொல்லியல்</t>
        </is>
      </c>
      <c r="J72" s="9" t="inlineStr">
        <is>
          <t>தொல்லியல்; settlement</t>
        </is>
      </c>
      <c r="K72" s="7" t="inlineStr">
        <is>
          <t>Unknown</t>
        </is>
      </c>
      <c r="L72" s="9" t="n"/>
      <c r="M72" s="10" t="inlineStr">
        <is>
          <t>https://amazinglanka.com/wp/manniththalai-settlements/</t>
        </is>
      </c>
    </row>
    <row r="73">
      <c r="A73" s="11" t="inlineStr">
        <is>
          <t>WB-0072</t>
        </is>
      </c>
      <c r="B73" s="12" t="n"/>
      <c r="C73" s="11" t="n"/>
      <c r="D73" s="13" t="inlineStr">
        <is>
          <t>Sources of ancient Tamil history</t>
        </is>
      </c>
      <c r="E73" s="13" t="inlineStr">
        <is>
          <t>Wikipedia contributors</t>
        </is>
      </c>
      <c r="F73" s="13" t="inlineStr">
        <is>
          <t>Wikipedia (en)</t>
        </is>
      </c>
      <c r="G73" s="11" t="inlineStr">
        <is>
          <t>Encyclopedia article</t>
        </is>
      </c>
      <c r="H73" s="11" t="inlineStr">
        <is>
          <t>English</t>
        </is>
      </c>
      <c r="I73" s="13" t="n"/>
      <c r="J73" s="13" t="n"/>
      <c r="K73" s="11" t="inlineStr">
        <is>
          <t>Unknown</t>
        </is>
      </c>
      <c r="L73" s="13" t="inlineStr">
        <is>
          <t>Date = page creation. Auto-collected 2026-10-14 (wikipedia); review.</t>
        </is>
      </c>
      <c r="M73" s="14" t="inlineStr">
        <is>
          <t>https://en.wikipedia.org/wiki/Sources_of_ancient_Tamil_history</t>
        </is>
      </c>
    </row>
    <row r="74">
      <c r="A74" s="7" t="inlineStr">
        <is>
          <t>WB-0073</t>
        </is>
      </c>
      <c r="B74" s="8" t="n"/>
      <c r="C74" s="7" t="n"/>
      <c r="D74" s="9" t="inlineStr">
        <is>
          <t>Vallipuram</t>
        </is>
      </c>
      <c r="E74" s="9" t="inlineStr">
        <is>
          <t>Wikipedia contributors</t>
        </is>
      </c>
      <c r="F74" s="9" t="inlineStr">
        <is>
          <t>Wikipedia (en)</t>
        </is>
      </c>
      <c r="G74" s="7" t="inlineStr">
        <is>
          <t>Encyclopedia article</t>
        </is>
      </c>
      <c r="H74" s="7" t="inlineStr">
        <is>
          <t>English</t>
        </is>
      </c>
      <c r="I74" s="9" t="n"/>
      <c r="J74" s="9" t="n"/>
      <c r="K74" s="7" t="inlineStr">
        <is>
          <t>Unknown</t>
        </is>
      </c>
      <c r="L74" s="9" t="inlineStr">
        <is>
          <t>Date = page creation. Auto-collected 2026-10-14 (wikipedia); review.</t>
        </is>
      </c>
      <c r="M74" s="10" t="inlineStr">
        <is>
          <t>https://en.wikipedia.org/wiki/Vallipuram</t>
        </is>
      </c>
    </row>
    <row r="75">
      <c r="A75" s="11" t="inlineStr">
        <is>
          <t>WB-0074</t>
        </is>
      </c>
      <c r="B75" s="12" t="n"/>
      <c r="C75" s="11" t="n"/>
      <c r="D75" s="13" t="inlineStr">
        <is>
          <t>Vanni Bandara Stone Memorial in Oddusuddan: A Legacy of Resistance</t>
        </is>
      </c>
      <c r="E75" s="13" t="n"/>
      <c r="F75" s="13" t="inlineStr">
        <is>
          <t>AmazingLanka.com</t>
        </is>
      </c>
      <c r="G75" s="11" t="inlineStr">
        <is>
          <t>Web article</t>
        </is>
      </c>
      <c r="H75" s="11" t="inlineStr">
        <is>
          <t>English</t>
        </is>
      </c>
      <c r="I75" s="13" t="inlineStr">
        <is>
          <t>Hero stones / நடுகல்</t>
        </is>
      </c>
      <c r="J75" s="13" t="inlineStr">
        <is>
          <t>memorial stone; Vanni</t>
        </is>
      </c>
      <c r="K75" s="11" t="inlineStr">
        <is>
          <t>Unknown</t>
        </is>
      </c>
      <c r="L75" s="13" t="n"/>
      <c r="M75" s="14" t="inlineStr">
        <is>
          <t>https://amazinglanka.com/wp/vanni-bandara-en/</t>
        </is>
      </c>
    </row>
    <row r="76">
      <c r="A76" s="7" t="inlineStr">
        <is>
          <t>WB-0075</t>
        </is>
      </c>
      <c r="B76" s="8" t="n"/>
      <c r="C76" s="7" t="n"/>
      <c r="D76" s="9" t="inlineStr">
        <is>
          <t>அனுராதபுரம் நான்கு நாட்டார் கல்வெட்டு</t>
        </is>
      </c>
      <c r="E76" s="9" t="inlineStr">
        <is>
          <t>Wikipedia contributors</t>
        </is>
      </c>
      <c r="F76" s="9" t="inlineStr">
        <is>
          <t>Wikipedia (ta)</t>
        </is>
      </c>
      <c r="G76" s="7" t="inlineStr">
        <is>
          <t>Encyclopedia article</t>
        </is>
      </c>
      <c r="H76" s="7" t="inlineStr">
        <is>
          <t>Tamil</t>
        </is>
      </c>
      <c r="I76" s="9" t="inlineStr">
        <is>
          <t>Inscriptions / கல்வெட்டு</t>
        </is>
      </c>
      <c r="J76" s="9" t="inlineStr">
        <is>
          <t>கல்வெட்டு</t>
        </is>
      </c>
      <c r="K76" s="7" t="inlineStr">
        <is>
          <t>Unknown</t>
        </is>
      </c>
      <c r="L76" s="9" t="inlineStr">
        <is>
          <t>Date = page creation. Auto-collected 2026-10-14 (wikipedia); review.</t>
        </is>
      </c>
      <c r="M76" s="10" t="inlineStr">
        <is>
          <t>https://ta.wikipedia.org/wiki/%E0%AE%85%E0%AE%A9%E0%AF%81%E0%AE%B0%E0%AE%BE%E0%AE%A4%E0%AE%AA%E0%AF%81%E0%AE%B0%E0%AE%AE%E0%AF%8D_%E0%AE%A8%E0%AE%BE%E0%AE%A9%E0%AF%8D%E0%AE%95%E0%AF%81_%E0%AE%A8%E0%AE%BE%E0%AE%9F%E0%AF%8D%E0%AE%9F%E0%AE%BE%E0%AE%B0%E0%AF%8D_%E0%AE%95%E0%AE%B2%E0%AF%8D%E0%AE%B5%E0%AF%86%E0%AE%9F%E0%AF%8D%E0%AE%9F%E0%AF%81</t>
        </is>
      </c>
    </row>
    <row r="77">
      <c r="A77" s="11" t="inlineStr">
        <is>
          <t>WB-0076</t>
        </is>
      </c>
      <c r="B77" s="12" t="n"/>
      <c r="C77" s="11" t="n"/>
      <c r="D77" s="13" t="inlineStr">
        <is>
          <t>கோப்பாய் சங்கிலியன் கோட்டை</t>
        </is>
      </c>
      <c r="E77" s="13" t="inlineStr">
        <is>
          <t>Wikipedia contributors</t>
        </is>
      </c>
      <c r="F77" s="13" t="inlineStr">
        <is>
          <t>Wikipedia (ta)</t>
        </is>
      </c>
      <c r="G77" s="11" t="inlineStr">
        <is>
          <t>Encyclopedia article</t>
        </is>
      </c>
      <c r="H77" s="11" t="inlineStr">
        <is>
          <t>Tamil</t>
        </is>
      </c>
      <c r="I77" s="13" t="n"/>
      <c r="J77" s="13" t="n"/>
      <c r="K77" s="11" t="inlineStr">
        <is>
          <t>Unknown</t>
        </is>
      </c>
      <c r="L77" s="13" t="inlineStr">
        <is>
          <t>Date = page creation. Auto-collected 2026-10-14 (wikipedia); review.</t>
        </is>
      </c>
      <c r="M77" s="14" t="inlineStr">
        <is>
          <t>https://ta.wikipedia.org/wiki/%E0%AE%95%E0%AF%8B%E0%AE%AA%E0%AF%8D%E0%AE%AA%E0%AE%BE%E0%AE%AF%E0%AF%8D_%E0%AE%9A%E0%AE%99%E0%AF%8D%E0%AE%95%E0%AE%BF%E0%AE%B2%E0%AE%BF%E0%AE%AF%E0%AE%A9%E0%AF%8D_%E0%AE%95%E0%AF%8B%E0%AE%9F%E0%AF%8D%E0%AE%9F%E0%AF%88</t>
        </is>
      </c>
    </row>
    <row r="78">
      <c r="A78" s="7" t="inlineStr">
        <is>
          <t>WB-0077</t>
        </is>
      </c>
      <c r="B78" s="8" t="n"/>
      <c r="C78" s="7" t="n"/>
      <c r="D78" s="9" t="inlineStr">
        <is>
          <t>தமிழ்க் கல்வெட்டுகள்</t>
        </is>
      </c>
      <c r="E78" s="9" t="inlineStr">
        <is>
          <t>Wikipedia contributors</t>
        </is>
      </c>
      <c r="F78" s="9" t="inlineStr">
        <is>
          <t>Wikipedia (ta)</t>
        </is>
      </c>
      <c r="G78" s="7" t="inlineStr">
        <is>
          <t>Encyclopedia article</t>
        </is>
      </c>
      <c r="H78" s="7" t="inlineStr">
        <is>
          <t>Tamil</t>
        </is>
      </c>
      <c r="I78" s="9" t="inlineStr">
        <is>
          <t>Inscriptions / கல்வெட்டு</t>
        </is>
      </c>
      <c r="J78" s="9" t="inlineStr">
        <is>
          <t>கல்வெட்டு; கல்வெட்டுகள்</t>
        </is>
      </c>
      <c r="K78" s="7" t="inlineStr">
        <is>
          <t>Unknown</t>
        </is>
      </c>
      <c r="L78" s="9" t="inlineStr">
        <is>
          <t>Date = page creation. Auto-collected 2026-10-14 (wikipedia); review.</t>
        </is>
      </c>
      <c r="M78" s="10" t="inlineStr">
        <is>
          <t>https://ta.wikipedia.org/wiki/%E0%AE%A4%E0%AE%AE%E0%AE%BF%E0%AE%B4%E0%AF%8D%E0%AE%95%E0%AF%8D_%E0%AE%95%E0%AE%B2%E0%AF%8D%E0%AE%B5%E0%AF%86%E0%AE%9F%E0%AF%8D%E0%AE%9F%E0%AF%81%E0%AE%95%E0%AE%B3%E0%AF%8D</t>
        </is>
      </c>
    </row>
    <row r="79">
      <c r="A79" s="11" t="inlineStr">
        <is>
          <t>WB-0078</t>
        </is>
      </c>
      <c r="B79" s="12" t="n"/>
      <c r="C79" s="11" t="n"/>
      <c r="D79" s="13" t="inlineStr">
        <is>
          <t>தம்பிலுவில் கல்வெட்டு</t>
        </is>
      </c>
      <c r="E79" s="13" t="inlineStr">
        <is>
          <t>Wikipedia contributors</t>
        </is>
      </c>
      <c r="F79" s="13" t="inlineStr">
        <is>
          <t>Wikipedia (ta)</t>
        </is>
      </c>
      <c r="G79" s="11" t="inlineStr">
        <is>
          <t>Encyclopedia article</t>
        </is>
      </c>
      <c r="H79" s="11" t="inlineStr">
        <is>
          <t>Tamil</t>
        </is>
      </c>
      <c r="I79" s="13" t="inlineStr">
        <is>
          <t>Inscriptions / கல்வெட்டு</t>
        </is>
      </c>
      <c r="J79" s="13" t="inlineStr">
        <is>
          <t>கல்வெட்டு</t>
        </is>
      </c>
      <c r="K79" s="11" t="inlineStr">
        <is>
          <t>Unknown</t>
        </is>
      </c>
      <c r="L79" s="13" t="inlineStr">
        <is>
          <t>Date = page creation. Auto-collected 2026-10-14 (wikipedia); review.</t>
        </is>
      </c>
      <c r="M79" s="14" t="inlineStr">
        <is>
          <t>https://ta.wikipedia.org/wiki/%E0%AE%A4%E0%AE%AE%E0%AF%8D%E0%AE%AA%E0%AE%BF%E0%AE%B2%E0%AF%81%E0%AE%B5%E0%AE%BF%E0%AE%B2%E0%AF%8D_%E0%AE%95%E0%AE%B2%E0%AF%8D%E0%AE%B5%E0%AF%86%E0%AE%9F%E0%AF%8D%E0%AE%9F%E0%AF%81</t>
        </is>
      </c>
    </row>
    <row r="80">
      <c r="A80" s="7" t="inlineStr">
        <is>
          <t>WB-0079</t>
        </is>
      </c>
      <c r="B80" s="8" t="n"/>
      <c r="C80" s="7" t="n"/>
      <c r="D80" s="9" t="inlineStr">
        <is>
          <t>யாழ்ப்பாண இராச்சியம் - Tamil Heritage</t>
        </is>
      </c>
      <c r="E80" s="9" t="n"/>
      <c r="F80" s="9" t="inlineStr">
        <is>
          <t>telibrary.com</t>
        </is>
      </c>
      <c r="G80" s="7" t="inlineStr">
        <is>
          <t>Web page</t>
        </is>
      </c>
      <c r="H80" s="7" t="inlineStr">
        <is>
          <t>Tamil</t>
        </is>
      </c>
      <c r="I80" s="9" t="inlineStr">
        <is>
          <t>Archaeology / தொல்லியல்</t>
        </is>
      </c>
      <c r="J80" s="9" t="n"/>
      <c r="K80" s="7" t="inlineStr">
        <is>
          <t>Unknown</t>
        </is>
      </c>
      <c r="L80" s="9" t="inlineStr">
        <is>
          <t>Web search: யாழ்ப்பாணம் தொல்லியல். Auto-collected 2026-10-14 (ddg); review.</t>
        </is>
      </c>
      <c r="M80" s="10" t="inlineStr">
        <is>
          <t>https://telibrary.com/category/history/%E0%AE%AF%E0%AE%BE%E0%AE%B4%E0%AF%8D%E0%AE%AA%E0%AF%8D%E0%AE%AA%E0%AE%BE%E0%AE%A3-%E0%AE%87%E0%AE%B0%E0%AE%BE%E0%AE%9A%E0%AF%8D%E0%AE%9A%E0%AE%BF%E0%AE%AF%E0%AE%AE%E0%AF%8D/</t>
        </is>
      </c>
    </row>
    <row r="81">
      <c r="A81" s="11" t="inlineStr">
        <is>
          <t>WB-0080</t>
        </is>
      </c>
      <c r="B81" s="12" t="n"/>
      <c r="C81" s="11" t="n"/>
      <c r="D81" s="13" t="inlineStr">
        <is>
          <t>யாழ்ப்பாண வரலாறு - யாழ்ப்பாணப் பெட்டகம்</t>
        </is>
      </c>
      <c r="E81" s="13" t="n"/>
      <c r="F81" s="13" t="inlineStr">
        <is>
          <t>treasurehouseofjaffna.com</t>
        </is>
      </c>
      <c r="G81" s="11" t="inlineStr">
        <is>
          <t>Web page</t>
        </is>
      </c>
      <c r="H81" s="11" t="inlineStr">
        <is>
          <t>Tamil</t>
        </is>
      </c>
      <c r="I81" s="13" t="n"/>
      <c r="J81" s="13" t="n"/>
      <c r="K81" s="11" t="inlineStr">
        <is>
          <t>Unknown</t>
        </is>
      </c>
      <c r="L81" s="13" t="inlineStr">
        <is>
          <t>Web search: யாழ்ப்பாணம் தொல்லியல். Auto-collected 2026-10-14 (ddg); review.</t>
        </is>
      </c>
      <c r="M81" s="14" t="inlineStr">
        <is>
          <t>https://treasurehouseofjaffna.com/%E0%AE%AF%E0%AE%BE%E0%AE%B4%E0%AF%8D%E0%AE%AA%E0%AF%8D%E0%AE%AA%E0%AE%BE%E0%AE%A3-%E0%AE%B5%E0%AE%B0%E0%AE%B2%E0%AE%BE%E0%AE%B1%E0%AF%81/</t>
        </is>
      </c>
    </row>
    <row r="82">
      <c r="A82" s="7" t="inlineStr">
        <is>
          <t>WB-0081</t>
        </is>
      </c>
      <c r="B82" s="8" t="n"/>
      <c r="C82" s="7" t="n"/>
      <c r="D82" s="9" t="inlineStr">
        <is>
          <t>யாழ்ப்பாணம் ஆனைக்கோட்டை தொல்லியல் கண்காட்சி ஆரம்பம்!</t>
        </is>
      </c>
      <c r="E82" s="9" t="n"/>
      <c r="F82" s="9" t="inlineStr">
        <is>
          <t>shritharan.com</t>
        </is>
      </c>
      <c r="G82" s="7" t="inlineStr">
        <is>
          <t>Web page</t>
        </is>
      </c>
      <c r="H82" s="7" t="inlineStr">
        <is>
          <t>Tamil</t>
        </is>
      </c>
      <c r="I82" s="9" t="inlineStr">
        <is>
          <t>Archaeology / தொல்லியல்</t>
        </is>
      </c>
      <c r="J82" s="9" t="inlineStr">
        <is>
          <t>தொல்லியல்</t>
        </is>
      </c>
      <c r="K82" s="7" t="inlineStr">
        <is>
          <t>Unknown</t>
        </is>
      </c>
      <c r="L82" s="9" t="inlineStr">
        <is>
          <t>Web search: யாழ்ப்பாணம் தொல்லியல். Auto-collected 2026-10-14 (ddg); review.</t>
        </is>
      </c>
      <c r="M82" s="10" t="inlineStr">
        <is>
          <t>https://shritharan.com/parliamentary-work/%E0%AE%AF%E0%AE%BE%E0%AE%B4%E0%AF%8D%E0%AE%AA%E0%AF%8D%E0%AE%AA%E0%AE%BE%E0%AE%A3%E0%AE%AE%E0%AF%8D-%E0%AE%86%E0%AE%A9%E0%AF%88%E0%AE%95%E0%AF%8D%E0%AE%95%E0%AF%8B%E0%AE%9F%E0%AF%8D%E0%AE%9F%E0%AF%88/</t>
        </is>
      </c>
    </row>
  </sheetData>
  <autoFilter ref="A1:M8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6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7" customWidth="1" min="3" max="3"/>
    <col width="11" customWidth="1" min="4" max="4"/>
    <col width="60" customWidth="1" min="5" max="5"/>
    <col width="28" customWidth="1" min="6" max="6"/>
    <col width="34" customWidth="1" min="7" max="7"/>
    <col width="18" customWidth="1" min="8" max="8"/>
    <col width="10" customWidth="1" min="9" max="9"/>
    <col width="30" customWidth="1" min="10" max="10"/>
    <col width="30" customWidth="1" min="11" max="11"/>
    <col width="14" customWidth="1" min="12" max="12"/>
    <col width="30" customWidth="1" min="13" max="13"/>
    <col width="45" customWidth="1" min="14" max="14"/>
  </cols>
  <sheetData>
    <row r="1" ht="30" customHeight="1">
      <c r="A1" s="6" t="inlineStr">
        <is>
          <t>ID</t>
        </is>
      </c>
      <c r="B1" s="6" t="inlineStr">
        <is>
          <t>Category</t>
        </is>
      </c>
      <c r="C1" s="6" t="inlineStr">
        <is>
          <t>Year</t>
        </is>
      </c>
      <c r="D1" s="6" t="inlineStr">
        <is>
          <t>Date</t>
        </is>
      </c>
      <c r="E1" s="6" t="inlineStr">
        <is>
          <t>Title</t>
        </is>
      </c>
      <c r="F1" s="6" t="inlineStr">
        <is>
          <t>Author / Editor</t>
        </is>
      </c>
      <c r="G1" s="6" t="inlineStr">
        <is>
          <t>Publisher / Source</t>
        </is>
      </c>
      <c r="H1" s="6" t="inlineStr">
        <is>
          <t>Type</t>
        </is>
      </c>
      <c r="I1" s="6" t="inlineStr">
        <is>
          <t>Language</t>
        </is>
      </c>
      <c r="J1" s="6" t="inlineStr">
        <is>
          <t>Themes</t>
        </is>
      </c>
      <c r="K1" s="6" t="inlineStr">
        <is>
          <t>Keywords</t>
        </is>
      </c>
      <c r="L1" s="6" t="inlineStr">
        <is>
          <t>Within 1996-2026</t>
        </is>
      </c>
      <c r="M1" s="6" t="inlineStr">
        <is>
          <t>Notes</t>
        </is>
      </c>
      <c r="N1" s="6" t="inlineStr">
        <is>
          <t>URL</t>
        </is>
      </c>
    </row>
    <row r="2">
      <c r="A2" s="7" t="inlineStr">
        <is>
          <t>ALL-0001</t>
        </is>
      </c>
      <c r="B2" s="7" t="inlineStr">
        <is>
          <t>Books</t>
        </is>
      </c>
      <c r="C2" s="8" t="inlineStr">
        <is>
          <t>2026</t>
        </is>
      </c>
      <c r="D2" s="7" t="inlineStr">
        <is>
          <t>2026-02-15</t>
        </is>
      </c>
      <c r="E2" s="9" t="inlineStr">
        <is>
          <t>Religion, Gender, and Politics in Medieval Sri Lanka: The Reconstruction of Buddhist Kingship, ca. 1070–1215</t>
        </is>
      </c>
      <c r="F2" s="9" t="inlineStr">
        <is>
          <t>Bruno M. Shirley</t>
        </is>
      </c>
      <c r="G2" s="9" t="n"/>
      <c r="H2" s="7" t="inlineStr">
        <is>
          <t>Book</t>
        </is>
      </c>
      <c r="I2" s="7" t="inlineStr">
        <is>
          <t>English</t>
        </is>
      </c>
      <c r="J2" s="9" t="n"/>
      <c r="K2" s="9" t="n"/>
      <c r="L2" s="7" t="inlineStr">
        <is>
          <t>Yes</t>
        </is>
      </c>
      <c r="M2" s="9" t="inlineStr">
        <is>
          <t>OpenAlex query: Tamil Brahmi Sri Lanka. Auto-collected 2026-10-14 (openalex); review.</t>
        </is>
      </c>
      <c r="N2" s="10" t="inlineStr">
        <is>
          <t>https://doi.org/10.17302/kshl2567</t>
        </is>
      </c>
    </row>
    <row r="3">
      <c r="A3" s="11" t="inlineStr">
        <is>
          <t>ALL-0002</t>
        </is>
      </c>
      <c r="B3" s="11" t="inlineStr">
        <is>
          <t>Books</t>
        </is>
      </c>
      <c r="C3" s="12" t="inlineStr">
        <is>
          <t>2026</t>
        </is>
      </c>
      <c r="D3" s="11" t="inlineStr">
        <is>
          <t>2026-04-11</t>
        </is>
      </c>
      <c r="E3" s="13" t="inlineStr">
        <is>
          <t>Glimpses of an Ancient Civilisation: Society and Culture in Jaffna (300 BC to AD 500)</t>
        </is>
      </c>
      <c r="F3" s="13" t="inlineStr">
        <is>
          <t>S. Pathmanathan</t>
        </is>
      </c>
      <c r="G3" s="13" t="n"/>
      <c r="H3" s="11" t="inlineStr">
        <is>
          <t>Book</t>
        </is>
      </c>
      <c r="I3" s="11" t="inlineStr">
        <is>
          <t>English</t>
        </is>
      </c>
      <c r="J3" s="13" t="inlineStr">
        <is>
          <t>Brahmi / பிராமி; Archaeology / தொல்லியல்; Coins / நாணயம்</t>
        </is>
      </c>
      <c r="K3" s="13" t="inlineStr">
        <is>
          <t>Tamil-Brahmi; Vallipuram gold plate; Roman coins; archaeology</t>
        </is>
      </c>
      <c r="L3" s="11" t="inlineStr">
        <is>
          <t>Yes</t>
        </is>
      </c>
      <c r="M3" s="13" t="inlineStr">
        <is>
          <t>Launched 11 Apr 2026</t>
        </is>
      </c>
      <c r="N3" s="14" t="inlineStr">
        <is>
          <t>https://www.tamilguardian.com/content/prof-pathmanathans-new-book-sheds-light-early-jaffna-civilisation</t>
        </is>
      </c>
    </row>
    <row r="4">
      <c r="A4" s="7" t="inlineStr">
        <is>
          <t>ALL-0003</t>
        </is>
      </c>
      <c r="B4" s="7" t="inlineStr">
        <is>
          <t>Books</t>
        </is>
      </c>
      <c r="C4" s="8" t="inlineStr">
        <is>
          <t>2025</t>
        </is>
      </c>
      <c r="D4" s="7" t="n"/>
      <c r="E4" s="9" t="inlineStr">
        <is>
          <t>இலங்கையின் பிராமி மற்றும் சிங்களக் கல்வெட்டுகளில் தமிழர் (Tamils in the Brahmi and Sinhala Inscriptions of Sri Lanka)</t>
        </is>
      </c>
      <c r="F4" s="9" t="inlineStr">
        <is>
          <t>N. K. S. Thiruchelvam</t>
        </is>
      </c>
      <c r="G4" s="9" t="inlineStr">
        <is>
          <t>Ezhuna</t>
        </is>
      </c>
      <c r="H4" s="7" t="inlineStr">
        <is>
          <t>Book</t>
        </is>
      </c>
      <c r="I4" s="7" t="inlineStr">
        <is>
          <t>Tamil</t>
        </is>
      </c>
      <c r="J4" s="9" t="inlineStr">
        <is>
          <t>Inscriptions / கல்வெட்டு; Brahmi / பிராமி</t>
        </is>
      </c>
      <c r="K4" s="9" t="inlineStr">
        <is>
          <t>Brahmi; கல்வெட்டு; Tamils</t>
        </is>
      </c>
      <c r="L4" s="7" t="inlineStr">
        <is>
          <t>Yes</t>
        </is>
      </c>
      <c r="M4" s="9" t="inlineStr">
        <is>
          <t>Book launch 26 Jul 2025, Trincomalee</t>
        </is>
      </c>
      <c r="N4" s="10" t="inlineStr">
        <is>
          <t>https://www.ezhunaonline.com/books/tamils-in-the-inscriptions-of-brahmi-and-sinhala/</t>
        </is>
      </c>
    </row>
    <row r="5">
      <c r="A5" s="11" t="inlineStr">
        <is>
          <t>ALL-0004</t>
        </is>
      </c>
      <c r="B5" s="11" t="inlineStr">
        <is>
          <t>Books</t>
        </is>
      </c>
      <c r="C5" s="12" t="inlineStr">
        <is>
          <t>2022</t>
        </is>
      </c>
      <c r="D5" s="11" t="n"/>
      <c r="E5" s="13" t="inlineStr">
        <is>
          <t>Ancient Sri Lanka: Glimpses of the Past</t>
        </is>
      </c>
      <c r="F5" s="13" t="inlineStr">
        <is>
          <t>K. Indrapala</t>
        </is>
      </c>
      <c r="G5" s="13" t="inlineStr">
        <is>
          <t>Ohm Books Publishing</t>
        </is>
      </c>
      <c r="H5" s="11" t="inlineStr">
        <is>
          <t>Book</t>
        </is>
      </c>
      <c r="I5" s="11" t="inlineStr">
        <is>
          <t>English</t>
        </is>
      </c>
      <c r="J5" s="13" t="inlineStr">
        <is>
          <t>Archaeology / தொல்லியல்</t>
        </is>
      </c>
      <c r="K5" s="13" t="inlineStr">
        <is>
          <t>archaeology; history</t>
        </is>
      </c>
      <c r="L5" s="11" t="inlineStr">
        <is>
          <t>Yes</t>
        </is>
      </c>
      <c r="M5" s="13" t="n"/>
      <c r="N5" s="14" t="inlineStr">
        <is>
          <t>https://en.wikipedia.org/wiki/K._Indrapala</t>
        </is>
      </c>
    </row>
    <row r="6">
      <c r="A6" s="7" t="inlineStr">
        <is>
          <t>ALL-0005</t>
        </is>
      </c>
      <c r="B6" s="7" t="inlineStr">
        <is>
          <t>Books</t>
        </is>
      </c>
      <c r="C6" s="8" t="inlineStr">
        <is>
          <t>2017</t>
        </is>
      </c>
      <c r="D6" s="7" t="n"/>
      <c r="E6" s="9" t="inlineStr">
        <is>
          <t>இலங்கைத் தமிழர்: ஒரு சுருக்க வரலாறு (Sri Lankan Tamils: A Brief History)</t>
        </is>
      </c>
      <c r="F6" s="9" t="inlineStr">
        <is>
          <t>P. Pushparatnam</t>
        </is>
      </c>
      <c r="G6" s="9" t="inlineStr">
        <is>
          <t>Tamil Education Service, Switzerland</t>
        </is>
      </c>
      <c r="H6" s="7" t="inlineStr">
        <is>
          <t>Book</t>
        </is>
      </c>
      <c r="I6" s="7" t="inlineStr">
        <is>
          <t>Tamil</t>
        </is>
      </c>
      <c r="J6" s="9" t="inlineStr">
        <is>
          <t>Archaeology / தொல்லியல்</t>
        </is>
      </c>
      <c r="K6" s="9" t="inlineStr">
        <is>
          <t>history; archaeology</t>
        </is>
      </c>
      <c r="L6" s="7" t="inlineStr">
        <is>
          <t>Yes</t>
        </is>
      </c>
      <c r="M6" s="9" t="inlineStr">
        <is>
          <t>Noolaham No. 75615; 248 pp.</t>
        </is>
      </c>
      <c r="N6" s="10" t="inlineStr">
        <is>
          <t>https://noolaham.org/wiki/index.php/இலங்கைத்_தமிழர்:_ஒரு_சுருக்க_வரலாறு</t>
        </is>
      </c>
    </row>
    <row r="7">
      <c r="A7" s="11" t="inlineStr">
        <is>
          <t>ALL-0006</t>
        </is>
      </c>
      <c r="B7" s="11" t="inlineStr">
        <is>
          <t>Books</t>
        </is>
      </c>
      <c r="C7" s="12" t="inlineStr">
        <is>
          <t>2017</t>
        </is>
      </c>
      <c r="D7" s="11" t="n"/>
      <c r="E7" s="13" t="inlineStr">
        <is>
          <t>ஈழத் தமிழர் மரபுரிமை அடையாளங்கள் (Heritage Symbols of Eelam Tamils)</t>
        </is>
      </c>
      <c r="F7" s="13" t="inlineStr">
        <is>
          <t>P. Pushparatnam</t>
        </is>
      </c>
      <c r="G7" s="13" t="inlineStr">
        <is>
          <t>Tamil Education Service, Switzerland</t>
        </is>
      </c>
      <c r="H7" s="11" t="inlineStr">
        <is>
          <t>Book</t>
        </is>
      </c>
      <c r="I7" s="11" t="inlineStr">
        <is>
          <t>Tamil</t>
        </is>
      </c>
      <c r="J7" s="13" t="inlineStr">
        <is>
          <t>Archaeology / தொல்லியல்</t>
        </is>
      </c>
      <c r="K7" s="13" t="inlineStr">
        <is>
          <t>heritage; தொல்லியல்</t>
        </is>
      </c>
      <c r="L7" s="11" t="inlineStr">
        <is>
          <t>Yes</t>
        </is>
      </c>
      <c r="M7" s="13" t="inlineStr">
        <is>
          <t>Noolaham No. 75614; 240 pp.</t>
        </is>
      </c>
      <c r="N7" s="14" t="inlineStr">
        <is>
          <t>https://noolaham.org/wiki/index.php/ஈழத்_தமிழர்_மரபுரிமை_அடையாளங்கள்</t>
        </is>
      </c>
    </row>
    <row r="8">
      <c r="A8" s="7" t="inlineStr">
        <is>
          <t>ALL-0007</t>
        </is>
      </c>
      <c r="B8" s="7" t="inlineStr">
        <is>
          <t>Books</t>
        </is>
      </c>
      <c r="C8" s="8" t="inlineStr">
        <is>
          <t>2017</t>
        </is>
      </c>
      <c r="D8" s="7" t="inlineStr">
        <is>
          <t>2017-06-06</t>
        </is>
      </c>
      <c r="E8" s="9" t="inlineStr">
        <is>
          <t>Sri Lanka at the Crossroads of History</t>
        </is>
      </c>
      <c r="F8" s="9" t="inlineStr">
        <is>
          <t>Coningham,  R.A.E., Manuel,  M.J., Davis,  C.E., Gunawardhana,  P.</t>
        </is>
      </c>
      <c r="G8" s="9" t="inlineStr">
        <is>
          <t>Noolaham digital library</t>
        </is>
      </c>
      <c r="H8" s="7" t="inlineStr">
        <is>
          <t>Book</t>
        </is>
      </c>
      <c r="I8" s="7" t="inlineStr">
        <is>
          <t>English</t>
        </is>
      </c>
      <c r="J8" s="9" t="inlineStr">
        <is>
          <t>Archaeology / தொல்லியல்</t>
        </is>
      </c>
      <c r="K8" s="9" t="inlineStr">
        <is>
          <t>history; archaeology</t>
        </is>
      </c>
      <c r="L8" s="7" t="inlineStr">
        <is>
          <t>Yes</t>
        </is>
      </c>
      <c r="M8" s="9" t="inlineStr">
        <is>
          <t>Details to verify</t>
        </is>
      </c>
      <c r="N8" s="10" t="inlineStr">
        <is>
          <t>https://noolaham.net/project/810/80954/80954.pdf</t>
        </is>
      </c>
    </row>
    <row r="9">
      <c r="A9" s="11" t="inlineStr">
        <is>
          <t>ALL-0008</t>
        </is>
      </c>
      <c r="B9" s="11" t="inlineStr">
        <is>
          <t>Books</t>
        </is>
      </c>
      <c r="C9" s="12" t="inlineStr">
        <is>
          <t>2014</t>
        </is>
      </c>
      <c r="D9" s="11" t="n"/>
      <c r="E9" s="13" t="inlineStr">
        <is>
          <t>Collection of Historical Articles of Prof. V. Sivasamy</t>
        </is>
      </c>
      <c r="F9" s="13" t="inlineStr">
        <is>
          <t>K. Arunthavarajah (ed.)</t>
        </is>
      </c>
      <c r="G9" s="13" t="inlineStr">
        <is>
          <t>Anchu Publication, Nallur</t>
        </is>
      </c>
      <c r="H9" s="11" t="inlineStr">
        <is>
          <t>Edited volume</t>
        </is>
      </c>
      <c r="I9" s="11" t="inlineStr">
        <is>
          <t>Tamil</t>
        </is>
      </c>
      <c r="J9" s="13" t="inlineStr">
        <is>
          <t>Inscriptions / கல்வெட்டு</t>
        </is>
      </c>
      <c r="K9" s="13" t="inlineStr">
        <is>
          <t>history; epigraphy</t>
        </is>
      </c>
      <c r="L9" s="11" t="inlineStr">
        <is>
          <t>Yes</t>
        </is>
      </c>
      <c r="M9" s="13" t="n"/>
      <c r="N9" s="14" t="inlineStr">
        <is>
          <t>https://www.his.jfn.ac.lk/index.php/profkarunthavarajah/</t>
        </is>
      </c>
    </row>
    <row r="10">
      <c r="A10" s="7" t="inlineStr">
        <is>
          <t>ALL-0009</t>
        </is>
      </c>
      <c r="B10" s="7" t="inlineStr">
        <is>
          <t>Books</t>
        </is>
      </c>
      <c r="C10" s="8" t="inlineStr">
        <is>
          <t>2014</t>
        </is>
      </c>
      <c r="D10" s="7" t="inlineStr">
        <is>
          <t>2014-02-17</t>
        </is>
      </c>
      <c r="E10" s="9" t="inlineStr">
        <is>
          <t>இலங்கையில் தமிழர்: ஓர் இனக்குழு ஆக்கம் பெற்ற வரலாறு</t>
        </is>
      </c>
      <c r="F10" s="9" t="inlineStr">
        <is>
          <t>K. Indrapala (Tamil edition)</t>
        </is>
      </c>
      <c r="G10" s="9" t="inlineStr">
        <is>
          <t>Wikipedia (ta)</t>
        </is>
      </c>
      <c r="H10" s="7" t="inlineStr">
        <is>
          <t>Book</t>
        </is>
      </c>
      <c r="I10" s="7" t="inlineStr">
        <is>
          <t>Tamil</t>
        </is>
      </c>
      <c r="J10" s="9" t="inlineStr">
        <is>
          <t>Inscriptions / கல்வெட்டு; Brahmi / பிராமி</t>
        </is>
      </c>
      <c r="K10" s="9" t="inlineStr">
        <is>
          <t>Brahmi; inscriptions; ethnic history</t>
        </is>
      </c>
      <c r="L10" s="7" t="inlineStr">
        <is>
          <t>Yes</t>
        </is>
      </c>
      <c r="M10" s="9" t="inlineStr">
        <is>
          <t>Tamil version of Evolution of an Ethnic Identity; details to verify (Noolaham rate-limited)</t>
        </is>
      </c>
      <c r="N10" s="10" t="inlineStr">
        <is>
          <t>https://noolaham.org/wiki/index.php/இலங்கையில்_தமிழர்:_ஓர்_இனக்குழு_ஆக்கம்_பெற்ற_வரலாறு</t>
        </is>
      </c>
    </row>
    <row r="11">
      <c r="A11" s="11" t="inlineStr">
        <is>
          <t>ALL-0010</t>
        </is>
      </c>
      <c r="B11" s="11" t="inlineStr">
        <is>
          <t>Books</t>
        </is>
      </c>
      <c r="C11" s="12" t="inlineStr">
        <is>
          <t>2013</t>
        </is>
      </c>
      <c r="D11" s="11" t="n"/>
      <c r="E11" s="13" t="inlineStr">
        <is>
          <t>நல்லூர் இராஜதானியும் யாழ்ப்பாணக் கோட்டையும் - மீள்வாசிப்பு</t>
        </is>
      </c>
      <c r="F11" s="13" t="inlineStr">
        <is>
          <t>P. Pushparatnam</t>
        </is>
      </c>
      <c r="G11" s="13" t="inlineStr">
        <is>
          <t>Colombo Tamil Sangam</t>
        </is>
      </c>
      <c r="H11" s="11" t="inlineStr">
        <is>
          <t>Book</t>
        </is>
      </c>
      <c r="I11" s="11" t="inlineStr">
        <is>
          <t>Tamil</t>
        </is>
      </c>
      <c r="J11" s="13" t="inlineStr">
        <is>
          <t>Archaeology / தொல்லியல்</t>
        </is>
      </c>
      <c r="K11" s="13" t="inlineStr">
        <is>
          <t>தொல்லியல்; Nallur; Jaffna Fort</t>
        </is>
      </c>
      <c r="L11" s="11" t="inlineStr">
        <is>
          <t>Yes</t>
        </is>
      </c>
      <c r="M11" s="13" t="inlineStr">
        <is>
          <t>Noolaham No. 97925; 48 pp.</t>
        </is>
      </c>
      <c r="N11" s="14" t="inlineStr">
        <is>
          <t>https://noolaham.org/wiki/index.php/நல்லூர்_இராஜதானியும்_யாழ்ப்பாணக்_கோட்டையும்_-_மீள்வாசிப்பு</t>
        </is>
      </c>
    </row>
    <row r="12">
      <c r="A12" s="7" t="inlineStr">
        <is>
          <t>ALL-0011</t>
        </is>
      </c>
      <c r="B12" s="7" t="inlineStr">
        <is>
          <t>Books</t>
        </is>
      </c>
      <c r="C12" s="8" t="inlineStr">
        <is>
          <t>2012</t>
        </is>
      </c>
      <c r="D12" s="7" t="n"/>
      <c r="E12" s="9" t="inlineStr">
        <is>
          <t>Life Style of Jaffna</t>
        </is>
      </c>
      <c r="F12" s="9" t="inlineStr">
        <is>
          <t>K. Arunthavarajah (managing ed.)</t>
        </is>
      </c>
      <c r="G12" s="9" t="inlineStr">
        <is>
          <t>Department of History, University of Jaffna, with Veerakesari</t>
        </is>
      </c>
      <c r="H12" s="7" t="inlineStr">
        <is>
          <t>Edited volume</t>
        </is>
      </c>
      <c r="I12" s="7" t="inlineStr">
        <is>
          <t>English</t>
        </is>
      </c>
      <c r="J12" s="9" t="inlineStr">
        <is>
          <t>Archaeology / தொல்லியல்</t>
        </is>
      </c>
      <c r="K12" s="9" t="inlineStr">
        <is>
          <t>material culture; heritage</t>
        </is>
      </c>
      <c r="L12" s="7" t="inlineStr">
        <is>
          <t>Yes</t>
        </is>
      </c>
      <c r="M12" s="9" t="n"/>
      <c r="N12" s="10" t="inlineStr">
        <is>
          <t>https://www.his.jfn.ac.lk/index.php/profkarunthavarajah/</t>
        </is>
      </c>
    </row>
    <row r="13">
      <c r="A13" s="11" t="inlineStr">
        <is>
          <t>ALL-0012</t>
        </is>
      </c>
      <c r="B13" s="11" t="inlineStr">
        <is>
          <t>Books</t>
        </is>
      </c>
      <c r="C13" s="12" t="inlineStr">
        <is>
          <t>2010</t>
        </is>
      </c>
      <c r="D13" s="11" t="n"/>
      <c r="E13" s="13" t="inlineStr">
        <is>
          <t>Spolia Zeylanica Vol. 47: Tamil Inscriptions in the Colombo National Museum</t>
        </is>
      </c>
      <c r="F13" s="13" t="inlineStr">
        <is>
          <t>Department of National Museums</t>
        </is>
      </c>
      <c r="G13" s="13" t="inlineStr">
        <is>
          <t>Department of National Museums, Colombo</t>
        </is>
      </c>
      <c r="H13" s="11" t="inlineStr">
        <is>
          <t>Book</t>
        </is>
      </c>
      <c r="I13" s="11" t="inlineStr">
        <is>
          <t>English</t>
        </is>
      </c>
      <c r="J13" s="13" t="inlineStr">
        <is>
          <t>Inscriptions / கல்வெட்டு</t>
        </is>
      </c>
      <c r="K13" s="13" t="inlineStr">
        <is>
          <t>Tamil inscriptions; museum catalogue</t>
        </is>
      </c>
      <c r="L13" s="11" t="inlineStr">
        <is>
          <t>Yes</t>
        </is>
      </c>
      <c r="M13" s="13" t="inlineStr">
        <is>
          <t>ISBN 9789555780278</t>
        </is>
      </c>
      <c r="N13" s="14" t="inlineStr">
        <is>
          <t>https://opac.busl.ac.lk/bib/14671</t>
        </is>
      </c>
    </row>
    <row r="14">
      <c r="A14" s="7" t="inlineStr">
        <is>
          <t>ALL-0013</t>
        </is>
      </c>
      <c r="B14" s="7" t="inlineStr">
        <is>
          <t>Books</t>
        </is>
      </c>
      <c r="C14" s="8" t="inlineStr">
        <is>
          <t>2008</t>
        </is>
      </c>
      <c r="D14" s="7" t="n"/>
      <c r="E14" s="9" t="inlineStr">
        <is>
          <t>Rock and Wall Paintings of Sri Lanka (facsimile edition)</t>
        </is>
      </c>
      <c r="F14" s="9" t="inlineStr">
        <is>
          <t>Senaka Bandaranayake</t>
        </is>
      </c>
      <c r="G14" s="9" t="inlineStr">
        <is>
          <t>Stamford Lake</t>
        </is>
      </c>
      <c r="H14" s="7" t="inlineStr">
        <is>
          <t>Book</t>
        </is>
      </c>
      <c r="I14" s="7" t="inlineStr">
        <is>
          <t>English</t>
        </is>
      </c>
      <c r="J14" s="9" t="inlineStr">
        <is>
          <t>Rock art / பாறை ஓவியம்</t>
        </is>
      </c>
      <c r="K14" s="9" t="inlineStr">
        <is>
          <t>பாறை ஓவியம்; rock art; wall paintings</t>
        </is>
      </c>
      <c r="L14" s="7" t="inlineStr">
        <is>
          <t>Yes</t>
        </is>
      </c>
      <c r="M14" s="9" t="inlineStr">
        <is>
          <t>Publisher to verify</t>
        </is>
      </c>
      <c r="N14" s="10" t="inlineStr">
        <is>
          <t>https://www.sundaytimes.lk/080504/Plus/plus000025.html</t>
        </is>
      </c>
    </row>
    <row r="15">
      <c r="A15" s="11" t="inlineStr">
        <is>
          <t>ALL-0014</t>
        </is>
      </c>
      <c r="B15" s="11" t="inlineStr">
        <is>
          <t>Books</t>
        </is>
      </c>
      <c r="C15" s="12" t="inlineStr">
        <is>
          <t>2006</t>
        </is>
      </c>
      <c r="D15" s="11" t="n"/>
      <c r="E15" s="13" t="inlineStr">
        <is>
          <t>Ilankait Tamilc Cacanankal c. AD 800-1300 (Tamil Inscriptions of Sri Lanka)</t>
        </is>
      </c>
      <c r="F15" s="13" t="inlineStr">
        <is>
          <t>S. Pathmanathan</t>
        </is>
      </c>
      <c r="G15" s="13" t="inlineStr">
        <is>
          <t>Department of Hindu Religious and Cultural Affairs</t>
        </is>
      </c>
      <c r="H15" s="11" t="inlineStr">
        <is>
          <t>Book</t>
        </is>
      </c>
      <c r="I15" s="11" t="inlineStr">
        <is>
          <t>Tamil</t>
        </is>
      </c>
      <c r="J15" s="13" t="inlineStr">
        <is>
          <t>Inscriptions / கல்வெட்டு</t>
        </is>
      </c>
      <c r="K15" s="13" t="inlineStr">
        <is>
          <t>கல்வெட்டு; inscriptions corpus</t>
        </is>
      </c>
      <c r="L15" s="11" t="inlineStr">
        <is>
          <t>Yes</t>
        </is>
      </c>
      <c r="M15" s="13" t="inlineStr">
        <is>
          <t>Same as entry from Wikipedia; fuller title</t>
        </is>
      </c>
      <c r="N15" s="14" t="inlineStr">
        <is>
          <t>https://jfn.ac.lk/prof-s-pathmanathan/</t>
        </is>
      </c>
    </row>
    <row r="16">
      <c r="A16" s="7" t="inlineStr">
        <is>
          <t>ALL-0015</t>
        </is>
      </c>
      <c r="B16" s="7" t="inlineStr">
        <is>
          <t>Books</t>
        </is>
      </c>
      <c r="C16" s="8" t="inlineStr">
        <is>
          <t>2006</t>
        </is>
      </c>
      <c r="D16" s="7" t="n"/>
      <c r="E16" s="9" t="inlineStr">
        <is>
          <t>இலங்கைத் தமிழ்ச் சாசனங்கள் (Tamil Inscriptions in Sri Lanka)</t>
        </is>
      </c>
      <c r="F16" s="9" t="inlineStr">
        <is>
          <t>S. Pathmanathan</t>
        </is>
      </c>
      <c r="G16" s="9" t="inlineStr">
        <is>
          <t>Department of Hindu Religious &amp; Cultural Affairs, Colombo</t>
        </is>
      </c>
      <c r="H16" s="7" t="inlineStr">
        <is>
          <t>Book</t>
        </is>
      </c>
      <c r="I16" s="7" t="inlineStr">
        <is>
          <t>Tamil</t>
        </is>
      </c>
      <c r="J16" s="9" t="inlineStr">
        <is>
          <t>Inscriptions / கல்வெட்டு</t>
        </is>
      </c>
      <c r="K16" s="9" t="inlineStr">
        <is>
          <t>inscriptions; கல்வெட்டு</t>
        </is>
      </c>
      <c r="L16" s="7" t="inlineStr">
        <is>
          <t>Yes</t>
        </is>
      </c>
      <c r="M16" s="9" t="n"/>
      <c r="N16" s="10" t="inlineStr">
        <is>
          <t>https://en.wikipedia.org/wiki/S._Pathmanathan</t>
        </is>
      </c>
    </row>
    <row r="17">
      <c r="A17" s="11" t="inlineStr">
        <is>
          <t>ALL-0016</t>
        </is>
      </c>
      <c r="B17" s="11" t="inlineStr">
        <is>
          <t>Books</t>
        </is>
      </c>
      <c r="C17" s="12" t="inlineStr">
        <is>
          <t>2005</t>
        </is>
      </c>
      <c r="D17" s="11" t="n"/>
      <c r="E17" s="13" t="inlineStr">
        <is>
          <t>Hindu Encyclopaedia (Tamil), Parts I-IX (1992-2008)</t>
        </is>
      </c>
      <c r="F17" s="13" t="inlineStr">
        <is>
          <t>S. Pathmanathan (ed.-in-chief)</t>
        </is>
      </c>
      <c r="G17" s="13" t="inlineStr">
        <is>
          <t>Department of Hindu Religious and Cultural Affairs</t>
        </is>
      </c>
      <c r="H17" s="11" t="inlineStr">
        <is>
          <t>Encyclopaedia</t>
        </is>
      </c>
      <c r="I17" s="11" t="inlineStr">
        <is>
          <t>Tamil</t>
        </is>
      </c>
      <c r="J17" s="13" t="n"/>
      <c r="K17" s="13" t="inlineStr">
        <is>
          <t>encyclopaedia; temples</t>
        </is>
      </c>
      <c r="L17" s="11" t="inlineStr">
        <is>
          <t>Yes</t>
        </is>
      </c>
      <c r="M17" s="13" t="inlineStr">
        <is>
          <t>Parts: III 1996, IV 1998, V 2001, VI 2003, VII 2005, VIII 2006, IX 2008</t>
        </is>
      </c>
      <c r="N17" s="14" t="inlineStr">
        <is>
          <t>https://jfn.ac.lk/prof-s-pathmanathan/</t>
        </is>
      </c>
    </row>
    <row r="18">
      <c r="A18" s="7" t="inlineStr">
        <is>
          <t>ALL-0017</t>
        </is>
      </c>
      <c r="B18" s="7" t="inlineStr">
        <is>
          <t>Books</t>
        </is>
      </c>
      <c r="C18" s="8" t="inlineStr">
        <is>
          <t>2005</t>
        </is>
      </c>
      <c r="D18" s="7" t="n"/>
      <c r="E18" s="9" t="inlineStr">
        <is>
          <t>The Evolution of an Ethnic Identity: The Tamils of Sri Lanka c. 300 BCE to c. 1200 CE</t>
        </is>
      </c>
      <c r="F18" s="9" t="inlineStr">
        <is>
          <t>K. Indrapala</t>
        </is>
      </c>
      <c r="G18" s="9" t="inlineStr">
        <is>
          <t>MV Publications (Sydney); reissued Vijitha Yapa 2007, Ohm Books 2015</t>
        </is>
      </c>
      <c r="H18" s="7" t="inlineStr">
        <is>
          <t>Book</t>
        </is>
      </c>
      <c r="I18" s="7" t="inlineStr">
        <is>
          <t>English</t>
        </is>
      </c>
      <c r="J18" s="9" t="inlineStr">
        <is>
          <t>Inscriptions / கல்வெட்டு; Brahmi / பிராமி</t>
        </is>
      </c>
      <c r="K18" s="9" t="inlineStr">
        <is>
          <t>Tamil Brahmi; inscriptions; ethnic history</t>
        </is>
      </c>
      <c r="L18" s="7" t="inlineStr">
        <is>
          <t>Yes</t>
        </is>
      </c>
      <c r="M18" s="9" t="n"/>
      <c r="N18" s="10" t="inlineStr">
        <is>
          <t>https://en.wikipedia.org/wiki/K._Indrapala</t>
        </is>
      </c>
    </row>
    <row r="19">
      <c r="A19" s="11" t="inlineStr">
        <is>
          <t>ALL-0018</t>
        </is>
      </c>
      <c r="B19" s="11" t="inlineStr">
        <is>
          <t>Books</t>
        </is>
      </c>
      <c r="C19" s="12" t="inlineStr">
        <is>
          <t>2004</t>
        </is>
      </c>
      <c r="D19" s="11" t="n"/>
      <c r="E19" s="13" t="inlineStr">
        <is>
          <t>A Study of the Language of the Tamil Inscriptions of the 7th and 8th Centuries A.D.</t>
        </is>
      </c>
      <c r="F19" s="13" t="inlineStr">
        <is>
          <t>K. Kanapathypillai</t>
        </is>
      </c>
      <c r="G19" s="13" t="inlineStr">
        <is>
          <t>Kumaran Book House, Colombo-Chennai</t>
        </is>
      </c>
      <c r="H19" s="11" t="inlineStr">
        <is>
          <t>Book</t>
        </is>
      </c>
      <c r="I19" s="11" t="inlineStr">
        <is>
          <t>English</t>
        </is>
      </c>
      <c r="J19" s="13" t="inlineStr">
        <is>
          <t>Inscriptions / கல்வெட்டு</t>
        </is>
      </c>
      <c r="K19" s="13" t="inlineStr">
        <is>
          <t>Tamil inscriptions; epigraphy</t>
        </is>
      </c>
      <c r="L19" s="11" t="inlineStr">
        <is>
          <t>Yes</t>
        </is>
      </c>
      <c r="M19" s="13" t="inlineStr">
        <is>
          <t>1st edition 2004 (reprint)</t>
        </is>
      </c>
      <c r="N19" s="14" t="inlineStr">
        <is>
          <t>https://unioncatalogue.dlp.gov.lk/Record/batt.35119/Similar</t>
        </is>
      </c>
    </row>
    <row r="20">
      <c r="A20" s="7" t="inlineStr">
        <is>
          <t>ALL-0019</t>
        </is>
      </c>
      <c r="B20" s="7" t="inlineStr">
        <is>
          <t>Books</t>
        </is>
      </c>
      <c r="C20" s="8" t="inlineStr">
        <is>
          <t>2004</t>
        </is>
      </c>
      <c r="D20" s="7" t="n"/>
      <c r="E20" s="9" t="inlineStr">
        <is>
          <t>Ilankaiyil Intu Camayam (Hinduism in Sri Lanka)</t>
        </is>
      </c>
      <c r="F20" s="9" t="inlineStr">
        <is>
          <t>S. Pathmanathan</t>
        </is>
      </c>
      <c r="G20" s="9" t="inlineStr">
        <is>
          <t>Kumaran Book House, Colombo-Chennai</t>
        </is>
      </c>
      <c r="H20" s="7" t="inlineStr">
        <is>
          <t>Book</t>
        </is>
      </c>
      <c r="I20" s="7" t="inlineStr">
        <is>
          <t>Tamil</t>
        </is>
      </c>
      <c r="J20" s="9" t="n"/>
      <c r="K20" s="9" t="inlineStr">
        <is>
          <t>Hinduism; history</t>
        </is>
      </c>
      <c r="L20" s="7" t="inlineStr">
        <is>
          <t>Yes</t>
        </is>
      </c>
      <c r="M20" s="9" t="n"/>
      <c r="N20" s="10" t="inlineStr">
        <is>
          <t>https://jfn.ac.lk/prof-s-pathmanathan/</t>
        </is>
      </c>
    </row>
    <row r="21">
      <c r="A21" s="11" t="inlineStr">
        <is>
          <t>ALL-0020</t>
        </is>
      </c>
      <c r="B21" s="11" t="inlineStr">
        <is>
          <t>Books</t>
        </is>
      </c>
      <c r="C21" s="12" t="inlineStr">
        <is>
          <t>2004</t>
        </is>
      </c>
      <c r="D21" s="11" t="n"/>
      <c r="E21" s="13" t="inlineStr">
        <is>
          <t>Tamil Literature and Historical Traditions in Sri Lanka</t>
        </is>
      </c>
      <c r="F21" s="13" t="inlineStr">
        <is>
          <t>S. Pathmanathan</t>
        </is>
      </c>
      <c r="G21" s="13" t="inlineStr">
        <is>
          <t>Kumaran Press</t>
        </is>
      </c>
      <c r="H21" s="11" t="inlineStr">
        <is>
          <t>Book</t>
        </is>
      </c>
      <c r="I21" s="11" t="inlineStr">
        <is>
          <t>Tamil</t>
        </is>
      </c>
      <c r="J21" s="13" t="n"/>
      <c r="K21" s="13" t="inlineStr">
        <is>
          <t>history</t>
        </is>
      </c>
      <c r="L21" s="11" t="inlineStr">
        <is>
          <t>Yes</t>
        </is>
      </c>
      <c r="M21" s="13" t="n"/>
      <c r="N21" s="14" t="inlineStr">
        <is>
          <t>https://en.wikipedia.org/wiki/S._Pathmanathan</t>
        </is>
      </c>
    </row>
    <row r="22">
      <c r="A22" s="7" t="inlineStr">
        <is>
          <t>ALL-0021</t>
        </is>
      </c>
      <c r="B22" s="7" t="inlineStr">
        <is>
          <t>Books</t>
        </is>
      </c>
      <c r="C22" s="8" t="inlineStr">
        <is>
          <t>2004</t>
        </is>
      </c>
      <c r="D22" s="7" t="n"/>
      <c r="E22" s="9" t="inlineStr">
        <is>
          <t>தமிழ் எழுத்தின் தோற்றம் (Origin of the Tamil Script)</t>
        </is>
      </c>
      <c r="F22" s="9" t="inlineStr">
        <is>
          <t>P. Pushparatnam</t>
        </is>
      </c>
      <c r="G22" s="9" t="inlineStr">
        <is>
          <t>District Secretariat, Jaffna</t>
        </is>
      </c>
      <c r="H22" s="7" t="inlineStr">
        <is>
          <t>Book</t>
        </is>
      </c>
      <c r="I22" s="7" t="inlineStr">
        <is>
          <t>Tamil</t>
        </is>
      </c>
      <c r="J22" s="9" t="inlineStr">
        <is>
          <t>Inscriptions / கல்வெட்டு; Brahmi / பிராமி</t>
        </is>
      </c>
      <c r="K22" s="9" t="inlineStr">
        <is>
          <t>பிராமி; script; epigraphy</t>
        </is>
      </c>
      <c r="L22" s="7" t="inlineStr">
        <is>
          <t>Yes</t>
        </is>
      </c>
      <c r="M22" s="9" t="inlineStr">
        <is>
          <t>Noolaham No. 4788; 126 pp.</t>
        </is>
      </c>
      <c r="N22" s="10" t="inlineStr">
        <is>
          <t>https://noolaham.org/wiki/index.php/தமிழ்_எழுத்தின்_தோற்றம்</t>
        </is>
      </c>
    </row>
    <row r="23">
      <c r="A23" s="11" t="inlineStr">
        <is>
          <t>ALL-0022</t>
        </is>
      </c>
      <c r="B23" s="11" t="inlineStr">
        <is>
          <t>Books</t>
        </is>
      </c>
      <c r="C23" s="12" t="inlineStr">
        <is>
          <t>2003</t>
        </is>
      </c>
      <c r="D23" s="11" t="n"/>
      <c r="E23" s="13" t="inlineStr">
        <is>
          <t>Early Tamil Epigraphy: From the Earliest Times to the Sixth Century A.D.</t>
        </is>
      </c>
      <c r="F23" s="13" t="inlineStr">
        <is>
          <t>Iravatham Mahadevan</t>
        </is>
      </c>
      <c r="G23" s="13" t="inlineStr">
        <is>
          <t>Cre-A, Chennai &amp; Harvard University</t>
        </is>
      </c>
      <c r="H23" s="11" t="inlineStr">
        <is>
          <t>Book</t>
        </is>
      </c>
      <c r="I23" s="11" t="inlineStr">
        <is>
          <t>English</t>
        </is>
      </c>
      <c r="J23" s="13" t="inlineStr">
        <is>
          <t>Inscriptions / கல்வெட்டு; Brahmi / பிராமி</t>
        </is>
      </c>
      <c r="K23" s="13" t="inlineStr">
        <is>
          <t>Tamil Brahmi; epigraphy; Sri Lanka parallels</t>
        </is>
      </c>
      <c r="L23" s="11" t="inlineStr">
        <is>
          <t>Yes</t>
        </is>
      </c>
      <c r="M23" s="13" t="inlineStr">
        <is>
          <t>Discusses Sri Lankan Brahmi</t>
        </is>
      </c>
      <c r="N23" s="14" t="inlineStr">
        <is>
          <t>https://vedamsbooks.com/books/early_tamil_epigraphy_from_the_earliest_times_to_the_sixth_century_c_e_volume_1_tamil_brahmi_inscriptions</t>
        </is>
      </c>
    </row>
    <row r="24">
      <c r="A24" s="7" t="inlineStr">
        <is>
          <t>ALL-0023</t>
        </is>
      </c>
      <c r="B24" s="7" t="inlineStr">
        <is>
          <t>Books</t>
        </is>
      </c>
      <c r="C24" s="8" t="inlineStr">
        <is>
          <t>2003</t>
        </is>
      </c>
      <c r="D24" s="7" t="n"/>
      <c r="E24" s="9" t="inlineStr">
        <is>
          <t>Glimpses of Hindu Heritage</t>
        </is>
      </c>
      <c r="F24" s="9" t="inlineStr">
        <is>
          <t>S. Pathmanathan (joint ed.)</t>
        </is>
      </c>
      <c r="G24" s="9" t="inlineStr">
        <is>
          <t>Ministry of Hindu Religious Affairs</t>
        </is>
      </c>
      <c r="H24" s="7" t="inlineStr">
        <is>
          <t>Edited volume</t>
        </is>
      </c>
      <c r="I24" s="7" t="inlineStr">
        <is>
          <t>English</t>
        </is>
      </c>
      <c r="J24" s="9" t="inlineStr">
        <is>
          <t>Archaeology / தொல்லியல்</t>
        </is>
      </c>
      <c r="K24" s="9" t="inlineStr">
        <is>
          <t>heritage; bronzes</t>
        </is>
      </c>
      <c r="L24" s="7" t="inlineStr">
        <is>
          <t>Yes</t>
        </is>
      </c>
      <c r="M24" s="9" t="n"/>
      <c r="N24" s="10" t="inlineStr">
        <is>
          <t>https://jfn.ac.lk/prof-s-pathmanathan/</t>
        </is>
      </c>
    </row>
    <row r="25">
      <c r="A25" s="11" t="inlineStr">
        <is>
          <t>ALL-0024</t>
        </is>
      </c>
      <c r="B25" s="11" t="inlineStr">
        <is>
          <t>Books</t>
        </is>
      </c>
      <c r="C25" s="12" t="inlineStr">
        <is>
          <t>2003</t>
        </is>
      </c>
      <c r="D25" s="11" t="inlineStr">
        <is>
          <t>2014-02-21</t>
        </is>
      </c>
      <c r="E25" s="13" t="inlineStr">
        <is>
          <t>தொல்லியல் நோக்கில் இலங்கைத் தமிழர் பண்பாடு (Sri Lankan Tamil Culture from an Archaeological Perspective)</t>
        </is>
      </c>
      <c r="F25" s="13" t="inlineStr">
        <is>
          <t>P. Pushparatnam</t>
        </is>
      </c>
      <c r="G25" s="13" t="inlineStr">
        <is>
          <t>Bhavani Pathippagam</t>
        </is>
      </c>
      <c r="H25" s="11" t="inlineStr">
        <is>
          <t>Book</t>
        </is>
      </c>
      <c r="I25" s="11" t="inlineStr">
        <is>
          <t>Tamil</t>
        </is>
      </c>
      <c r="J25" s="13" t="inlineStr">
        <is>
          <t>Archaeology / தொல்லியல்</t>
        </is>
      </c>
      <c r="K25" s="13" t="inlineStr">
        <is>
          <t>தொல்லியல்; culture</t>
        </is>
      </c>
      <c r="L25" s="11" t="inlineStr">
        <is>
          <t>Yes</t>
        </is>
      </c>
      <c r="M25" s="13" t="inlineStr">
        <is>
          <t>Noolaham No. 4461; 240 pp.</t>
        </is>
      </c>
      <c r="N25" s="14" t="inlineStr">
        <is>
          <t>https://noolaham.org/wiki/index.php/தொல்லியல்_நோக்கில்_இலங்கைத்_தமிழர்_பண்பாடு</t>
        </is>
      </c>
    </row>
    <row r="26">
      <c r="A26" s="7" t="inlineStr">
        <is>
          <t>ALL-0025</t>
        </is>
      </c>
      <c r="B26" s="7" t="inlineStr">
        <is>
          <t>Books</t>
        </is>
      </c>
      <c r="C26" s="8" t="inlineStr">
        <is>
          <t>2002</t>
        </is>
      </c>
      <c r="D26" s="7" t="n"/>
      <c r="E26" s="9" t="inlineStr">
        <is>
          <t>Ancient Coins of Sri Lankan Tamil Rulers</t>
        </is>
      </c>
      <c r="F26" s="9" t="inlineStr">
        <is>
          <t>P. Pushparatnam</t>
        </is>
      </c>
      <c r="G26" s="9" t="inlineStr">
        <is>
          <t>Bavani Patippakam, Jaffna</t>
        </is>
      </c>
      <c r="H26" s="7" t="inlineStr">
        <is>
          <t>Book</t>
        </is>
      </c>
      <c r="I26" s="7" t="inlineStr">
        <is>
          <t>English</t>
        </is>
      </c>
      <c r="J26" s="9" t="inlineStr">
        <is>
          <t>Brahmi / பிராமி; Archaeology / தொல்லியல்; Coins / நாணயம்</t>
        </is>
      </c>
      <c r="K26" s="9" t="inlineStr">
        <is>
          <t>coins; Tamil Brahmi; archaeology</t>
        </is>
      </c>
      <c r="L26" s="7" t="inlineStr">
        <is>
          <t>Yes</t>
        </is>
      </c>
      <c r="M26" s="9" t="inlineStr">
        <is>
          <t>192 pp.</t>
        </is>
      </c>
      <c r="N26" s="10" t="inlineStr">
        <is>
          <t>https://mannar.dlp.gov.lk/bib/9820</t>
        </is>
      </c>
    </row>
    <row r="27">
      <c r="A27" s="11" t="inlineStr">
        <is>
          <t>ALL-0026</t>
        </is>
      </c>
      <c r="B27" s="11" t="inlineStr">
        <is>
          <t>Books</t>
        </is>
      </c>
      <c r="C27" s="12" t="inlineStr">
        <is>
          <t>2002</t>
        </is>
      </c>
      <c r="D27" s="11" t="n"/>
      <c r="E27" s="13" t="inlineStr">
        <is>
          <t>Naka Dynasty as Gleaned from the Archaeological Evidences in Sri Lanka</t>
        </is>
      </c>
      <c r="F27" s="13" t="inlineStr">
        <is>
          <t>P. Pushparatnam</t>
        </is>
      </c>
      <c r="G27" s="13" t="n"/>
      <c r="H27" s="11" t="inlineStr">
        <is>
          <t>Book</t>
        </is>
      </c>
      <c r="I27" s="11" t="inlineStr">
        <is>
          <t>English</t>
        </is>
      </c>
      <c r="J27" s="13" t="inlineStr">
        <is>
          <t>Inscriptions / கல்வெட்டு; Archaeology / தொல்லியல்; Coins / நாணயம்</t>
        </is>
      </c>
      <c r="K27" s="13" t="inlineStr">
        <is>
          <t>Naga; தொல்லியல்; coins; inscriptions</t>
        </is>
      </c>
      <c r="L27" s="11" t="inlineStr">
        <is>
          <t>Yes</t>
        </is>
      </c>
      <c r="M27" s="13" t="inlineStr">
        <is>
          <t>Noolaham No. 126188; 44 pp.</t>
        </is>
      </c>
      <c r="N27" s="14" t="inlineStr">
        <is>
          <t>https://noolaham.org/wiki/index.php/Naka_Dynasty_as_Gleaned_from_the_Archaeological_Evidences_in_Sri_Lanka</t>
        </is>
      </c>
    </row>
    <row r="28">
      <c r="A28" s="7" t="inlineStr">
        <is>
          <t>ALL-0027</t>
        </is>
      </c>
      <c r="B28" s="7" t="inlineStr">
        <is>
          <t>Books</t>
        </is>
      </c>
      <c r="C28" s="8" t="inlineStr">
        <is>
          <t>2002</t>
        </is>
      </c>
      <c r="D28" s="7" t="n"/>
      <c r="E28" s="9" t="inlineStr">
        <is>
          <t>தொல்லியல் நோக்கில் ஈழத்தமிழரின் பண்டையகால மதமும் கலையும் (Ancient Religion and Art of Eelam Tamils: An Archaeological Perspective)</t>
        </is>
      </c>
      <c r="F28" s="9" t="inlineStr">
        <is>
          <t>P. Pushparatnam</t>
        </is>
      </c>
      <c r="G28" s="9" t="inlineStr">
        <is>
          <t>Kumaran Book House</t>
        </is>
      </c>
      <c r="H28" s="7" t="inlineStr">
        <is>
          <t>Book</t>
        </is>
      </c>
      <c r="I28" s="7" t="inlineStr">
        <is>
          <t>Tamil</t>
        </is>
      </c>
      <c r="J28" s="9" t="inlineStr">
        <is>
          <t>Archaeology / தொல்லியல்</t>
        </is>
      </c>
      <c r="K28" s="9" t="inlineStr">
        <is>
          <t>தொல்லியல்; religion; art</t>
        </is>
      </c>
      <c r="L28" s="7" t="inlineStr">
        <is>
          <t>Yes</t>
        </is>
      </c>
      <c r="M28" s="9" t="inlineStr">
        <is>
          <t>Noolaham No. 4500; 177 pp.</t>
        </is>
      </c>
      <c r="N28" s="10" t="inlineStr">
        <is>
          <t>https://noolaham.org/wiki/index.php/தொல்லியல்_நோக்கில்_ஈழத்தமிழரின்_பண்டையகால_மதமும்_கலையும்</t>
        </is>
      </c>
    </row>
    <row r="29">
      <c r="A29" s="11" t="inlineStr">
        <is>
          <t>ALL-0028</t>
        </is>
      </c>
      <c r="B29" s="11" t="inlineStr">
        <is>
          <t>Books</t>
        </is>
      </c>
      <c r="C29" s="12" t="inlineStr">
        <is>
          <t>2001</t>
        </is>
      </c>
      <c r="D29" s="11" t="n"/>
      <c r="E29" s="13" t="inlineStr">
        <is>
          <t>Hindu Culture in Sri Lanka, Vol. 1: Temple Art &amp; Architecture (ed.)</t>
        </is>
      </c>
      <c r="F29" s="13" t="inlineStr">
        <is>
          <t>S. Pathmanathan (ed.)</t>
        </is>
      </c>
      <c r="G29" s="13" t="inlineStr">
        <is>
          <t>Department of Hindu Religious &amp; Cultural Affairs</t>
        </is>
      </c>
      <c r="H29" s="11" t="inlineStr">
        <is>
          <t>Book</t>
        </is>
      </c>
      <c r="I29" s="11" t="inlineStr">
        <is>
          <t>Tamil</t>
        </is>
      </c>
      <c r="J29" s="13" t="inlineStr">
        <is>
          <t>Archaeology / தொல்லியல்</t>
        </is>
      </c>
      <c r="K29" s="13" t="inlineStr">
        <is>
          <t>temple architecture; archaeology</t>
        </is>
      </c>
      <c r="L29" s="11" t="inlineStr">
        <is>
          <t>Yes</t>
        </is>
      </c>
      <c r="M29" s="13" t="n"/>
      <c r="N29" s="14" t="inlineStr">
        <is>
          <t>https://en.wikipedia.org/wiki/S._Pathmanathan</t>
        </is>
      </c>
    </row>
    <row r="30">
      <c r="A30" s="7" t="inlineStr">
        <is>
          <t>ALL-0029</t>
        </is>
      </c>
      <c r="B30" s="7" t="inlineStr">
        <is>
          <t>Books</t>
        </is>
      </c>
      <c r="C30" s="8" t="inlineStr">
        <is>
          <t>2001</t>
        </is>
      </c>
      <c r="D30" s="7" t="n"/>
      <c r="E30" s="9" t="inlineStr">
        <is>
          <t>இலங்கைத் தமிழரின் பண்டைய கால நாணயங்கள் (Ancient Coins of Sri Lankan Tamils)</t>
        </is>
      </c>
      <c r="F30" s="9" t="inlineStr">
        <is>
          <t>P. Pushparatnam</t>
        </is>
      </c>
      <c r="G30" s="9" t="inlineStr">
        <is>
          <t>Bhavani Pathippagam</t>
        </is>
      </c>
      <c r="H30" s="7" t="inlineStr">
        <is>
          <t>Book</t>
        </is>
      </c>
      <c r="I30" s="7" t="inlineStr">
        <is>
          <t>Tamil</t>
        </is>
      </c>
      <c r="J30" s="9" t="inlineStr">
        <is>
          <t>Brahmi / பிராமி; Coins / நாணயம்</t>
        </is>
      </c>
      <c r="K30" s="9" t="inlineStr">
        <is>
          <t>நாணயம்; coins; Tamil Brahmi</t>
        </is>
      </c>
      <c r="L30" s="7" t="inlineStr">
        <is>
          <t>Yes</t>
        </is>
      </c>
      <c r="M30" s="9" t="inlineStr">
        <is>
          <t>Noolaham No. 4470; 219 pp.</t>
        </is>
      </c>
      <c r="N30" s="10" t="inlineStr">
        <is>
          <t>https://noolaham.org/wiki/index.php/இலங்கைத்_தமிழரின்_பண்டைய_கால_நாணயங்கள்</t>
        </is>
      </c>
    </row>
    <row r="31">
      <c r="A31" s="11" t="inlineStr">
        <is>
          <t>ALL-0030</t>
        </is>
      </c>
      <c r="B31" s="11" t="inlineStr">
        <is>
          <t>Books</t>
        </is>
      </c>
      <c r="C31" s="12" t="inlineStr">
        <is>
          <t>2001</t>
        </is>
      </c>
      <c r="D31" s="11" t="n"/>
      <c r="E31" s="13" t="inlineStr">
        <is>
          <t>பண்டைய இலங்கையில் தமிழும் தமிழரும் (Tamil and Tamils in Ancient Sri Lanka)</t>
        </is>
      </c>
      <c r="F31" s="13" t="inlineStr">
        <is>
          <t>P. Pushparatnam</t>
        </is>
      </c>
      <c r="G31" s="13" t="inlineStr">
        <is>
          <t>Colombo Tamil Sangam</t>
        </is>
      </c>
      <c r="H31" s="11" t="inlineStr">
        <is>
          <t>Book</t>
        </is>
      </c>
      <c r="I31" s="11" t="inlineStr">
        <is>
          <t>Tamil</t>
        </is>
      </c>
      <c r="J31" s="13" t="inlineStr">
        <is>
          <t>Inscriptions / கல்வெட்டு; Brahmi / பிராமி; Archaeology / தொல்லியல்</t>
        </is>
      </c>
      <c r="K31" s="13" t="inlineStr">
        <is>
          <t>பிராமி; கல்வெட்டு; தொல்லியல்</t>
        </is>
      </c>
      <c r="L31" s="11" t="inlineStr">
        <is>
          <t>Yes</t>
        </is>
      </c>
      <c r="M31" s="13" t="inlineStr">
        <is>
          <t>Noolaham No. 430; xiii+120 pp.</t>
        </is>
      </c>
      <c r="N31" s="14" t="inlineStr">
        <is>
          <t>https://noolaham.org/wiki/index.php/பண்டைய_இலங்கையில்_தமிழும்_தமிழரும்</t>
        </is>
      </c>
    </row>
    <row r="32">
      <c r="A32" s="7" t="inlineStr">
        <is>
          <t>ALL-0031</t>
        </is>
      </c>
      <c r="B32" s="7" t="inlineStr">
        <is>
          <t>Books</t>
        </is>
      </c>
      <c r="C32" s="8" t="inlineStr">
        <is>
          <t>2000</t>
        </is>
      </c>
      <c r="D32" s="7" t="n"/>
      <c r="E32" s="9" t="inlineStr">
        <is>
          <t>History and Archaeology of Sri Lanka, Vol. I: Reflections on a Heritage</t>
        </is>
      </c>
      <c r="F32" s="9" t="inlineStr">
        <is>
          <t>R.A.L.H. Gunawardana, S. Pathmanathan, M. Rohanadheera (eds.)</t>
        </is>
      </c>
      <c r="G32" s="9" t="inlineStr">
        <is>
          <t>Central Cultural Fund, Colombo</t>
        </is>
      </c>
      <c r="H32" s="7" t="inlineStr">
        <is>
          <t>Edited volume</t>
        </is>
      </c>
      <c r="I32" s="7" t="inlineStr">
        <is>
          <t>English</t>
        </is>
      </c>
      <c r="J32" s="9" t="inlineStr">
        <is>
          <t>Archaeology / தொல்லியல்</t>
        </is>
      </c>
      <c r="K32" s="9" t="inlineStr">
        <is>
          <t>archaeology; history</t>
        </is>
      </c>
      <c r="L32" s="7" t="inlineStr">
        <is>
          <t>Yes</t>
        </is>
      </c>
      <c r="M32" s="9" t="n"/>
      <c r="N32" s="10" t="inlineStr">
        <is>
          <t>https://jfn.ac.lk/prof-s-pathmanathan/</t>
        </is>
      </c>
    </row>
    <row r="33">
      <c r="A33" s="11" t="inlineStr">
        <is>
          <t>ALL-0032</t>
        </is>
      </c>
      <c r="B33" s="11" t="inlineStr">
        <is>
          <t>Books</t>
        </is>
      </c>
      <c r="C33" s="12" t="inlineStr">
        <is>
          <t>2000</t>
        </is>
      </c>
      <c r="D33" s="11" t="n"/>
      <c r="E33" s="13" t="inlineStr">
        <is>
          <t>Temples of Siva in Sri Lanka</t>
        </is>
      </c>
      <c r="F33" s="13" t="inlineStr">
        <is>
          <t>S. Pathmanathan (chief ed.)</t>
        </is>
      </c>
      <c r="G33" s="13" t="inlineStr">
        <is>
          <t>Chinmaya Mission of Sri Lanka</t>
        </is>
      </c>
      <c r="H33" s="11" t="inlineStr">
        <is>
          <t>Edited volume</t>
        </is>
      </c>
      <c r="I33" s="11" t="inlineStr">
        <is>
          <t>English</t>
        </is>
      </c>
      <c r="J33" s="13" t="inlineStr">
        <is>
          <t>Inscriptions / கல்வெட்டு</t>
        </is>
      </c>
      <c r="K33" s="13" t="inlineStr">
        <is>
          <t>temples; inscriptions</t>
        </is>
      </c>
      <c r="L33" s="11" t="inlineStr">
        <is>
          <t>Yes</t>
        </is>
      </c>
      <c r="M33" s="13" t="inlineStr">
        <is>
          <t>Page gives 1999/2000</t>
        </is>
      </c>
      <c r="N33" s="14" t="inlineStr">
        <is>
          <t>https://jfn.ac.lk/prof-s-pathmanathan/</t>
        </is>
      </c>
    </row>
    <row r="34">
      <c r="A34" s="7" t="inlineStr">
        <is>
          <t>ALL-0033</t>
        </is>
      </c>
      <c r="B34" s="7" t="inlineStr">
        <is>
          <t>Books</t>
        </is>
      </c>
      <c r="C34" s="8" t="inlineStr">
        <is>
          <t>1999</t>
        </is>
      </c>
      <c r="D34" s="7" t="n"/>
      <c r="E34" s="9" t="inlineStr">
        <is>
          <t>Ancient Sri Lankan coins / trade at Tissamaharama (Bopearachchi &amp; Wickremesinhe)</t>
        </is>
      </c>
      <c r="F34" s="9" t="inlineStr">
        <is>
          <t>O. Bopearachchi, R. Wickremesinhe</t>
        </is>
      </c>
      <c r="G34" s="9" t="inlineStr">
        <is>
          <t>(Ruhuna: an ancient civilisation revisited)</t>
        </is>
      </c>
      <c r="H34" s="7" t="inlineStr">
        <is>
          <t>Book</t>
        </is>
      </c>
      <c r="I34" s="7" t="inlineStr">
        <is>
          <t>English</t>
        </is>
      </c>
      <c r="J34" s="9" t="inlineStr">
        <is>
          <t>Coins / நாணயம்</t>
        </is>
      </c>
      <c r="K34" s="9" t="inlineStr">
        <is>
          <t>coins; Tissamaharama; trade</t>
        </is>
      </c>
      <c r="L34" s="7" t="inlineStr">
        <is>
          <t>Yes</t>
        </is>
      </c>
      <c r="M34" s="9" t="inlineStr">
        <is>
          <t>Title to verify; reviewed Apr 2000</t>
        </is>
      </c>
      <c r="N34" s="10" t="inlineStr">
        <is>
          <t>https://www.sundaytimes.lk/000423/plus3.html</t>
        </is>
      </c>
    </row>
    <row r="35">
      <c r="A35" s="11" t="inlineStr">
        <is>
          <t>ALL-0034</t>
        </is>
      </c>
      <c r="B35" s="11" t="inlineStr">
        <is>
          <t>Books</t>
        </is>
      </c>
      <c r="C35" s="12" t="inlineStr">
        <is>
          <t>1999</t>
        </is>
      </c>
      <c r="D35" s="11" t="n"/>
      <c r="E35" s="13" t="inlineStr">
        <is>
          <t>Studies in Sri Lankan Tamil Linguistics and Culture</t>
        </is>
      </c>
      <c r="F35" s="13" t="inlineStr">
        <is>
          <t>K. Balasubramaniyam, K. Ratnamalar, R. Subathini (eds.)</t>
        </is>
      </c>
      <c r="G35" s="13" t="inlineStr">
        <is>
          <t>Sri Lanka Offset Service, Chennai</t>
        </is>
      </c>
      <c r="H35" s="11" t="inlineStr">
        <is>
          <t>Book</t>
        </is>
      </c>
      <c r="I35" s="11" t="inlineStr">
        <is>
          <t>English</t>
        </is>
      </c>
      <c r="J35" s="13" t="n"/>
      <c r="K35" s="13" t="inlineStr">
        <is>
          <t>culture; linguistics</t>
        </is>
      </c>
      <c r="L35" s="11" t="inlineStr">
        <is>
          <t>Yes</t>
        </is>
      </c>
      <c r="M35" s="13" t="inlineStr">
        <is>
          <t>454 pp.</t>
        </is>
      </c>
      <c r="N35" s="14" t="inlineStr">
        <is>
          <t>https://unioncatalogue.dlp.gov.lk/Record/poin.4050/Description</t>
        </is>
      </c>
    </row>
    <row r="36">
      <c r="A36" s="7" t="inlineStr">
        <is>
          <t>ALL-0035</t>
        </is>
      </c>
      <c r="B36" s="7" t="inlineStr">
        <is>
          <t>Books</t>
        </is>
      </c>
      <c r="C36" s="8" t="inlineStr">
        <is>
          <t>1994</t>
        </is>
      </c>
      <c r="D36" s="7" t="n"/>
      <c r="E36" s="9" t="inlineStr">
        <is>
          <t>Epigraphia Zeylanica Vol. 3 (reprint)</t>
        </is>
      </c>
      <c r="F36" s="9" t="inlineStr">
        <is>
          <t>H. W. Codrington, S. Paranavitana</t>
        </is>
      </c>
      <c r="G36" s="9" t="inlineStr">
        <is>
          <t>Asian Educational Services</t>
        </is>
      </c>
      <c r="H36" s="7" t="inlineStr">
        <is>
          <t>Book</t>
        </is>
      </c>
      <c r="I36" s="7" t="inlineStr">
        <is>
          <t>English</t>
        </is>
      </c>
      <c r="J36" s="9" t="inlineStr">
        <is>
          <t>Inscriptions / கல்வெட்டு</t>
        </is>
      </c>
      <c r="K36" s="9" t="inlineStr">
        <is>
          <t>inscriptions; epigraphy</t>
        </is>
      </c>
      <c r="L36" s="7" t="inlineStr">
        <is>
          <t>No (earlier reference)</t>
        </is>
      </c>
      <c r="M36" s="9" t="inlineStr">
        <is>
          <t>Noolaham No. 4227; reprint (outside 30-year window, kept as reference)</t>
        </is>
      </c>
      <c r="N36" s="10" t="inlineStr">
        <is>
          <t>https://noolaham.org/wiki/index.php/Epigraphia_Zeylanica_3</t>
        </is>
      </c>
    </row>
    <row r="37">
      <c r="A37" s="11" t="inlineStr">
        <is>
          <t>ALL-0036</t>
        </is>
      </c>
      <c r="B37" s="11" t="inlineStr">
        <is>
          <t>Books</t>
        </is>
      </c>
      <c r="C37" s="12" t="inlineStr">
        <is>
          <t>1993</t>
        </is>
      </c>
      <c r="D37" s="11" t="n"/>
      <c r="E37" s="13" t="inlineStr">
        <is>
          <t>கோணேசர் கல்வெட்டு (Koneswara Inscription)</t>
        </is>
      </c>
      <c r="F37" s="13" t="inlineStr">
        <is>
          <t>I. Vadivel</t>
        </is>
      </c>
      <c r="G37" s="13" t="inlineStr">
        <is>
          <t>Department of Hindu Religious and Cultural Affairs</t>
        </is>
      </c>
      <c r="H37" s="11" t="inlineStr">
        <is>
          <t>Book</t>
        </is>
      </c>
      <c r="I37" s="11" t="inlineStr">
        <is>
          <t>Tamil</t>
        </is>
      </c>
      <c r="J37" s="13" t="inlineStr">
        <is>
          <t>Inscriptions / கல்வெட்டு</t>
        </is>
      </c>
      <c r="K37" s="13" t="inlineStr">
        <is>
          <t>கல்வெட்டு; Koneswaram; Trincomalee</t>
        </is>
      </c>
      <c r="L37" s="11" t="inlineStr">
        <is>
          <t>No (earlier reference)</t>
        </is>
      </c>
      <c r="M37" s="13" t="inlineStr">
        <is>
          <t>Noolaham No. 4824; 136 pp.</t>
        </is>
      </c>
      <c r="N37" s="14" t="inlineStr">
        <is>
          <t>https://noolaham.org/wiki/index.php/%E0%AE%95%E0%AF%8B%E0%AE%A3%E0%AF%87%E0%AE%9A%E0%AE%B0%E0%AF%8D_%E0%AE%95%E0%AE%B2%E0%AF%8D%E0%AE%B5%E0%AF%86%E0%AE%9F%E0%AF%8D%E0%AE%9F%E0%AF%81</t>
        </is>
      </c>
    </row>
    <row r="38">
      <c r="A38" s="7" t="inlineStr">
        <is>
          <t>ALL-0037</t>
        </is>
      </c>
      <c r="B38" s="7" t="inlineStr">
        <is>
          <t>Books</t>
        </is>
      </c>
      <c r="C38" s="8" t="inlineStr">
        <is>
          <t>1993</t>
        </is>
      </c>
      <c r="D38" s="7" t="n"/>
      <c r="E38" s="9" t="inlineStr">
        <is>
          <t>பூநகரி தொல்பொருளாய்வு (Poonakary Archaeological Survey)</t>
        </is>
      </c>
      <c r="F38" s="9" t="inlineStr">
        <is>
          <t>P. Pushparatnam</t>
        </is>
      </c>
      <c r="G38" s="9" t="inlineStr">
        <is>
          <t>University of Jaffna</t>
        </is>
      </c>
      <c r="H38" s="7" t="inlineStr">
        <is>
          <t>Book</t>
        </is>
      </c>
      <c r="I38" s="7" t="inlineStr">
        <is>
          <t>Tamil</t>
        </is>
      </c>
      <c r="J38" s="9" t="inlineStr">
        <is>
          <t>Brahmi / பிராமி; Archaeology / தொல்லியல்</t>
        </is>
      </c>
      <c r="K38" s="9" t="inlineStr">
        <is>
          <t>தொல்லியல்; Poonakari; Tamil Brahmi; potsherds</t>
        </is>
      </c>
      <c r="L38" s="7" t="inlineStr">
        <is>
          <t>No (earlier reference)</t>
        </is>
      </c>
      <c r="M38" s="9" t="inlineStr">
        <is>
          <t>Noolaham No. 67260; 238 pp.</t>
        </is>
      </c>
      <c r="N38" s="10" t="inlineStr">
        <is>
          <t>https://noolaham.org/wiki/index.php/%E0%AE%AA%E0%AF%82%E0%AE%A8%E0%AE%95%E0%AE%B0%E0%AE%BF_%E0%AE%A4%E0%AF%8A%E0%AE%B2%E0%AF%8D%E0%AE%AA%E0%AF%8A%E0%AE%B0%E0%AF%81%E0%AE%B3%E0%AE%BE%E0%AE%AF%E0%AF%8D%E0%AE%B5%E0%AF%81</t>
        </is>
      </c>
    </row>
    <row r="39">
      <c r="A39" s="11" t="inlineStr">
        <is>
          <t>ALL-0038</t>
        </is>
      </c>
      <c r="B39" s="11" t="inlineStr">
        <is>
          <t>Books</t>
        </is>
      </c>
      <c r="C39" s="12" t="inlineStr">
        <is>
          <t>1993</t>
        </is>
      </c>
      <c r="D39" s="11" t="n"/>
      <c r="E39" s="13" t="inlineStr">
        <is>
          <t>வட இலங்கையில் சிங்கைநகர்</t>
        </is>
      </c>
      <c r="F39" s="13" t="inlineStr">
        <is>
          <t>P. Pushparatnam</t>
        </is>
      </c>
      <c r="G39" s="13" t="inlineStr">
        <is>
          <t>Fr. G. A. Francis Joseph Manivila Committee</t>
        </is>
      </c>
      <c r="H39" s="11" t="inlineStr">
        <is>
          <t>Book</t>
        </is>
      </c>
      <c r="I39" s="11" t="inlineStr">
        <is>
          <t>Tamil</t>
        </is>
      </c>
      <c r="J39" s="13" t="inlineStr">
        <is>
          <t>Archaeology / தொல்லியல்</t>
        </is>
      </c>
      <c r="K39" s="13" t="inlineStr">
        <is>
          <t>Singai Nagar; archaeology</t>
        </is>
      </c>
      <c r="L39" s="11" t="inlineStr">
        <is>
          <t>No (earlier reference)</t>
        </is>
      </c>
      <c r="M39" s="13" t="inlineStr">
        <is>
          <t>Noolaham No. 38966; 56 pp.</t>
        </is>
      </c>
      <c r="N39" s="14" t="inlineStr">
        <is>
          <t>https://noolaham.org/wiki/index.php/வட_இலங்கையில்_சிங்கைநகர்</t>
        </is>
      </c>
    </row>
    <row r="40">
      <c r="A40" s="7" t="inlineStr">
        <is>
          <t>ALL-0039</t>
        </is>
      </c>
      <c r="B40" s="7" t="inlineStr">
        <is>
          <t>Books</t>
        </is>
      </c>
      <c r="C40" s="8" t="inlineStr">
        <is>
          <t>1992</t>
        </is>
      </c>
      <c r="D40" s="7" t="n"/>
      <c r="E40" s="9" t="inlineStr">
        <is>
          <t>தமிழர் வரலாறும் இலங்கை இடப்பெயர் ஆய்வும்</t>
        </is>
      </c>
      <c r="F40" s="9" t="inlineStr">
        <is>
          <t>Kathir Thanikasalam</t>
        </is>
      </c>
      <c r="G40" s="9" t="inlineStr">
        <is>
          <t>Saravana Pathippagam</t>
        </is>
      </c>
      <c r="H40" s="7" t="inlineStr">
        <is>
          <t>Book</t>
        </is>
      </c>
      <c r="I40" s="7" t="inlineStr">
        <is>
          <t>Tamil</t>
        </is>
      </c>
      <c r="J40" s="9" t="n"/>
      <c r="K40" s="9" t="inlineStr">
        <is>
          <t>place names; history</t>
        </is>
      </c>
      <c r="L40" s="7" t="inlineStr">
        <is>
          <t>No (earlier reference)</t>
        </is>
      </c>
      <c r="M40" s="9" t="inlineStr">
        <is>
          <t>Noolaham No. 4510; 267 pp.</t>
        </is>
      </c>
      <c r="N40" s="10" t="inlineStr">
        <is>
          <t>https://noolaham.org/wiki/index.php/தமிழர்_வரலாறும்_இலங்கை_இடப்பெயர்_ஆய்வும்</t>
        </is>
      </c>
    </row>
    <row r="41">
      <c r="A41" s="11" t="inlineStr">
        <is>
          <t>ALL-0040</t>
        </is>
      </c>
      <c r="B41" s="11" t="inlineStr">
        <is>
          <t>Books</t>
        </is>
      </c>
      <c r="C41" s="12" t="inlineStr">
        <is>
          <t>1987</t>
        </is>
      </c>
      <c r="D41" s="11" t="n"/>
      <c r="E41" s="13" t="inlineStr">
        <is>
          <t>Early Settlements in Jaffna: An Archaeological Survey</t>
        </is>
      </c>
      <c r="F41" s="13" t="inlineStr">
        <is>
          <t>P. Ragupathy</t>
        </is>
      </c>
      <c r="G41" s="13" t="inlineStr">
        <is>
          <t>Thillimalar Ragupathy, Madras</t>
        </is>
      </c>
      <c r="H41" s="11" t="inlineStr">
        <is>
          <t>Book</t>
        </is>
      </c>
      <c r="I41" s="11" t="inlineStr">
        <is>
          <t>English</t>
        </is>
      </c>
      <c r="J41" s="13" t="inlineStr">
        <is>
          <t>Archaeology / தொல்லியல்</t>
        </is>
      </c>
      <c r="K41" s="13" t="inlineStr">
        <is>
          <t>தொல்லியல்; Jaffna; settlements</t>
        </is>
      </c>
      <c r="L41" s="11" t="inlineStr">
        <is>
          <t>No (earlier reference)</t>
        </is>
      </c>
      <c r="M41" s="13" t="inlineStr">
        <is>
          <t>Pre-1996 reference</t>
        </is>
      </c>
      <c r="N41" s="14" t="inlineStr">
        <is>
          <t>https://noolaham.net/project/18/1733/1733.html</t>
        </is>
      </c>
    </row>
    <row r="42">
      <c r="A42" s="7" t="inlineStr">
        <is>
          <t>ALL-0041</t>
        </is>
      </c>
      <c r="B42" s="7" t="inlineStr">
        <is>
          <t>Books</t>
        </is>
      </c>
      <c r="C42" s="8" t="inlineStr">
        <is>
          <t>1971</t>
        </is>
      </c>
      <c r="D42" s="7" t="n"/>
      <c r="E42" s="9" t="inlineStr">
        <is>
          <t>Ceylon Tamil Inscriptions, Parts I-II (1971-1972)</t>
        </is>
      </c>
      <c r="F42" s="9" t="inlineStr">
        <is>
          <t>A. Veluppillai</t>
        </is>
      </c>
      <c r="G42" s="9" t="inlineStr">
        <is>
          <t>Author, Peradeniya</t>
        </is>
      </c>
      <c r="H42" s="7" t="inlineStr">
        <is>
          <t>Book</t>
        </is>
      </c>
      <c r="I42" s="7" t="inlineStr">
        <is>
          <t>English</t>
        </is>
      </c>
      <c r="J42" s="9" t="inlineStr">
        <is>
          <t>Inscriptions / கல்வெட்டு</t>
        </is>
      </c>
      <c r="K42" s="9" t="inlineStr">
        <is>
          <t>கல்வெட்டு; corpus</t>
        </is>
      </c>
      <c r="L42" s="7" t="inlineStr">
        <is>
          <t>No (earlier reference)</t>
        </is>
      </c>
      <c r="M42" s="9" t="inlineStr">
        <is>
          <t>Pre-1996 reference</t>
        </is>
      </c>
      <c r="N42" s="10" t="inlineStr">
        <is>
          <t>https://find.library.upenn.edu/catalog/997779313503681</t>
        </is>
      </c>
    </row>
    <row r="43">
      <c r="A43" s="11" t="inlineStr">
        <is>
          <t>ALL-0042</t>
        </is>
      </c>
      <c r="B43" s="11" t="inlineStr">
        <is>
          <t>Books</t>
        </is>
      </c>
      <c r="C43" s="12" t="inlineStr">
        <is>
          <t>1971</t>
        </is>
      </c>
      <c r="D43" s="11" t="n"/>
      <c r="E43" s="13" t="inlineStr">
        <is>
          <t>Epigraphia Tamilica, Vol. I, Part I</t>
        </is>
      </c>
      <c r="F43" s="13" t="inlineStr">
        <is>
          <t>K. Indrapala (ed.)</t>
        </is>
      </c>
      <c r="G43" s="13" t="inlineStr">
        <is>
          <t>Jaffna Archaeological Society</t>
        </is>
      </c>
      <c r="H43" s="11" t="inlineStr">
        <is>
          <t>Book</t>
        </is>
      </c>
      <c r="I43" s="11" t="inlineStr">
        <is>
          <t>English</t>
        </is>
      </c>
      <c r="J43" s="13" t="inlineStr">
        <is>
          <t>Inscriptions / கல்வெட்டு</t>
        </is>
      </c>
      <c r="K43" s="13" t="inlineStr">
        <is>
          <t>கல்வெட்டு; corpus</t>
        </is>
      </c>
      <c r="L43" s="11" t="inlineStr">
        <is>
          <t>No (earlier reference)</t>
        </is>
      </c>
      <c r="M43" s="13" t="inlineStr">
        <is>
          <t>Pre-1996 reference</t>
        </is>
      </c>
      <c r="N43" s="14" t="inlineStr">
        <is>
          <t>https://www.lankapradeepa.com/2020/04/tamil-inscriptions-in-sri-lanka_16.html</t>
        </is>
      </c>
    </row>
    <row r="44">
      <c r="A44" s="7" t="inlineStr">
        <is>
          <t>ALL-0043</t>
        </is>
      </c>
      <c r="B44" s="7" t="inlineStr">
        <is>
          <t>Books</t>
        </is>
      </c>
      <c r="C44" s="8" t="n"/>
      <c r="D44" s="7" t="n"/>
      <c r="E44" s="9" t="inlineStr">
        <is>
          <t>Culture and Heritage of the Tamils</t>
        </is>
      </c>
      <c r="F44" s="9" t="n"/>
      <c r="G44" s="9" t="inlineStr">
        <is>
          <t>Noolaham digital library</t>
        </is>
      </c>
      <c r="H44" s="7" t="inlineStr">
        <is>
          <t>Book</t>
        </is>
      </c>
      <c r="I44" s="7" t="inlineStr">
        <is>
          <t>English</t>
        </is>
      </c>
      <c r="J44" s="9" t="inlineStr">
        <is>
          <t>Archaeology / தொல்லியல்</t>
        </is>
      </c>
      <c r="K44" s="9" t="inlineStr">
        <is>
          <t>heritage</t>
        </is>
      </c>
      <c r="L44" s="7" t="inlineStr">
        <is>
          <t>Unknown</t>
        </is>
      </c>
      <c r="M44" s="9" t="inlineStr">
        <is>
          <t>Details to verify</t>
        </is>
      </c>
      <c r="N44" s="10" t="inlineStr">
        <is>
          <t>https://noolaham.net/project/977/97628/97628.pdf</t>
        </is>
      </c>
    </row>
    <row r="45">
      <c r="A45" s="11" t="inlineStr">
        <is>
          <t>ALL-0044</t>
        </is>
      </c>
      <c r="B45" s="11" t="inlineStr">
        <is>
          <t>Books</t>
        </is>
      </c>
      <c r="C45" s="12" t="n"/>
      <c r="D45" s="11" t="n"/>
      <c r="E45" s="13" t="inlineStr">
        <is>
          <t>Nallur Rajadhani: City Layout</t>
        </is>
      </c>
      <c r="F45" s="13" t="inlineStr">
        <is>
          <t>V. N. Giritharan</t>
        </is>
      </c>
      <c r="G45" s="13" t="inlineStr">
        <is>
          <t>Noolaham digital library</t>
        </is>
      </c>
      <c r="H45" s="11" t="inlineStr">
        <is>
          <t>Book</t>
        </is>
      </c>
      <c r="I45" s="11" t="inlineStr">
        <is>
          <t>English</t>
        </is>
      </c>
      <c r="J45" s="13" t="inlineStr">
        <is>
          <t>Archaeology / தொல்லியல்</t>
        </is>
      </c>
      <c r="K45" s="13" t="inlineStr">
        <is>
          <t>Nallur; Jaffna kingdom; archaeology</t>
        </is>
      </c>
      <c r="L45" s="11" t="inlineStr">
        <is>
          <t>Unknown</t>
        </is>
      </c>
      <c r="M45" s="13" t="inlineStr">
        <is>
          <t>Year to verify</t>
        </is>
      </c>
      <c r="N45" s="14" t="inlineStr">
        <is>
          <t>https://noolaham.net/project/1316/131542/131542.pdf</t>
        </is>
      </c>
    </row>
    <row r="46">
      <c r="A46" s="7" t="inlineStr">
        <is>
          <t>ALL-0045</t>
        </is>
      </c>
      <c r="B46" s="7" t="inlineStr">
        <is>
          <t>Books</t>
        </is>
      </c>
      <c r="C46" s="8" t="n"/>
      <c r="D46" s="7" t="n"/>
      <c r="E46" s="9" t="inlineStr">
        <is>
          <t>Tamil Place Names as Gleaned from the Brahmi Inscriptions of Sri Lanka</t>
        </is>
      </c>
      <c r="F46" s="9" t="inlineStr">
        <is>
          <t>P. Pushparatnam</t>
        </is>
      </c>
      <c r="G46" s="9" t="n"/>
      <c r="H46" s="7" t="inlineStr">
        <is>
          <t>Book</t>
        </is>
      </c>
      <c r="I46" s="7" t="inlineStr">
        <is>
          <t>English</t>
        </is>
      </c>
      <c r="J46" s="9" t="inlineStr">
        <is>
          <t>Inscriptions / கல்வெட்டு; Brahmi / பிராமி</t>
        </is>
      </c>
      <c r="K46" s="9" t="inlineStr">
        <is>
          <t>பிராமி; place names; inscriptions</t>
        </is>
      </c>
      <c r="L46" s="7" t="inlineStr">
        <is>
          <t>Unknown</t>
        </is>
      </c>
      <c r="M46" s="9" t="inlineStr">
        <is>
          <t>Noolaham No. 4137; 64 pp.; year unknown (to verify)</t>
        </is>
      </c>
      <c r="N46" s="10" t="inlineStr">
        <is>
          <t>https://noolaham.org/wiki/index.php/Tamil_Place_Names_as_Gleaned_from_the_Brahmi_Inscriptions_of_Sri_Lanka</t>
        </is>
      </c>
    </row>
    <row r="47">
      <c r="A47" s="11" t="inlineStr">
        <is>
          <t>ALL-0046</t>
        </is>
      </c>
      <c r="B47" s="11" t="inlineStr">
        <is>
          <t>Books</t>
        </is>
      </c>
      <c r="C47" s="12" t="n"/>
      <c r="D47" s="11" t="n"/>
      <c r="E47" s="13" t="inlineStr">
        <is>
          <t>The Untold Story of Ancient Tamils in Sri Lanka</t>
        </is>
      </c>
      <c r="F47" s="13" t="n"/>
      <c r="G47" s="13" t="inlineStr">
        <is>
          <t>University of Vavuniya library catalogue</t>
        </is>
      </c>
      <c r="H47" s="11" t="inlineStr">
        <is>
          <t>Book</t>
        </is>
      </c>
      <c r="I47" s="11" t="inlineStr">
        <is>
          <t>English</t>
        </is>
      </c>
      <c r="J47" s="13" t="inlineStr">
        <is>
          <t>Archaeology / தொல்லியல்</t>
        </is>
      </c>
      <c r="K47" s="13" t="inlineStr">
        <is>
          <t>ancient Tamils; archaeology</t>
        </is>
      </c>
      <c r="L47" s="11" t="inlineStr">
        <is>
          <t>Unknown</t>
        </is>
      </c>
      <c r="M47" s="13" t="inlineStr">
        <is>
          <t>Author/year to verify (K. Arunthavarajah?)</t>
        </is>
      </c>
      <c r="N47" s="14" t="inlineStr">
        <is>
          <t>http://lib.vau.jfn.ac.lk/cgi-bin/koha/opac-detail.pl?biblionumber=44042&amp;shelfbrowse_itemnumber=55269</t>
        </is>
      </c>
    </row>
    <row r="48">
      <c r="A48" s="7" t="inlineStr">
        <is>
          <t>ALL-0047</t>
        </is>
      </c>
      <c r="B48" s="7" t="inlineStr">
        <is>
          <t>Books</t>
        </is>
      </c>
      <c r="C48" s="8" t="n"/>
      <c r="D48" s="7" t="n"/>
      <c r="E48" s="9" t="inlineStr">
        <is>
          <t>இலங்கைத் தமிழரும் நாகநாட்டு அரச மரமும்</t>
        </is>
      </c>
      <c r="F48" s="9" t="inlineStr">
        <is>
          <t>P. Pushparatnam</t>
        </is>
      </c>
      <c r="G48" s="9" t="n"/>
      <c r="H48" s="7" t="inlineStr">
        <is>
          <t>Book</t>
        </is>
      </c>
      <c r="I48" s="7" t="inlineStr">
        <is>
          <t>Tamil</t>
        </is>
      </c>
      <c r="J48" s="9" t="inlineStr">
        <is>
          <t>Archaeology / தொல்லியல்</t>
        </is>
      </c>
      <c r="K48" s="9" t="inlineStr">
        <is>
          <t>Naga; archaeology</t>
        </is>
      </c>
      <c r="L48" s="7" t="inlineStr">
        <is>
          <t>Unknown</t>
        </is>
      </c>
      <c r="M48" s="9" t="inlineStr">
        <is>
          <t>Details to verify (Noolaham rate-limited)</t>
        </is>
      </c>
      <c r="N48" s="10" t="inlineStr">
        <is>
          <t>https://noolaham.org/wiki/index.php/பகுப்பு:புஷ்பரட்ணம்,_பரமு</t>
        </is>
      </c>
    </row>
    <row r="49">
      <c r="A49" s="11" t="inlineStr">
        <is>
          <t>ALL-0048</t>
        </is>
      </c>
      <c r="B49" s="11" t="inlineStr">
        <is>
          <t>Research Papers</t>
        </is>
      </c>
      <c r="C49" s="12" t="inlineStr">
        <is>
          <t>2026</t>
        </is>
      </c>
      <c r="D49" s="11" t="n"/>
      <c r="E49" s="13" t="inlineStr">
        <is>
          <t>Hindu Idols Revealing the Cultural Connections between Northern Sri Lanka and South India</t>
        </is>
      </c>
      <c r="F49" s="13" t="inlineStr">
        <is>
          <t>S. Aniththa, Ushanthy Arunpirasanth</t>
        </is>
      </c>
      <c r="G49" s="13" t="inlineStr">
        <is>
          <t>First International Conference in Saiva Siddhanta, University of Jaffna</t>
        </is>
      </c>
      <c r="H49" s="11" t="inlineStr">
        <is>
          <t>Conference paper</t>
        </is>
      </c>
      <c r="I49" s="11" t="inlineStr">
        <is>
          <t>English</t>
        </is>
      </c>
      <c r="J49" s="13" t="inlineStr">
        <is>
          <t>Archaeology / தொல்லியல்</t>
        </is>
      </c>
      <c r="K49" s="13" t="inlineStr">
        <is>
          <t>sculpture; archaeology</t>
        </is>
      </c>
      <c r="L49" s="11" t="inlineStr">
        <is>
          <t>Yes</t>
        </is>
      </c>
      <c r="M49" s="13" t="n"/>
      <c r="N49" s="14" t="inlineStr">
        <is>
          <t>https://www.his.jfn.ac.lk/index.php/__trashed/</t>
        </is>
      </c>
    </row>
    <row r="50">
      <c r="A50" s="7" t="inlineStr">
        <is>
          <t>ALL-0049</t>
        </is>
      </c>
      <c r="B50" s="7" t="inlineStr">
        <is>
          <t>Research Papers</t>
        </is>
      </c>
      <c r="C50" s="8" t="inlineStr">
        <is>
          <t>2026</t>
        </is>
      </c>
      <c r="D50" s="7" t="inlineStr">
        <is>
          <t>2026-01-01</t>
        </is>
      </c>
      <c r="E50" s="9" t="inlineStr">
        <is>
          <t>Human Skeleton of Kithulgala Beli-lena rockshelter in Sri Lanka</t>
        </is>
      </c>
      <c r="F50" s="9" t="inlineStr">
        <is>
          <t>Pahiyangala Sumangala, Nimal Perera</t>
        </is>
      </c>
      <c r="G50" s="9" t="inlineStr">
        <is>
          <t>Social Science and Humanities Journal</t>
        </is>
      </c>
      <c r="H50" s="7" t="inlineStr">
        <is>
          <t>Article</t>
        </is>
      </c>
      <c r="I50" s="7" t="inlineStr">
        <is>
          <t>English</t>
        </is>
      </c>
      <c r="J50" s="9" t="n"/>
      <c r="K50" s="9" t="n"/>
      <c r="L50" s="7" t="inlineStr">
        <is>
          <t>Yes</t>
        </is>
      </c>
      <c r="M50" s="9" t="inlineStr">
        <is>
          <t>OpenAlex query: rock art Sri Lanka. Auto-collected 2026-10-14 (openalex); review.</t>
        </is>
      </c>
      <c r="N50" s="10" t="inlineStr">
        <is>
          <t>https://doi.org/10.18535/sshj.v10i08.2489</t>
        </is>
      </c>
    </row>
    <row r="51">
      <c r="A51" s="11" t="inlineStr">
        <is>
          <t>ALL-0050</t>
        </is>
      </c>
      <c r="B51" s="11" t="inlineStr">
        <is>
          <t>Research Papers</t>
        </is>
      </c>
      <c r="C51" s="12" t="inlineStr">
        <is>
          <t>2026</t>
        </is>
      </c>
      <c r="D51" s="11" t="inlineStr">
        <is>
          <t>2026-01-01</t>
        </is>
      </c>
      <c r="E51" s="13" t="inlineStr">
        <is>
          <t>Tamil Words in Early Prakrit Inscriptions in Sri Lanka</t>
        </is>
      </c>
      <c r="F51" s="13" t="inlineStr">
        <is>
          <t>Karan Damodaram Pillai</t>
        </is>
      </c>
      <c r="G51" s="13" t="inlineStr">
        <is>
          <t>SSRN Electronic Journal</t>
        </is>
      </c>
      <c r="H51" s="11" t="inlineStr">
        <is>
          <t>Preprint</t>
        </is>
      </c>
      <c r="I51" s="11" t="inlineStr">
        <is>
          <t>English</t>
        </is>
      </c>
      <c r="J51" s="13" t="inlineStr">
        <is>
          <t>Inscriptions / கல்வெட்டு</t>
        </is>
      </c>
      <c r="K51" s="13" t="inlineStr">
        <is>
          <t>inscription; inscriptions</t>
        </is>
      </c>
      <c r="L51" s="11" t="inlineStr">
        <is>
          <t>Yes</t>
        </is>
      </c>
      <c r="M51" s="13" t="inlineStr">
        <is>
          <t>OpenAlex query: Tamil inscription Sri Lanka. Auto-collected 2026-10-14 (openalex); review.</t>
        </is>
      </c>
      <c r="N51" s="14" t="inlineStr">
        <is>
          <t>https://doi.org/10.2139/ssrn.6422478</t>
        </is>
      </c>
    </row>
    <row r="52">
      <c r="A52" s="7" t="inlineStr">
        <is>
          <t>ALL-0051</t>
        </is>
      </c>
      <c r="B52" s="7" t="inlineStr">
        <is>
          <t>Research Papers</t>
        </is>
      </c>
      <c r="C52" s="8" t="inlineStr">
        <is>
          <t>2026</t>
        </is>
      </c>
      <c r="D52" s="7" t="inlineStr">
        <is>
          <t>2026-02-01</t>
        </is>
      </c>
      <c r="E52" s="9" t="inlineStr">
        <is>
          <t>Reinterpreting encounters: comparative study of William of Rubruck's travelogue and Sri Lankan inscriptions in medieval road contexts</t>
        </is>
      </c>
      <c r="F52" s="9" t="inlineStr">
        <is>
          <t>Madhavi Madhushani Kahapala Arachchi</t>
        </is>
      </c>
      <c r="G52" s="9" t="n"/>
      <c r="H52" s="7" t="inlineStr">
        <is>
          <t>Dissertation</t>
        </is>
      </c>
      <c r="I52" s="7" t="inlineStr">
        <is>
          <t>English</t>
        </is>
      </c>
      <c r="J52" s="9" t="inlineStr">
        <is>
          <t>Inscriptions / கல்வெட்டு</t>
        </is>
      </c>
      <c r="K52" s="9" t="inlineStr">
        <is>
          <t>inscription; inscriptions</t>
        </is>
      </c>
      <c r="L52" s="7" t="inlineStr">
        <is>
          <t>Yes</t>
        </is>
      </c>
      <c r="M52" s="9" t="inlineStr">
        <is>
          <t>OpenAlex query: Tamil inscription Sri Lanka. Auto-collected 2026-10-14 (openalex); review.</t>
        </is>
      </c>
      <c r="N52" s="10" t="inlineStr">
        <is>
          <t>https://doi.org/10.48336/247</t>
        </is>
      </c>
    </row>
    <row r="53">
      <c r="A53" s="11" t="inlineStr">
        <is>
          <t>ALL-0052</t>
        </is>
      </c>
      <c r="B53" s="11" t="inlineStr">
        <is>
          <t>Research Papers</t>
        </is>
      </c>
      <c r="C53" s="12" t="inlineStr">
        <is>
          <t>2026</t>
        </is>
      </c>
      <c r="D53" s="11" t="inlineStr">
        <is>
          <t>2026-04-01</t>
        </is>
      </c>
      <c r="E53" s="13" t="inlineStr">
        <is>
          <t>Coastal foragers beyond the mainland: Seafaring and early island settlement on Velanai, Jaffna, Sri Lanka, ca. 3460 cal BP</t>
        </is>
      </c>
      <c r="F53" s="13" t="inlineStr">
        <is>
          <t>Thilanka M. Siriwardana, Indika Ruwan Jayasekara, Janeena Nonis, Nadeera H. Dissanayake, Jude Perera</t>
        </is>
      </c>
      <c r="G53" s="13" t="inlineStr">
        <is>
          <t>The Journal of Island and Coastal Archaeology</t>
        </is>
      </c>
      <c r="H53" s="11" t="inlineStr">
        <is>
          <t>Article</t>
        </is>
      </c>
      <c r="I53" s="11" t="inlineStr">
        <is>
          <t>English</t>
        </is>
      </c>
      <c r="J53" s="13" t="inlineStr">
        <is>
          <t>Archaeology / தொல்லியல்</t>
        </is>
      </c>
      <c r="K53" s="13" t="n"/>
      <c r="L53" s="11" t="inlineStr">
        <is>
          <t>Yes</t>
        </is>
      </c>
      <c r="M53" s="13" t="inlineStr">
        <is>
          <t>OpenAlex query: Jaffna archaeology. Auto-collected 2026-10-14 (openalex); review.</t>
        </is>
      </c>
      <c r="N53" s="14" t="inlineStr">
        <is>
          <t>https://doi.org/10.1080/15564894.2026.2624853</t>
        </is>
      </c>
    </row>
    <row r="54">
      <c r="A54" s="7" t="inlineStr">
        <is>
          <t>ALL-0053</t>
        </is>
      </c>
      <c r="B54" s="7" t="inlineStr">
        <is>
          <t>Research Papers</t>
        </is>
      </c>
      <c r="C54" s="8" t="inlineStr">
        <is>
          <t>2026</t>
        </is>
      </c>
      <c r="D54" s="7" t="inlineStr">
        <is>
          <t>2026-04-04</t>
        </is>
      </c>
      <c r="E54" s="9" t="inlineStr">
        <is>
          <t>Late quaternary shell deposits in Northwestern Sri Lanka: New data on chronology, stratigraphy, and contents</t>
        </is>
      </c>
      <c r="F54" s="9" t="inlineStr">
        <is>
          <t>Thilanka M. Siriwardana, Indika Ruwan Jayasekara, Nadeera H. Dissanayake</t>
        </is>
      </c>
      <c r="G54" s="9" t="inlineStr">
        <is>
          <t>Quaternary International</t>
        </is>
      </c>
      <c r="H54" s="7" t="inlineStr">
        <is>
          <t>Article</t>
        </is>
      </c>
      <c r="I54" s="7" t="inlineStr">
        <is>
          <t>English</t>
        </is>
      </c>
      <c r="J54" s="9" t="n"/>
      <c r="K54" s="9" t="n"/>
      <c r="L54" s="7" t="inlineStr">
        <is>
          <t>Yes</t>
        </is>
      </c>
      <c r="M54" s="9" t="inlineStr">
        <is>
          <t>OpenAlex query: Jaffna archaeology. Auto-collected 2026-10-14 (openalex); review.</t>
        </is>
      </c>
      <c r="N54" s="10" t="inlineStr">
        <is>
          <t>https://doi.org/10.1016/j.quaint.2026.110251</t>
        </is>
      </c>
    </row>
    <row r="55">
      <c r="A55" s="11" t="inlineStr">
        <is>
          <t>ALL-0054</t>
        </is>
      </c>
      <c r="B55" s="11" t="inlineStr">
        <is>
          <t>Research Papers</t>
        </is>
      </c>
      <c r="C55" s="12" t="inlineStr">
        <is>
          <t>2026</t>
        </is>
      </c>
      <c r="D55" s="11" t="inlineStr">
        <is>
          <t>2026-04-14</t>
        </is>
      </c>
      <c r="E55" s="13" t="inlineStr">
        <is>
          <t>Myanmar’s Prehistoric Rock Art: a Comparative Study with Assam and Sri Lanka</t>
        </is>
      </c>
      <c r="F55" s="13" t="inlineStr">
        <is>
          <t>Win Pa Pa Lwin, Pyiet Phyo Kyaw</t>
        </is>
      </c>
      <c r="G55" s="13" t="inlineStr">
        <is>
          <t>The South East Asian Review</t>
        </is>
      </c>
      <c r="H55" s="11" t="inlineStr">
        <is>
          <t>Journal article</t>
        </is>
      </c>
      <c r="I55" s="11" t="inlineStr">
        <is>
          <t>English</t>
        </is>
      </c>
      <c r="J55" s="13" t="inlineStr">
        <is>
          <t>Rock art / பாறை ஓவியம்</t>
        </is>
      </c>
      <c r="K55" s="13" t="inlineStr">
        <is>
          <t>rock art</t>
        </is>
      </c>
      <c r="L55" s="11" t="inlineStr">
        <is>
          <t>Yes</t>
        </is>
      </c>
      <c r="M55" s="13" t="inlineStr">
        <is>
          <t>Crossref query: rock art Sri Lanka. Auto-collected 2026-10-14 (crossref); review.</t>
        </is>
      </c>
      <c r="N55" s="14" t="inlineStr">
        <is>
          <t>https://doi.org/10.32381/sear.2025.50.9</t>
        </is>
      </c>
    </row>
    <row r="56">
      <c r="A56" s="7" t="inlineStr">
        <is>
          <t>ALL-0055</t>
        </is>
      </c>
      <c r="B56" s="7" t="inlineStr">
        <is>
          <t>Research Papers</t>
        </is>
      </c>
      <c r="C56" s="8" t="inlineStr">
        <is>
          <t>2026</t>
        </is>
      </c>
      <c r="D56" s="7" t="inlineStr">
        <is>
          <t>2026-07-01</t>
        </is>
      </c>
      <c r="E56" s="9" t="inlineStr">
        <is>
          <t>Communicative Practices and Societal Structures: Insights from Early Brahmi Inscriptions in Sri Lanka (3rd Century BCE–1st Century CE)</t>
        </is>
      </c>
      <c r="F56" s="9" t="inlineStr">
        <is>
          <t>J. D. A. Kumara</t>
        </is>
      </c>
      <c r="G56" s="9" t="inlineStr">
        <is>
          <t>KDU Journal of Multidisciplinary Studies</t>
        </is>
      </c>
      <c r="H56" s="7" t="inlineStr">
        <is>
          <t>Article</t>
        </is>
      </c>
      <c r="I56" s="7" t="inlineStr">
        <is>
          <t>English</t>
        </is>
      </c>
      <c r="J56" s="9" t="inlineStr">
        <is>
          <t>Inscriptions / கல்வெட்டு; Brahmi / பிராமி</t>
        </is>
      </c>
      <c r="K56" s="9" t="inlineStr">
        <is>
          <t>inscription; inscriptions; brahmi</t>
        </is>
      </c>
      <c r="L56" s="7" t="inlineStr">
        <is>
          <t>Yes</t>
        </is>
      </c>
      <c r="M56" s="9" t="inlineStr">
        <is>
          <t>OpenAlex query: Tamil inscription Sri Lanka. Auto-collected 2026-10-14 (openalex); review.</t>
        </is>
      </c>
      <c r="N56" s="10" t="inlineStr">
        <is>
          <t>https://doi.org/10.4038/kjms.v8i1.183</t>
        </is>
      </c>
    </row>
    <row r="57">
      <c r="A57" s="11" t="inlineStr">
        <is>
          <t>ALL-0056</t>
        </is>
      </c>
      <c r="B57" s="11" t="inlineStr">
        <is>
          <t>Research Papers</t>
        </is>
      </c>
      <c r="C57" s="12" t="inlineStr">
        <is>
          <t>2026</t>
        </is>
      </c>
      <c r="D57" s="11" t="inlineStr">
        <is>
          <t>2026-07-06</t>
        </is>
      </c>
      <c r="E57" s="13" t="inlineStr">
        <is>
          <t>Ornaments of Microlithic Period in Sri Lanka: Based on Cultural Deposit in Rock Shelters</t>
        </is>
      </c>
      <c r="F57" s="13" t="inlineStr">
        <is>
          <t>Pahiyangala Sumangala</t>
        </is>
      </c>
      <c r="G57" s="13" t="inlineStr">
        <is>
          <t>Pravacana</t>
        </is>
      </c>
      <c r="H57" s="11" t="inlineStr">
        <is>
          <t>Article</t>
        </is>
      </c>
      <c r="I57" s="11" t="inlineStr">
        <is>
          <t>English</t>
        </is>
      </c>
      <c r="J57" s="13" t="n"/>
      <c r="K57" s="13" t="n"/>
      <c r="L57" s="11" t="inlineStr">
        <is>
          <t>Yes</t>
        </is>
      </c>
      <c r="M57" s="13" t="inlineStr">
        <is>
          <t>OpenAlex query: rock art Sri Lanka. Auto-collected 2026-10-14 (openalex); review.</t>
        </is>
      </c>
      <c r="N57" s="14" t="inlineStr">
        <is>
          <t>https://doi.org/10.4038/p.v16i1.58</t>
        </is>
      </c>
    </row>
    <row r="58">
      <c r="A58" s="7" t="inlineStr">
        <is>
          <t>ALL-0057</t>
        </is>
      </c>
      <c r="B58" s="7" t="inlineStr">
        <is>
          <t>Research Papers</t>
        </is>
      </c>
      <c r="C58" s="8" t="inlineStr">
        <is>
          <t>2026</t>
        </is>
      </c>
      <c r="D58" s="7" t="inlineStr">
        <is>
          <t>2026-07-07</t>
        </is>
      </c>
      <c r="E58" s="9" t="inlineStr">
        <is>
          <t>Localizing Heritage: Archaeologies of the Recent Past in Postwar Jaffna, Sri Lanka</t>
        </is>
      </c>
      <c r="F58" s="9" t="inlineStr">
        <is>
          <t>Gill Juleff, Thamotharampillai Sanathanan, Ruth Young, John P. Cooper, Emma Dwyer, Adrián Oyaneder</t>
        </is>
      </c>
      <c r="G58" s="9" t="inlineStr">
        <is>
          <t>Historical Archaeology</t>
        </is>
      </c>
      <c r="H58" s="7" t="inlineStr">
        <is>
          <t>Journal article</t>
        </is>
      </c>
      <c r="I58" s="7" t="inlineStr">
        <is>
          <t>English</t>
        </is>
      </c>
      <c r="J58" s="9" t="inlineStr">
        <is>
          <t>Archaeology / தொல்லியல்</t>
        </is>
      </c>
      <c r="K58" s="9" t="n"/>
      <c r="L58" s="7" t="inlineStr">
        <is>
          <t>Yes</t>
        </is>
      </c>
      <c r="M58" s="9" t="inlineStr">
        <is>
          <t>Crossref query: Jaffna archaeology. Auto-collected 2026-10-14 (crossref); review.</t>
        </is>
      </c>
      <c r="N58" s="10" t="inlineStr">
        <is>
          <t>https://doi.org/10.1007/s41636-026-00636-0</t>
        </is>
      </c>
    </row>
    <row r="59">
      <c r="A59" s="11" t="inlineStr">
        <is>
          <t>ALL-0058</t>
        </is>
      </c>
      <c r="B59" s="11" t="inlineStr">
        <is>
          <t>Research Papers</t>
        </is>
      </c>
      <c r="C59" s="12" t="inlineStr">
        <is>
          <t>2026</t>
        </is>
      </c>
      <c r="D59" s="11" t="inlineStr">
        <is>
          <t>2026-09-21</t>
        </is>
      </c>
      <c r="E59" s="13" t="inlineStr">
        <is>
          <t>A Historical Study of the Tamil Inscriptions Discovered at the Buddhist Heritage Site of Velgam Vehera</t>
        </is>
      </c>
      <c r="F59" s="13" t="inlineStr">
        <is>
          <t>U.S.Y. Sahan Mahesh Senarath yapa</t>
        </is>
      </c>
      <c r="G59" s="13" t="inlineStr">
        <is>
          <t>Zenodo (CERN European Organization for Nuclear Research)</t>
        </is>
      </c>
      <c r="H59" s="11" t="inlineStr">
        <is>
          <t>Conference paper</t>
        </is>
      </c>
      <c r="I59" s="11" t="inlineStr">
        <is>
          <t>English</t>
        </is>
      </c>
      <c r="J59" s="13" t="inlineStr">
        <is>
          <t>Inscriptions / கல்வெட்டு; Archaeology / தொல்லியல்</t>
        </is>
      </c>
      <c r="K59" s="13" t="inlineStr">
        <is>
          <t>inscription; inscriptions</t>
        </is>
      </c>
      <c r="L59" s="11" t="inlineStr">
        <is>
          <t>Yes</t>
        </is>
      </c>
      <c r="M59" s="13" t="inlineStr">
        <is>
          <t>OpenAlex query: Tamil inscription Sri Lanka. Auto-collected 2026-10-14 (openalex); review.</t>
        </is>
      </c>
      <c r="N59" s="14" t="inlineStr">
        <is>
          <t>https://doi.org/10.5281/zenodo.22870959</t>
        </is>
      </c>
    </row>
    <row r="60">
      <c r="A60" s="7" t="inlineStr">
        <is>
          <t>ALL-0059</t>
        </is>
      </c>
      <c r="B60" s="7" t="inlineStr">
        <is>
          <t>Research Papers</t>
        </is>
      </c>
      <c r="C60" s="8" t="inlineStr">
        <is>
          <t>2025</t>
        </is>
      </c>
      <c r="D60" s="7" t="n"/>
      <c r="E60" s="9" t="inlineStr">
        <is>
          <t>Investigation of Ancient Pre-colonial Monuments in Jaffna, Sri Lanka</t>
        </is>
      </c>
      <c r="F60" s="9" t="n"/>
      <c r="G60" s="9" t="inlineStr">
        <is>
          <t>NIIBS Faculty of Humanities &amp; Social Sciences</t>
        </is>
      </c>
      <c r="H60" s="7" t="inlineStr">
        <is>
          <t>Journal article</t>
        </is>
      </c>
      <c r="I60" s="7" t="inlineStr">
        <is>
          <t>English</t>
        </is>
      </c>
      <c r="J60" s="9" t="inlineStr">
        <is>
          <t>Archaeology / தொல்லியல்</t>
        </is>
      </c>
      <c r="K60" s="9" t="inlineStr">
        <is>
          <t>monuments; Jaffna</t>
        </is>
      </c>
      <c r="L60" s="7" t="inlineStr">
        <is>
          <t>Yes</t>
        </is>
      </c>
      <c r="M60" s="9" t="inlineStr">
        <is>
          <t>Upload Feb 2025</t>
        </is>
      </c>
      <c r="N60" s="10" t="inlineStr">
        <is>
          <t>https://fhss.niibs.lk/wp-content/uploads/2025/02/Investigation-of-Ancient-Pre-colonial-Monuments-in-Jaffna-Sri-Lanka.pdf</t>
        </is>
      </c>
    </row>
    <row r="61">
      <c r="A61" s="11" t="inlineStr">
        <is>
          <t>ALL-0060</t>
        </is>
      </c>
      <c r="B61" s="11" t="inlineStr">
        <is>
          <t>Research Papers</t>
        </is>
      </c>
      <c r="C61" s="12" t="inlineStr">
        <is>
          <t>2025</t>
        </is>
      </c>
      <c r="D61" s="11" t="n"/>
      <c r="E61" s="13" t="inlineStr">
        <is>
          <t>The Chola Rule that Shed Light on the History of Sri Lankan Tamils: A Historical Perspective</t>
        </is>
      </c>
      <c r="F61" s="13" t="inlineStr">
        <is>
          <t>S. Aniththa</t>
        </is>
      </c>
      <c r="G61" s="13" t="inlineStr">
        <is>
          <t>International Archaeological Conference 2025, International Tamizhkkalvi Research Institute, Tamil Nadu</t>
        </is>
      </c>
      <c r="H61" s="11" t="inlineStr">
        <is>
          <t>Conference paper</t>
        </is>
      </c>
      <c r="I61" s="11" t="inlineStr">
        <is>
          <t>Tamil</t>
        </is>
      </c>
      <c r="J61" s="13" t="inlineStr">
        <is>
          <t>Inscriptions / கல்வெட்டு</t>
        </is>
      </c>
      <c r="K61" s="13" t="inlineStr">
        <is>
          <t>Chola; inscriptions</t>
        </is>
      </c>
      <c r="L61" s="11" t="inlineStr">
        <is>
          <t>Yes</t>
        </is>
      </c>
      <c r="M61" s="13" t="n"/>
      <c r="N61" s="14" t="inlineStr">
        <is>
          <t>https://www.his.jfn.ac.lk/index.php/__trashed/</t>
        </is>
      </c>
    </row>
    <row r="62">
      <c r="A62" s="7" t="inlineStr">
        <is>
          <t>ALL-0061</t>
        </is>
      </c>
      <c r="B62" s="7" t="inlineStr">
        <is>
          <t>Research Papers</t>
        </is>
      </c>
      <c r="C62" s="8" t="inlineStr">
        <is>
          <t>2025</t>
        </is>
      </c>
      <c r="D62" s="7" t="inlineStr">
        <is>
          <t>2025-03-08</t>
        </is>
      </c>
      <c r="E62" s="9" t="inlineStr">
        <is>
          <t>Palimpsests: Material Religion and Political Archaeology at Kurunthaloor Vihara, Sri Lanka</t>
        </is>
      </c>
      <c r="F62" s="9" t="inlineStr">
        <is>
          <t>A. Suganthan</t>
        </is>
      </c>
      <c r="G62" s="9" t="inlineStr">
        <is>
          <t>AAR Southeast Regional Conference (AARSE 2025), Florida</t>
        </is>
      </c>
      <c r="H62" s="7" t="inlineStr">
        <is>
          <t>Conference paper</t>
        </is>
      </c>
      <c r="I62" s="7" t="inlineStr">
        <is>
          <t>English</t>
        </is>
      </c>
      <c r="J62" s="9" t="inlineStr">
        <is>
          <t>Archaeology / தொல்லியல்</t>
        </is>
      </c>
      <c r="K62" s="9" t="inlineStr">
        <is>
          <t>Kurunthurmalai; political archaeology</t>
        </is>
      </c>
      <c r="L62" s="7" t="inlineStr">
        <is>
          <t>Yes</t>
        </is>
      </c>
      <c r="M62" s="9" t="n"/>
      <c r="N62" s="10" t="inlineStr">
        <is>
          <t>https://www.his.jfn.ac.lk/index.php/mrs-ajiththa-suganthan/</t>
        </is>
      </c>
    </row>
    <row r="63">
      <c r="A63" s="11" t="inlineStr">
        <is>
          <t>ALL-0062</t>
        </is>
      </c>
      <c r="B63" s="11" t="inlineStr">
        <is>
          <t>Research Papers</t>
        </is>
      </c>
      <c r="C63" s="12" t="inlineStr">
        <is>
          <t>2025</t>
        </is>
      </c>
      <c r="D63" s="11" t="inlineStr">
        <is>
          <t>2025-05-15</t>
        </is>
      </c>
      <c r="E63" s="13" t="inlineStr">
        <is>
          <t>පලනනර අවධය මරට අභයනතර වළඳ නගරවල කරයකරතවය සහ වදශ වළඳ ශරණවල භමකව [The Operation of the Country's Internal Trading Hubs and the Role of Foreign Trade Guilds During the Polonnaruwa Period]</t>
        </is>
      </c>
      <c r="F63" s="13" t="inlineStr">
        <is>
          <t>M. K. L. Irangani</t>
        </is>
      </c>
      <c r="G63" s="13" t="inlineStr">
        <is>
          <t>Pravacana</t>
        </is>
      </c>
      <c r="H63" s="11" t="inlineStr">
        <is>
          <t>Article</t>
        </is>
      </c>
      <c r="I63" s="11" t="inlineStr">
        <is>
          <t>English</t>
        </is>
      </c>
      <c r="J63" s="13" t="n"/>
      <c r="K63" s="13" t="n"/>
      <c r="L63" s="11" t="inlineStr">
        <is>
          <t>Yes</t>
        </is>
      </c>
      <c r="M63" s="13" t="inlineStr">
        <is>
          <t>OpenAlex query: Jaffna archaeology. Auto-collected 2026-10-14 (openalex); review.</t>
        </is>
      </c>
      <c r="N63" s="14" t="inlineStr">
        <is>
          <t>https://doi.org/10.4038/p.v15i2.21</t>
        </is>
      </c>
    </row>
    <row r="64">
      <c r="A64" s="7" t="inlineStr">
        <is>
          <t>ALL-0063</t>
        </is>
      </c>
      <c r="B64" s="7" t="inlineStr">
        <is>
          <t>Research Papers</t>
        </is>
      </c>
      <c r="C64" s="8" t="inlineStr">
        <is>
          <t>2025</t>
        </is>
      </c>
      <c r="D64" s="7" t="inlineStr">
        <is>
          <t>2025-06-30</t>
        </is>
      </c>
      <c r="E64" s="9" t="inlineStr">
        <is>
          <t>THE SIGIRIYA MURALS OF SRI LANKA: A COMPREHENSIVE ART HISTORICAL ANALYSIS</t>
        </is>
      </c>
      <c r="F64" s="9" t="inlineStr">
        <is>
          <t>Independent Researcher, KHUSHALI JAIN</t>
        </is>
      </c>
      <c r="G64" s="9" t="inlineStr">
        <is>
          <t>VESTIGIA INDICA BSSS Journal of History &amp; Archaeology</t>
        </is>
      </c>
      <c r="H64" s="7" t="inlineStr">
        <is>
          <t>Article</t>
        </is>
      </c>
      <c r="I64" s="7" t="inlineStr">
        <is>
          <t>English</t>
        </is>
      </c>
      <c r="J64" s="9" t="n"/>
      <c r="K64" s="9" t="n"/>
      <c r="L64" s="7" t="inlineStr">
        <is>
          <t>Yes</t>
        </is>
      </c>
      <c r="M64" s="9" t="inlineStr">
        <is>
          <t>OpenAlex query: rock art Sri Lanka. Auto-collected 2026-10-14 (openalex); review.</t>
        </is>
      </c>
      <c r="N64" s="10" t="inlineStr">
        <is>
          <t>https://doi.org/10.51767/jha0308</t>
        </is>
      </c>
    </row>
    <row r="65">
      <c r="A65" s="11" t="inlineStr">
        <is>
          <t>ALL-0064</t>
        </is>
      </c>
      <c r="B65" s="11" t="inlineStr">
        <is>
          <t>Research Papers</t>
        </is>
      </c>
      <c r="C65" s="12" t="inlineStr">
        <is>
          <t>2025</t>
        </is>
      </c>
      <c r="D65" s="11" t="inlineStr">
        <is>
          <t>2025-10-17</t>
        </is>
      </c>
      <c r="E65" s="13" t="inlineStr">
        <is>
          <t>Interactions between Northern Sri Lanka and South India: A Study Based on the Yalppana Vaipavamalai</t>
        </is>
      </c>
      <c r="F65" s="13" t="inlineStr">
        <is>
          <t>G. Jeyatheeswaran, R. Udaiachandran</t>
        </is>
      </c>
      <c r="G65" s="13" t="inlineStr">
        <is>
          <t>HuSS International Journal of Research in Humanities and Social Sciences</t>
        </is>
      </c>
      <c r="H65" s="11" t="inlineStr">
        <is>
          <t>Article</t>
        </is>
      </c>
      <c r="I65" s="11" t="inlineStr">
        <is>
          <t>English</t>
        </is>
      </c>
      <c r="J65" s="13" t="n"/>
      <c r="K65" s="13" t="n"/>
      <c r="L65" s="11" t="inlineStr">
        <is>
          <t>Yes</t>
        </is>
      </c>
      <c r="M65" s="13" t="inlineStr">
        <is>
          <t>OpenAlex query: Tamil inscription Sri Lanka. Auto-collected 2026-10-14 (openalex); review.</t>
        </is>
      </c>
      <c r="N65" s="14" t="inlineStr">
        <is>
          <t>https://doi.org/10.15613/hijrh/2025/v12i1/52698</t>
        </is>
      </c>
    </row>
    <row r="66">
      <c r="A66" s="7" t="inlineStr">
        <is>
          <t>ALL-0065</t>
        </is>
      </c>
      <c r="B66" s="7" t="inlineStr">
        <is>
          <t>Research Papers</t>
        </is>
      </c>
      <c r="C66" s="8" t="inlineStr">
        <is>
          <t>2025</t>
        </is>
      </c>
      <c r="D66" s="7" t="inlineStr">
        <is>
          <t>2025-10-31</t>
        </is>
      </c>
      <c r="E66" s="9" t="inlineStr">
        <is>
          <t>A STUDY OF NON-BRAHMI SYMBOLS CREATED FROM THE EARLY BRAHMI SCRIPT</t>
        </is>
      </c>
      <c r="F66" s="9" t="inlineStr">
        <is>
          <t>N. Bandara</t>
        </is>
      </c>
      <c r="G66" s="9" t="inlineStr">
        <is>
          <t>Third Desk Research Conference</t>
        </is>
      </c>
      <c r="H66" s="7" t="inlineStr">
        <is>
          <t>Proceedings article</t>
        </is>
      </c>
      <c r="I66" s="7" t="inlineStr">
        <is>
          <t>English</t>
        </is>
      </c>
      <c r="J66" s="9" t="inlineStr">
        <is>
          <t>Brahmi / பிராமி</t>
        </is>
      </c>
      <c r="K66" s="9" t="inlineStr">
        <is>
          <t>brahmi</t>
        </is>
      </c>
      <c r="L66" s="7" t="inlineStr">
        <is>
          <t>Yes</t>
        </is>
      </c>
      <c r="M66" s="9" t="inlineStr">
        <is>
          <t>Crossref query: Tissamaharama Brahmi. Auto-collected 2026-10-14 (crossref); review.</t>
        </is>
      </c>
      <c r="N66" s="10" t="inlineStr">
        <is>
          <t>https://doi.org/10.64920/drc2025027</t>
        </is>
      </c>
    </row>
    <row r="67">
      <c r="A67" s="11" t="inlineStr">
        <is>
          <t>ALL-0066</t>
        </is>
      </c>
      <c r="B67" s="11" t="inlineStr">
        <is>
          <t>Research Papers</t>
        </is>
      </c>
      <c r="C67" s="12" t="inlineStr">
        <is>
          <t>2025</t>
        </is>
      </c>
      <c r="D67" s="11" t="inlineStr">
        <is>
          <t>2025-12-01</t>
        </is>
      </c>
      <c r="E67" s="13" t="inlineStr">
        <is>
          <t>Merchant Guilds as Agents of Trade, Military, and Religious Integration: Valangiyar and Manigramam Networks Across South India, Sri Lanka, and Southeast Asia</t>
        </is>
      </c>
      <c r="F67" s="13" t="inlineStr">
        <is>
          <t>Nayomi Dinuka Kekulawala, Dananjaya Gamalath</t>
        </is>
      </c>
      <c r="G67" s="13" t="inlineStr">
        <is>
          <t>Nāgānanda International Journal of Humanities &amp; Social Sciences, Vol. 10, No. 05, pp. 40-51</t>
        </is>
      </c>
      <c r="H67" s="11" t="inlineStr">
        <is>
          <t>Journal article</t>
        </is>
      </c>
      <c r="I67" s="11" t="inlineStr">
        <is>
          <t>English</t>
        </is>
      </c>
      <c r="J67" s="13" t="inlineStr">
        <is>
          <t>Inscriptions / கல்வெட்டு</t>
        </is>
      </c>
      <c r="K67" s="13" t="inlineStr">
        <is>
          <t>merchant guilds; Valanjiyar; Manigramam; inscriptions</t>
        </is>
      </c>
      <c r="L67" s="11" t="inlineStr">
        <is>
          <t>Yes</t>
        </is>
      </c>
      <c r="M67" s="13" t="n"/>
      <c r="N67" s="14" t="inlineStr">
        <is>
          <t>https://nijhss.niibs.lk/download/?id=52</t>
        </is>
      </c>
    </row>
    <row r="68">
      <c r="A68" s="7" t="inlineStr">
        <is>
          <t>ALL-0067</t>
        </is>
      </c>
      <c r="B68" s="7" t="inlineStr">
        <is>
          <t>Research Papers</t>
        </is>
      </c>
      <c r="C68" s="8" t="inlineStr">
        <is>
          <t>2025</t>
        </is>
      </c>
      <c r="D68" s="7" t="inlineStr">
        <is>
          <t>2025-12-20</t>
        </is>
      </c>
      <c r="E68" s="9" t="inlineStr">
        <is>
          <t>SRI LANKAN MARITIME LAW GOES BACK TO THE SECOND CENTURY BC</t>
        </is>
      </c>
      <c r="F68" s="9" t="inlineStr">
        <is>
          <t>Faiz Marikar</t>
        </is>
      </c>
      <c r="G68" s="9" t="inlineStr">
        <is>
          <t>Crisia</t>
        </is>
      </c>
      <c r="H68" s="7" t="inlineStr">
        <is>
          <t>Article</t>
        </is>
      </c>
      <c r="I68" s="7" t="inlineStr">
        <is>
          <t>English</t>
        </is>
      </c>
      <c r="J68" s="9" t="n"/>
      <c r="K68" s="9" t="n"/>
      <c r="L68" s="7" t="inlineStr">
        <is>
          <t>Yes</t>
        </is>
      </c>
      <c r="M68" s="9" t="inlineStr">
        <is>
          <t>OpenAlex query: Tamil inscription Sri Lanka. Auto-collected 2026-10-14 (openalex); review.</t>
        </is>
      </c>
      <c r="N68" s="10" t="inlineStr">
        <is>
          <t>https://doi.org/10.66142/crisia.2025.06</t>
        </is>
      </c>
    </row>
    <row r="69">
      <c r="A69" s="11" t="inlineStr">
        <is>
          <t>ALL-0068</t>
        </is>
      </c>
      <c r="B69" s="11" t="inlineStr">
        <is>
          <t>Research Papers</t>
        </is>
      </c>
      <c r="C69" s="12" t="inlineStr">
        <is>
          <t>2025</t>
        </is>
      </c>
      <c r="D69" s="11" t="inlineStr">
        <is>
          <t>2025-12-29</t>
        </is>
      </c>
      <c r="E69" s="13" t="inlineStr">
        <is>
          <t>Collective and Proactive Female Patronage in Sri Lankan Buddhist Temple Art</t>
        </is>
      </c>
      <c r="F69" s="13" t="inlineStr">
        <is>
          <t>Dulma Karunarathna</t>
        </is>
      </c>
      <c r="G69" s="13" t="inlineStr">
        <is>
          <t>Ancient Lanka</t>
        </is>
      </c>
      <c r="H69" s="11" t="inlineStr">
        <is>
          <t>Article</t>
        </is>
      </c>
      <c r="I69" s="11" t="inlineStr">
        <is>
          <t>English</t>
        </is>
      </c>
      <c r="J69" s="13" t="n"/>
      <c r="K69" s="13" t="n"/>
      <c r="L69" s="11" t="inlineStr">
        <is>
          <t>Yes</t>
        </is>
      </c>
      <c r="M69" s="13" t="inlineStr">
        <is>
          <t>OpenAlex query: Tamil inscription Sri Lanka. Auto-collected 2026-10-14 (openalex); review.</t>
        </is>
      </c>
      <c r="N69" s="14" t="inlineStr">
        <is>
          <t>https://doi.org/10.29173/anlk856</t>
        </is>
      </c>
    </row>
    <row r="70">
      <c r="A70" s="7" t="inlineStr">
        <is>
          <t>ALL-0069</t>
        </is>
      </c>
      <c r="B70" s="7" t="inlineStr">
        <is>
          <t>Research Papers</t>
        </is>
      </c>
      <c r="C70" s="8" t="inlineStr">
        <is>
          <t>2025</t>
        </is>
      </c>
      <c r="D70" s="7" t="inlineStr">
        <is>
          <t>2025-12-29</t>
        </is>
      </c>
      <c r="E70" s="9" t="inlineStr">
        <is>
          <t>Stone, Symbol, and Leisure: A Reassessment of Geometric Symbols on the Stone-Paved Terrace of Jetavana Stupa, Sri Lanka</t>
        </is>
      </c>
      <c r="F70" s="9" t="inlineStr">
        <is>
          <t>K.W. Chithramala Tharangani</t>
        </is>
      </c>
      <c r="G70" s="9" t="inlineStr">
        <is>
          <t>Ancient Lanka</t>
        </is>
      </c>
      <c r="H70" s="7" t="inlineStr">
        <is>
          <t>Journal article</t>
        </is>
      </c>
      <c r="I70" s="7" t="inlineStr">
        <is>
          <t>English</t>
        </is>
      </c>
      <c r="J70" s="9" t="n"/>
      <c r="K70" s="9" t="n"/>
      <c r="L70" s="7" t="inlineStr">
        <is>
          <t>Yes</t>
        </is>
      </c>
      <c r="M70" s="9" t="inlineStr">
        <is>
          <t>Crossref query: hero stone Sri Lanka. Auto-collected 2026-10-14 (crossref); review.</t>
        </is>
      </c>
      <c r="N70" s="10" t="inlineStr">
        <is>
          <t>https://doi.org/10.29173/anlk872</t>
        </is>
      </c>
    </row>
    <row r="71">
      <c r="A71" s="11" t="inlineStr">
        <is>
          <t>ALL-0070</t>
        </is>
      </c>
      <c r="B71" s="11" t="inlineStr">
        <is>
          <t>Research Papers</t>
        </is>
      </c>
      <c r="C71" s="12" t="inlineStr">
        <is>
          <t>2025</t>
        </is>
      </c>
      <c r="D71" s="11" t="inlineStr">
        <is>
          <t>2025-12-30</t>
        </is>
      </c>
      <c r="E71" s="13" t="inlineStr">
        <is>
          <t>Reconstructing Past Settlements through Soil Characterization: Vessagiriya, Sri Lanka</t>
        </is>
      </c>
      <c r="F71" s="13" t="inlineStr">
        <is>
          <t>Chammi P. Attanayake, Ranjith B. Mapa, Sudharshan Seneviratne, Dulma Karunarathna</t>
        </is>
      </c>
      <c r="G71" s="13" t="inlineStr">
        <is>
          <t>Ancient Lanka</t>
        </is>
      </c>
      <c r="H71" s="11" t="inlineStr">
        <is>
          <t>Article</t>
        </is>
      </c>
      <c r="I71" s="11" t="inlineStr">
        <is>
          <t>English</t>
        </is>
      </c>
      <c r="J71" s="13" t="inlineStr">
        <is>
          <t>Archaeology / தொல்லியல்</t>
        </is>
      </c>
      <c r="K71" s="13" t="n"/>
      <c r="L71" s="11" t="inlineStr">
        <is>
          <t>Yes</t>
        </is>
      </c>
      <c r="M71" s="13" t="inlineStr">
        <is>
          <t>OpenAlex query: Tamil inscription Sri Lanka. Auto-collected 2026-10-14 (openalex); review.</t>
        </is>
      </c>
      <c r="N71" s="14" t="inlineStr">
        <is>
          <t>https://doi.org/10.29173/anlk858</t>
        </is>
      </c>
    </row>
    <row r="72">
      <c r="A72" s="7" t="inlineStr">
        <is>
          <t>ALL-0071</t>
        </is>
      </c>
      <c r="B72" s="7" t="inlineStr">
        <is>
          <t>Research Papers</t>
        </is>
      </c>
      <c r="C72" s="8" t="inlineStr">
        <is>
          <t>2025</t>
        </is>
      </c>
      <c r="D72" s="7" t="inlineStr">
        <is>
          <t>2025-12-31</t>
        </is>
      </c>
      <c r="E72" s="9" t="inlineStr">
        <is>
          <t>இலஙகயன பழஙகட இனததவரகளன வடவர சமகததன மழயம, பணபடடமசஙகளம. The language and cultural aspects of the Veddah community, the indigenous people of Sri Lanka</t>
        </is>
      </c>
      <c r="F72" s="9" t="inlineStr">
        <is>
          <t>T. Yujanthan</t>
        </is>
      </c>
      <c r="G72" s="9" t="inlineStr">
        <is>
          <t>Journal of Tamil Peraivu</t>
        </is>
      </c>
      <c r="H72" s="7" t="inlineStr">
        <is>
          <t>Article</t>
        </is>
      </c>
      <c r="I72" s="7" t="inlineStr">
        <is>
          <t>English</t>
        </is>
      </c>
      <c r="J72" s="9" t="n"/>
      <c r="K72" s="9" t="n"/>
      <c r="L72" s="7" t="inlineStr">
        <is>
          <t>Yes</t>
        </is>
      </c>
      <c r="M72" s="9" t="inlineStr">
        <is>
          <t>OpenAlex query: Tamil inscription Sri Lanka. Auto-collected 2026-10-14 (openalex); review.</t>
        </is>
      </c>
      <c r="N72" s="10" t="inlineStr">
        <is>
          <t>https://doi.org/10.22452/jtp.vol14no2.12</t>
        </is>
      </c>
    </row>
    <row r="73">
      <c r="A73" s="11" t="inlineStr">
        <is>
          <t>ALL-0072</t>
        </is>
      </c>
      <c r="B73" s="11" t="inlineStr">
        <is>
          <t>Research Papers</t>
        </is>
      </c>
      <c r="C73" s="12" t="inlineStr">
        <is>
          <t>2024</t>
        </is>
      </c>
      <c r="D73" s="11" t="n"/>
      <c r="E73" s="13" t="inlineStr">
        <is>
          <t>Serpent Deities (Nagas) in Ancient Sri Lanka: Evidence from the Kaddukarai Excavation</t>
        </is>
      </c>
      <c r="F73" s="13" t="inlineStr">
        <is>
          <t>A. Suganthan</t>
        </is>
      </c>
      <c r="G73" s="13" t="inlineStr">
        <is>
          <t>More-than-human Religion conference, Florida State University</t>
        </is>
      </c>
      <c r="H73" s="11" t="inlineStr">
        <is>
          <t>Conference paper</t>
        </is>
      </c>
      <c r="I73" s="11" t="inlineStr">
        <is>
          <t>English</t>
        </is>
      </c>
      <c r="J73" s="13" t="inlineStr">
        <is>
          <t>Archaeology / தொல்லியல்</t>
        </is>
      </c>
      <c r="K73" s="13" t="inlineStr">
        <is>
          <t>Naga; Kattukarai excavation</t>
        </is>
      </c>
      <c r="L73" s="11" t="inlineStr">
        <is>
          <t>Yes</t>
        </is>
      </c>
      <c r="M73" s="13" t="n"/>
      <c r="N73" s="14" t="inlineStr">
        <is>
          <t>https://www.his.jfn.ac.lk/index.php/mrs-ajiththa-suganthan/</t>
        </is>
      </c>
    </row>
    <row r="74">
      <c r="A74" s="7" t="inlineStr">
        <is>
          <t>ALL-0073</t>
        </is>
      </c>
      <c r="B74" s="7" t="inlineStr">
        <is>
          <t>Research Papers</t>
        </is>
      </c>
      <c r="C74" s="8" t="inlineStr">
        <is>
          <t>2024</t>
        </is>
      </c>
      <c r="D74" s="7" t="n"/>
      <c r="E74" s="9" t="inlineStr">
        <is>
          <t>The Role of Tamil Language in Sinhala Kingdoms during the Early and Medieval Period of Sri Lanka</t>
        </is>
      </c>
      <c r="F74" s="9" t="inlineStr">
        <is>
          <t>S. Aniththa</t>
        </is>
      </c>
      <c r="G74" s="9" t="inlineStr">
        <is>
          <t>12th International Symposium, South Eastern University of Sri Lanka</t>
        </is>
      </c>
      <c r="H74" s="7" t="inlineStr">
        <is>
          <t>Conference paper</t>
        </is>
      </c>
      <c r="I74" s="7" t="inlineStr">
        <is>
          <t>English</t>
        </is>
      </c>
      <c r="J74" s="9" t="inlineStr">
        <is>
          <t>Inscriptions / கல்வெட்டு</t>
        </is>
      </c>
      <c r="K74" s="9" t="inlineStr">
        <is>
          <t>Tamil inscriptions; language</t>
        </is>
      </c>
      <c r="L74" s="7" t="inlineStr">
        <is>
          <t>Yes</t>
        </is>
      </c>
      <c r="M74" s="9" t="n"/>
      <c r="N74" s="10" t="inlineStr">
        <is>
          <t>https://www.his.jfn.ac.lk/index.php/__trashed/</t>
        </is>
      </c>
    </row>
    <row r="75">
      <c r="A75" s="11" t="inlineStr">
        <is>
          <t>ALL-0074</t>
        </is>
      </c>
      <c r="B75" s="11" t="inlineStr">
        <is>
          <t>Research Papers</t>
        </is>
      </c>
      <c r="C75" s="12" t="inlineStr">
        <is>
          <t>2024</t>
        </is>
      </c>
      <c r="D75" s="11" t="inlineStr">
        <is>
          <t>2024-02-23</t>
        </is>
      </c>
      <c r="E75" s="13" t="inlineStr">
        <is>
          <t>Heritage and decoloniality: Reflections from Sri Lanka—A conversation</t>
        </is>
      </c>
      <c r="F75" s="13" t="inlineStr">
        <is>
          <t>Hasini Haputhanthri, Gill Juleff, Thamotharampillai Sanathanan</t>
        </is>
      </c>
      <c r="G75" s="13" t="inlineStr">
        <is>
          <t>American Anthropologist</t>
        </is>
      </c>
      <c r="H75" s="11" t="inlineStr">
        <is>
          <t>Article</t>
        </is>
      </c>
      <c r="I75" s="11" t="inlineStr">
        <is>
          <t>English</t>
        </is>
      </c>
      <c r="J75" s="13" t="inlineStr">
        <is>
          <t>Archaeology / தொல்லியல்</t>
        </is>
      </c>
      <c r="K75" s="13" t="n"/>
      <c r="L75" s="11" t="inlineStr">
        <is>
          <t>Yes</t>
        </is>
      </c>
      <c r="M75" s="13" t="inlineStr">
        <is>
          <t>OpenAlex query: Jaffna archaeology. Auto-collected 2026-10-14 (openalex); review.</t>
        </is>
      </c>
      <c r="N75" s="14" t="inlineStr">
        <is>
          <t>https://doi.org/10.1111/aman.13949</t>
        </is>
      </c>
    </row>
    <row r="76">
      <c r="A76" s="7" t="inlineStr">
        <is>
          <t>ALL-0075</t>
        </is>
      </c>
      <c r="B76" s="7" t="inlineStr">
        <is>
          <t>Research Papers</t>
        </is>
      </c>
      <c r="C76" s="8" t="inlineStr">
        <is>
          <t>2024</t>
        </is>
      </c>
      <c r="D76" s="7" t="inlineStr">
        <is>
          <t>2024-05-15</t>
        </is>
      </c>
      <c r="E76" s="9" t="inlineStr">
        <is>
          <t>Cheng Ho's Visits to Sri Lanka and the discovery of Oldest Arwi Script Found in Galle Trilingual Inscription</t>
        </is>
      </c>
      <c r="F76" s="9" t="inlineStr">
        <is>
          <t>Faiz M. M. T. Marikar, Manjula Karunathilaka</t>
        </is>
      </c>
      <c r="G76" s="9" t="inlineStr">
        <is>
          <t>International Journal of Modern Anthropology</t>
        </is>
      </c>
      <c r="H76" s="7" t="inlineStr">
        <is>
          <t>Article</t>
        </is>
      </c>
      <c r="I76" s="7" t="inlineStr">
        <is>
          <t>English</t>
        </is>
      </c>
      <c r="J76" s="9" t="inlineStr">
        <is>
          <t>Inscriptions / கல்வெட்டு</t>
        </is>
      </c>
      <c r="K76" s="9" t="inlineStr">
        <is>
          <t>inscription</t>
        </is>
      </c>
      <c r="L76" s="7" t="inlineStr">
        <is>
          <t>Yes</t>
        </is>
      </c>
      <c r="M76" s="9" t="inlineStr">
        <is>
          <t>OpenAlex query: Tamil inscription Sri Lanka. Auto-collected 2026-10-14 (openalex); review.</t>
        </is>
      </c>
      <c r="N76" s="10" t="inlineStr">
        <is>
          <t>https://doi.org/10.4314/ijma.v3i21.3</t>
        </is>
      </c>
    </row>
    <row r="77">
      <c r="A77" s="11" t="inlineStr">
        <is>
          <t>ALL-0076</t>
        </is>
      </c>
      <c r="B77" s="11" t="inlineStr">
        <is>
          <t>Research Papers</t>
        </is>
      </c>
      <c r="C77" s="12" t="inlineStr">
        <is>
          <t>2024</t>
        </is>
      </c>
      <c r="D77" s="11" t="inlineStr">
        <is>
          <t>2024-12-29</t>
        </is>
      </c>
      <c r="E77" s="13" t="inlineStr">
        <is>
          <t>From Early Migrations to Colonial Encounters: Archaeological Research on the Mannar-Jaffna Seaboard, Sri Lanka</t>
        </is>
      </c>
      <c r="F77" s="13" t="inlineStr">
        <is>
          <t>Thilanka M. Siriwardana</t>
        </is>
      </c>
      <c r="G77" s="13" t="inlineStr">
        <is>
          <t>Ancient Lanka</t>
        </is>
      </c>
      <c r="H77" s="11" t="inlineStr">
        <is>
          <t>Article</t>
        </is>
      </c>
      <c r="I77" s="11" t="inlineStr">
        <is>
          <t>English</t>
        </is>
      </c>
      <c r="J77" s="13" t="inlineStr">
        <is>
          <t>Archaeology / தொல்லியல்</t>
        </is>
      </c>
      <c r="K77" s="13" t="inlineStr">
        <is>
          <t>archaeological</t>
        </is>
      </c>
      <c r="L77" s="11" t="inlineStr">
        <is>
          <t>Yes</t>
        </is>
      </c>
      <c r="M77" s="13" t="inlineStr">
        <is>
          <t>OpenAlex query: Jaffna archaeology. Auto-collected 2026-10-14 (openalex); review.</t>
        </is>
      </c>
      <c r="N77" s="14" t="inlineStr">
        <is>
          <t>https://doi.org/10.29173/anlk817</t>
        </is>
      </c>
    </row>
    <row r="78">
      <c r="A78" s="7" t="inlineStr">
        <is>
          <t>ALL-0077</t>
        </is>
      </c>
      <c r="B78" s="7" t="inlineStr">
        <is>
          <t>Research Papers</t>
        </is>
      </c>
      <c r="C78" s="8" t="inlineStr">
        <is>
          <t>2024</t>
        </is>
      </c>
      <c r="D78" s="7" t="inlineStr">
        <is>
          <t>2024-12-29</t>
        </is>
      </c>
      <c r="E78" s="9" t="inlineStr">
        <is>
          <t>Historical Demaḷa Mahā Sǣya of Polonnaruwa, Sri Lanka: An Archaeological Analysis of its Construction Technology</t>
        </is>
      </c>
      <c r="F78" s="9" t="inlineStr">
        <is>
          <t>Priyantha Marasinghe, Nimal Perera</t>
        </is>
      </c>
      <c r="G78" s="9" t="inlineStr">
        <is>
          <t>Ancient Lanka</t>
        </is>
      </c>
      <c r="H78" s="7" t="inlineStr">
        <is>
          <t>Journal article</t>
        </is>
      </c>
      <c r="I78" s="7" t="inlineStr">
        <is>
          <t>English</t>
        </is>
      </c>
      <c r="J78" s="9" t="inlineStr">
        <is>
          <t>Archaeology / தொல்லியல்</t>
        </is>
      </c>
      <c r="K78" s="9" t="inlineStr">
        <is>
          <t>archaeological</t>
        </is>
      </c>
      <c r="L78" s="7" t="inlineStr">
        <is>
          <t>Yes</t>
        </is>
      </c>
      <c r="M78" s="9" t="inlineStr">
        <is>
          <t>Crossref query: Polonnaruwa Tamil inscription. Auto-collected 2026-10-14 (crossref); review.</t>
        </is>
      </c>
      <c r="N78" s="10" t="inlineStr">
        <is>
          <t>https://doi.org/10.29173/anlk838</t>
        </is>
      </c>
    </row>
    <row r="79">
      <c r="A79" s="11" t="inlineStr">
        <is>
          <t>ALL-0078</t>
        </is>
      </c>
      <c r="B79" s="11" t="inlineStr">
        <is>
          <t>Research Papers</t>
        </is>
      </c>
      <c r="C79" s="12" t="inlineStr">
        <is>
          <t>2023</t>
        </is>
      </c>
      <c r="D79" s="11" t="n"/>
      <c r="E79" s="13" t="inlineStr">
        <is>
          <t>'Thana' given by Sri Lankan women as reflected through literature and inscription sources</t>
        </is>
      </c>
      <c r="F79" s="13" t="inlineStr">
        <is>
          <t>S. Aniththa</t>
        </is>
      </c>
      <c r="G79" s="13" t="inlineStr">
        <is>
          <t>National Conference on Historical Studies, University of Kelaniya</t>
        </is>
      </c>
      <c r="H79" s="11" t="inlineStr">
        <is>
          <t>Conference paper</t>
        </is>
      </c>
      <c r="I79" s="11" t="inlineStr">
        <is>
          <t>English</t>
        </is>
      </c>
      <c r="J79" s="13" t="inlineStr">
        <is>
          <t>Inscriptions / கல்வெட்டு</t>
        </is>
      </c>
      <c r="K79" s="13" t="inlineStr">
        <is>
          <t>inscriptions; donations</t>
        </is>
      </c>
      <c r="L79" s="11" t="inlineStr">
        <is>
          <t>Yes</t>
        </is>
      </c>
      <c r="M79" s="13" t="n"/>
      <c r="N79" s="14" t="inlineStr">
        <is>
          <t>https://www.his.jfn.ac.lk/index.php/__trashed/</t>
        </is>
      </c>
    </row>
    <row r="80">
      <c r="A80" s="7" t="inlineStr">
        <is>
          <t>ALL-0079</t>
        </is>
      </c>
      <c r="B80" s="7" t="inlineStr">
        <is>
          <t>Research Papers</t>
        </is>
      </c>
      <c r="C80" s="8" t="inlineStr">
        <is>
          <t>2023</t>
        </is>
      </c>
      <c r="D80" s="7" t="n"/>
      <c r="E80" s="9" t="inlineStr">
        <is>
          <t>Influence of Hinduism during the Gampola Kingdom - A Study Based on the Inscriptions</t>
        </is>
      </c>
      <c r="F80" s="9" t="inlineStr">
        <is>
          <t>Ushanthy Arunpirasanth</t>
        </is>
      </c>
      <c r="G80" s="9" t="inlineStr">
        <is>
          <t>2nd National Research Symposium on Social Sciences and Humanities, Rajarata University</t>
        </is>
      </c>
      <c r="H80" s="7" t="inlineStr">
        <is>
          <t>Conference paper</t>
        </is>
      </c>
      <c r="I80" s="7" t="inlineStr">
        <is>
          <t>English</t>
        </is>
      </c>
      <c r="J80" s="9" t="inlineStr">
        <is>
          <t>Inscriptions / கல்வெட்டு</t>
        </is>
      </c>
      <c r="K80" s="9" t="inlineStr">
        <is>
          <t>inscriptions; Gampola</t>
        </is>
      </c>
      <c r="L80" s="7" t="inlineStr">
        <is>
          <t>Yes</t>
        </is>
      </c>
      <c r="M80" s="9" t="n"/>
      <c r="N80" s="10" t="inlineStr">
        <is>
          <t>https://www.his.jfn.ac.lk/index.php/ms-mahalingam-ushanthy/</t>
        </is>
      </c>
    </row>
    <row r="81">
      <c r="A81" s="11" t="inlineStr">
        <is>
          <t>ALL-0080</t>
        </is>
      </c>
      <c r="B81" s="11" t="inlineStr">
        <is>
          <t>Research Papers</t>
        </is>
      </c>
      <c r="C81" s="12" t="inlineStr">
        <is>
          <t>2023</t>
        </is>
      </c>
      <c r="D81" s="11" t="n"/>
      <c r="E81" s="13" t="inlineStr">
        <is>
          <t>Integrative Approaches in Archaeology: The Imperative for Multidisciplinary Research</t>
        </is>
      </c>
      <c r="F81" s="13" t="inlineStr">
        <is>
          <t>A. Suganthan, P. Pushparatnam</t>
        </is>
      </c>
      <c r="G81" s="13" t="inlineStr">
        <is>
          <t>Nāgānanda International Journal of Humanities and Social Science, 1(1), pp. 1-13</t>
        </is>
      </c>
      <c r="H81" s="11" t="inlineStr">
        <is>
          <t>Journal article</t>
        </is>
      </c>
      <c r="I81" s="11" t="inlineStr">
        <is>
          <t>English</t>
        </is>
      </c>
      <c r="J81" s="13" t="inlineStr">
        <is>
          <t>Archaeology / தொல்லியல்</t>
        </is>
      </c>
      <c r="K81" s="13" t="inlineStr">
        <is>
          <t>archaeology; methodology</t>
        </is>
      </c>
      <c r="L81" s="11" t="inlineStr">
        <is>
          <t>Yes</t>
        </is>
      </c>
      <c r="M81" s="13" t="n"/>
      <c r="N81" s="14" t="inlineStr">
        <is>
          <t>https://www.his.jfn.ac.lk/index.php/mrs-ajiththa-suganthan/</t>
        </is>
      </c>
    </row>
    <row r="82">
      <c r="A82" s="7" t="inlineStr">
        <is>
          <t>ALL-0081</t>
        </is>
      </c>
      <c r="B82" s="7" t="inlineStr">
        <is>
          <t>Research Papers</t>
        </is>
      </c>
      <c r="C82" s="8" t="inlineStr">
        <is>
          <t>2023</t>
        </is>
      </c>
      <c r="D82" s="7" t="n"/>
      <c r="E82" s="9" t="inlineStr">
        <is>
          <t>Ipankadduwa Megalithic Centre and Museum</t>
        </is>
      </c>
      <c r="F82" s="9" t="inlineStr">
        <is>
          <t>Thulasika Dineshan</t>
        </is>
      </c>
      <c r="G82" s="9" t="inlineStr">
        <is>
          <t>INTSYM 2023, South Eastern University of Sri Lanka</t>
        </is>
      </c>
      <c r="H82" s="7" t="inlineStr">
        <is>
          <t>Conference paper</t>
        </is>
      </c>
      <c r="I82" s="7" t="inlineStr">
        <is>
          <t>English</t>
        </is>
      </c>
      <c r="J82" s="9" t="inlineStr">
        <is>
          <t>Archaeology / தொல்லியல்</t>
        </is>
      </c>
      <c r="K82" s="9" t="inlineStr">
        <is>
          <t>megalithic; Ibbankatuwa</t>
        </is>
      </c>
      <c r="L82" s="7" t="inlineStr">
        <is>
          <t>Yes</t>
        </is>
      </c>
      <c r="M82" s="9" t="n"/>
      <c r="N82" s="10" t="inlineStr">
        <is>
          <t>https://www.his.jfn.ac.lk/?p=1706</t>
        </is>
      </c>
    </row>
    <row r="83">
      <c r="A83" s="11" t="inlineStr">
        <is>
          <t>ALL-0082</t>
        </is>
      </c>
      <c r="B83" s="11" t="inlineStr">
        <is>
          <t>Research Papers</t>
        </is>
      </c>
      <c r="C83" s="12" t="inlineStr">
        <is>
          <t>2023</t>
        </is>
      </c>
      <c r="D83" s="11" t="n"/>
      <c r="E83" s="13" t="inlineStr">
        <is>
          <t>Some considerations on Dutch colonial architecture: The Kruys church at Jaffna Fort</t>
        </is>
      </c>
      <c r="F83" s="13" t="inlineStr">
        <is>
          <t>A. Suganthan</t>
        </is>
      </c>
      <c r="G83" s="13" t="inlineStr">
        <is>
          <t>Archaeology: South Asian Journal of Archaeology, University of Kelaniya</t>
        </is>
      </c>
      <c r="H83" s="11" t="inlineStr">
        <is>
          <t>Journal article</t>
        </is>
      </c>
      <c r="I83" s="11" t="inlineStr">
        <is>
          <t>English</t>
        </is>
      </c>
      <c r="J83" s="13" t="inlineStr">
        <is>
          <t>Archaeology / தொல்லியல்</t>
        </is>
      </c>
      <c r="K83" s="13" t="inlineStr">
        <is>
          <t>archaeology; Jaffna Fort</t>
        </is>
      </c>
      <c r="L83" s="11" t="inlineStr">
        <is>
          <t>Yes</t>
        </is>
      </c>
      <c r="M83" s="13" t="n"/>
      <c r="N83" s="14" t="inlineStr">
        <is>
          <t>https://www.his.jfn.ac.lk/index.php/mrs-ajiththa-suganthan/</t>
        </is>
      </c>
    </row>
    <row r="84">
      <c r="A84" s="7" t="inlineStr">
        <is>
          <t>ALL-0083</t>
        </is>
      </c>
      <c r="B84" s="7" t="inlineStr">
        <is>
          <t>Research Papers</t>
        </is>
      </c>
      <c r="C84" s="8" t="inlineStr">
        <is>
          <t>2023</t>
        </is>
      </c>
      <c r="D84" s="7" t="n"/>
      <c r="E84" s="9" t="inlineStr">
        <is>
          <t>Tevaratiyars (Women of Temples) in Sri Lanka: A Study Based on Epigraphy</t>
        </is>
      </c>
      <c r="F84" s="9" t="inlineStr">
        <is>
          <t>S. Aniththa</t>
        </is>
      </c>
      <c r="G84" s="9" t="inlineStr">
        <is>
          <t>1st International Conference on Gender Studies, University of Sri Jayewardenepura</t>
        </is>
      </c>
      <c r="H84" s="7" t="inlineStr">
        <is>
          <t>Conference paper</t>
        </is>
      </c>
      <c r="I84" s="7" t="inlineStr">
        <is>
          <t>English</t>
        </is>
      </c>
      <c r="J84" s="9" t="inlineStr">
        <is>
          <t>Inscriptions / கல்வெட்டு</t>
        </is>
      </c>
      <c r="K84" s="9" t="inlineStr">
        <is>
          <t>epigraphy; கல்வெட்டு</t>
        </is>
      </c>
      <c r="L84" s="7" t="inlineStr">
        <is>
          <t>Yes</t>
        </is>
      </c>
      <c r="M84" s="9" t="n"/>
      <c r="N84" s="10" t="inlineStr">
        <is>
          <t>https://www.his.jfn.ac.lk/index.php/__trashed/</t>
        </is>
      </c>
    </row>
    <row r="85">
      <c r="A85" s="11" t="inlineStr">
        <is>
          <t>ALL-0084</t>
        </is>
      </c>
      <c r="B85" s="11" t="inlineStr">
        <is>
          <t>Research Papers</t>
        </is>
      </c>
      <c r="C85" s="12" t="inlineStr">
        <is>
          <t>2023</t>
        </is>
      </c>
      <c r="D85" s="11" t="n"/>
      <c r="E85" s="13" t="inlineStr">
        <is>
          <t>The Role of Brahmins in the Sinhalese Monarchy: A Study Based on the Kingdom of Anuradhapura</t>
        </is>
      </c>
      <c r="F85" s="13" t="inlineStr">
        <is>
          <t>S. Aniththa</t>
        </is>
      </c>
      <c r="G85" s="13" t="inlineStr">
        <is>
          <t>2nd National Research Symposium, Rajarata University of Sri Lanka</t>
        </is>
      </c>
      <c r="H85" s="11" t="inlineStr">
        <is>
          <t>Conference paper</t>
        </is>
      </c>
      <c r="I85" s="11" t="inlineStr">
        <is>
          <t>English</t>
        </is>
      </c>
      <c r="J85" s="13" t="inlineStr">
        <is>
          <t>Inscriptions / கல்வெட்டு; Brahmi / பிராமி</t>
        </is>
      </c>
      <c r="K85" s="13" t="inlineStr">
        <is>
          <t>Brahmins; inscriptions</t>
        </is>
      </c>
      <c r="L85" s="11" t="inlineStr">
        <is>
          <t>Yes</t>
        </is>
      </c>
      <c r="M85" s="13" t="n"/>
      <c r="N85" s="14" t="inlineStr">
        <is>
          <t>https://www.his.jfn.ac.lk/index.php/__trashed/</t>
        </is>
      </c>
    </row>
    <row r="86">
      <c r="A86" s="7" t="inlineStr">
        <is>
          <t>ALL-0085</t>
        </is>
      </c>
      <c r="B86" s="7" t="inlineStr">
        <is>
          <t>Research Papers</t>
        </is>
      </c>
      <c r="C86" s="8" t="inlineStr">
        <is>
          <t>2023</t>
        </is>
      </c>
      <c r="D86" s="7" t="n"/>
      <c r="E86" s="9" t="inlineStr">
        <is>
          <t>The Role of Tamil Officers in Sinhalese Monarchy up to 13th Century A.D.: A Review</t>
        </is>
      </c>
      <c r="F86" s="9" t="inlineStr">
        <is>
          <t>S. Aniththa</t>
        </is>
      </c>
      <c r="G86" s="9" t="inlineStr">
        <is>
          <t>11th International Symposium, South Eastern University of Sri Lanka</t>
        </is>
      </c>
      <c r="H86" s="7" t="inlineStr">
        <is>
          <t>Conference paper</t>
        </is>
      </c>
      <c r="I86" s="7" t="inlineStr">
        <is>
          <t>English</t>
        </is>
      </c>
      <c r="J86" s="9" t="inlineStr">
        <is>
          <t>Inscriptions / கல்வெட்டு</t>
        </is>
      </c>
      <c r="K86" s="9" t="inlineStr">
        <is>
          <t>inscriptions; officials</t>
        </is>
      </c>
      <c r="L86" s="7" t="inlineStr">
        <is>
          <t>Yes</t>
        </is>
      </c>
      <c r="M86" s="9" t="n"/>
      <c r="N86" s="10" t="inlineStr">
        <is>
          <t>https://www.his.jfn.ac.lk/index.php/__trashed/</t>
        </is>
      </c>
    </row>
    <row r="87">
      <c r="A87" s="11" t="inlineStr">
        <is>
          <t>ALL-0086</t>
        </is>
      </c>
      <c r="B87" s="11" t="inlineStr">
        <is>
          <t>Research Papers</t>
        </is>
      </c>
      <c r="C87" s="12" t="inlineStr">
        <is>
          <t>2023</t>
        </is>
      </c>
      <c r="D87" s="11" t="inlineStr">
        <is>
          <t>2023-04-01</t>
        </is>
      </c>
      <c r="E87" s="13" t="inlineStr">
        <is>
          <t>Kalinga in Sri Lankan Historiography</t>
        </is>
      </c>
      <c r="F87" s="13" t="inlineStr">
        <is>
          <t>Chrisdina Nirojini Mosasrupan</t>
        </is>
      </c>
      <c r="G87" s="13" t="inlineStr">
        <is>
          <t>Shanlax International Journal of Tamil Research</t>
        </is>
      </c>
      <c r="H87" s="11" t="inlineStr">
        <is>
          <t>Journal article</t>
        </is>
      </c>
      <c r="I87" s="11" t="inlineStr">
        <is>
          <t>Tamil</t>
        </is>
      </c>
      <c r="J87" s="13" t="inlineStr">
        <is>
          <t>Inscriptions / கல்வெட்டு</t>
        </is>
      </c>
      <c r="K87" s="13" t="inlineStr">
        <is>
          <t>Kalinga Magha; inscriptions</t>
        </is>
      </c>
      <c r="L87" s="11" t="inlineStr">
        <is>
          <t>Yes</t>
        </is>
      </c>
      <c r="M87" s="13" t="inlineStr">
        <is>
          <t>Year to verify</t>
        </is>
      </c>
      <c r="N87" s="14" t="inlineStr">
        <is>
          <t>https://shanlaxjournals.in/journals/index.php/tamil/article/view/6193</t>
        </is>
      </c>
    </row>
    <row r="88">
      <c r="A88" s="7" t="inlineStr">
        <is>
          <t>ALL-0087</t>
        </is>
      </c>
      <c r="B88" s="7" t="inlineStr">
        <is>
          <t>Research Papers</t>
        </is>
      </c>
      <c r="C88" s="8" t="inlineStr">
        <is>
          <t>2023</t>
        </is>
      </c>
      <c r="D88" s="7" t="inlineStr">
        <is>
          <t>2023-04-01</t>
        </is>
      </c>
      <c r="E88" s="9" t="inlineStr">
        <is>
          <t>Role of Brahmins in Society of Eastern Province, Sri Lanka</t>
        </is>
      </c>
      <c r="F88" s="9" t="inlineStr">
        <is>
          <t>Gowry Luxmykanthan</t>
        </is>
      </c>
      <c r="G88" s="9" t="inlineStr">
        <is>
          <t>Shanlax International Journal of Tamil Research</t>
        </is>
      </c>
      <c r="H88" s="7" t="inlineStr">
        <is>
          <t>Article</t>
        </is>
      </c>
      <c r="I88" s="7" t="inlineStr">
        <is>
          <t>English</t>
        </is>
      </c>
      <c r="J88" s="9" t="inlineStr">
        <is>
          <t>Brahmi / பிராமி</t>
        </is>
      </c>
      <c r="K88" s="9" t="inlineStr">
        <is>
          <t>brahmi</t>
        </is>
      </c>
      <c r="L88" s="7" t="inlineStr">
        <is>
          <t>Yes</t>
        </is>
      </c>
      <c r="M88" s="9" t="inlineStr">
        <is>
          <t>OpenAlex query: Tamil inscription Sri Lanka. Auto-collected 2026-10-14 (openalex); review.</t>
        </is>
      </c>
      <c r="N88" s="10" t="inlineStr">
        <is>
          <t>https://doi.org/10.34293/tamil.v7i4.6183</t>
        </is>
      </c>
    </row>
    <row r="89">
      <c r="A89" s="11" t="inlineStr">
        <is>
          <t>ALL-0088</t>
        </is>
      </c>
      <c r="B89" s="11" t="inlineStr">
        <is>
          <t>Research Papers</t>
        </is>
      </c>
      <c r="C89" s="12" t="inlineStr">
        <is>
          <t>2023</t>
        </is>
      </c>
      <c r="D89" s="11" t="inlineStr">
        <is>
          <t>2023-05-31</t>
        </is>
      </c>
      <c r="E89" s="13" t="inlineStr">
        <is>
          <t>EXAMINING THE MUSLIM NUMISMATIC EVIDENCE IN SRI LANKA TO COMPREHEND THE MUSLIM HERITAGE</t>
        </is>
      </c>
      <c r="F89" s="13" t="inlineStr">
        <is>
          <t>Jesmil Abdul Raheem, Shakirullah</t>
        </is>
      </c>
      <c r="G89" s="13" t="inlineStr">
        <is>
          <t>Pakistan Journal of Social Research</t>
        </is>
      </c>
      <c r="H89" s="11" t="inlineStr">
        <is>
          <t>Article</t>
        </is>
      </c>
      <c r="I89" s="11" t="inlineStr">
        <is>
          <t>English</t>
        </is>
      </c>
      <c r="J89" s="13" t="inlineStr">
        <is>
          <t>Archaeology / தொல்லியல்; Coins / நாணயம்</t>
        </is>
      </c>
      <c r="K89" s="13" t="n"/>
      <c r="L89" s="11" t="inlineStr">
        <is>
          <t>Yes</t>
        </is>
      </c>
      <c r="M89" s="13" t="inlineStr">
        <is>
          <t>OpenAlex query: Jaffna archaeology. Auto-collected 2026-10-14 (openalex); review.</t>
        </is>
      </c>
      <c r="N89" s="14" t="inlineStr">
        <is>
          <t>https://doi.org/10.52567/pjsr.v5i02.1343</t>
        </is>
      </c>
    </row>
    <row r="90">
      <c r="A90" s="7" t="inlineStr">
        <is>
          <t>ALL-0089</t>
        </is>
      </c>
      <c r="B90" s="7" t="inlineStr">
        <is>
          <t>Research Papers</t>
        </is>
      </c>
      <c r="C90" s="8" t="inlineStr">
        <is>
          <t>2023</t>
        </is>
      </c>
      <c r="D90" s="7" t="inlineStr">
        <is>
          <t>2023-12-28</t>
        </is>
      </c>
      <c r="E90" s="9" t="inlineStr">
        <is>
          <t>தரகணமல கயல மரபல பணணடயரகள - ஒர வரலறற நகக (Temple Girls in Trincomalee Tradition - A Historical Perspective)</t>
        </is>
      </c>
      <c r="F90" s="9" t="inlineStr">
        <is>
          <t>Chrisdina Nirojini Mosasrupan, Gowry Luxmykanthan</t>
        </is>
      </c>
      <c r="G90" s="9" t="inlineStr">
        <is>
          <t>Journal of Tamil Peraivu</t>
        </is>
      </c>
      <c r="H90" s="7" t="inlineStr">
        <is>
          <t>Article</t>
        </is>
      </c>
      <c r="I90" s="7" t="inlineStr">
        <is>
          <t>English</t>
        </is>
      </c>
      <c r="J90" s="9" t="n"/>
      <c r="K90" s="9" t="n"/>
      <c r="L90" s="7" t="inlineStr">
        <is>
          <t>Yes</t>
        </is>
      </c>
      <c r="M90" s="9" t="inlineStr">
        <is>
          <t>OpenAlex query: Polonnaruwa Tamil inscription. Auto-collected 2026-10-14 (openalex); review.</t>
        </is>
      </c>
      <c r="N90" s="10" t="inlineStr">
        <is>
          <t>https://doi.org/10.22452/jtp.vol12no2.10</t>
        </is>
      </c>
    </row>
    <row r="91">
      <c r="A91" s="11" t="inlineStr">
        <is>
          <t>ALL-0090</t>
        </is>
      </c>
      <c r="B91" s="11" t="inlineStr">
        <is>
          <t>Research Papers</t>
        </is>
      </c>
      <c r="C91" s="12" t="inlineStr">
        <is>
          <t>2023</t>
        </is>
      </c>
      <c r="D91" s="11" t="inlineStr">
        <is>
          <t>2023-12-30</t>
        </is>
      </c>
      <c r="E91" s="13" t="inlineStr">
        <is>
          <t>Reconstruction of The Historical Landscape of Colombo with Archaeological References</t>
        </is>
      </c>
      <c r="F91" s="13" t="inlineStr">
        <is>
          <t>S.D.Y. Jayarathne, Charmalie Nahallage</t>
        </is>
      </c>
      <c r="G91" s="13" t="inlineStr">
        <is>
          <t>TRIVALENT ත්‍රිසංයුජ Journal of Archaeology Tourism &amp; Anthropology</t>
        </is>
      </c>
      <c r="H91" s="11" t="inlineStr">
        <is>
          <t>Article</t>
        </is>
      </c>
      <c r="I91" s="11" t="inlineStr">
        <is>
          <t>English</t>
        </is>
      </c>
      <c r="J91" s="13" t="inlineStr">
        <is>
          <t>Archaeology / தொல்லியல்</t>
        </is>
      </c>
      <c r="K91" s="13" t="inlineStr">
        <is>
          <t>archaeological</t>
        </is>
      </c>
      <c r="L91" s="11" t="inlineStr">
        <is>
          <t>Yes</t>
        </is>
      </c>
      <c r="M91" s="13" t="inlineStr">
        <is>
          <t>OpenAlex query: Jaffna archaeology. Auto-collected 2026-10-14 (openalex); review.</t>
        </is>
      </c>
      <c r="N91" s="14" t="inlineStr">
        <is>
          <t>https://doi.org/10.4038/tjata.v4i1.91</t>
        </is>
      </c>
    </row>
    <row r="92">
      <c r="A92" s="7" t="inlineStr">
        <is>
          <t>ALL-0091</t>
        </is>
      </c>
      <c r="B92" s="7" t="inlineStr">
        <is>
          <t>Research Papers</t>
        </is>
      </c>
      <c r="C92" s="8" t="inlineStr">
        <is>
          <t>2022</t>
        </is>
      </c>
      <c r="D92" s="7" t="n"/>
      <c r="E92" s="9" t="inlineStr">
        <is>
          <t>Ancient Ceylon No. 27 (Journal of the Department of Archaeology)</t>
        </is>
      </c>
      <c r="F92" s="9" t="inlineStr">
        <is>
          <t>Department of Archaeology</t>
        </is>
      </c>
      <c r="G92" s="9" t="inlineStr">
        <is>
          <t>Department of Archaeology, Sri Lanka</t>
        </is>
      </c>
      <c r="H92" s="7" t="inlineStr">
        <is>
          <t>Journal article</t>
        </is>
      </c>
      <c r="I92" s="7" t="inlineStr">
        <is>
          <t>English</t>
        </is>
      </c>
      <c r="J92" s="9" t="inlineStr">
        <is>
          <t>Inscriptions / கல்வெட்டு; Archaeology / தொல்லியல்</t>
        </is>
      </c>
      <c r="K92" s="9" t="inlineStr">
        <is>
          <t>archaeology journal; inscriptions</t>
        </is>
      </c>
      <c r="L92" s="7" t="inlineStr">
        <is>
          <t>Yes</t>
        </is>
      </c>
      <c r="M92" s="9" t="inlineStr">
        <is>
          <t>Upload date 2022</t>
        </is>
      </c>
      <c r="N92" s="10" t="inlineStr">
        <is>
          <t>https://archaeology.gov.lk/media/attachments/2022/09/07/ac27updated.pdf</t>
        </is>
      </c>
    </row>
    <row r="93">
      <c r="A93" s="11" t="inlineStr">
        <is>
          <t>ALL-0092</t>
        </is>
      </c>
      <c r="B93" s="11" t="inlineStr">
        <is>
          <t>Research Papers</t>
        </is>
      </c>
      <c r="C93" s="12" t="inlineStr">
        <is>
          <t>2022</t>
        </is>
      </c>
      <c r="D93" s="11" t="n"/>
      <c r="E93" s="13" t="inlineStr">
        <is>
          <t>Archaeological Surveys and Their Importance in Respect of Northern Sri Lanka</t>
        </is>
      </c>
      <c r="F93" s="13" t="inlineStr">
        <is>
          <t>S. Sajitharan</t>
        </is>
      </c>
      <c r="G93" s="13" t="inlineStr">
        <is>
          <t>IntSym 2022, South Eastern University of Sri Lanka</t>
        </is>
      </c>
      <c r="H93" s="11" t="inlineStr">
        <is>
          <t>Conference paper</t>
        </is>
      </c>
      <c r="I93" s="11" t="inlineStr">
        <is>
          <t>English</t>
        </is>
      </c>
      <c r="J93" s="13" t="inlineStr">
        <is>
          <t>Archaeology / தொல்லியல்</t>
        </is>
      </c>
      <c r="K93" s="13" t="inlineStr">
        <is>
          <t>archaeological survey</t>
        </is>
      </c>
      <c r="L93" s="11" t="inlineStr">
        <is>
          <t>Yes</t>
        </is>
      </c>
      <c r="M93" s="13" t="n"/>
      <c r="N93" s="14" t="inlineStr">
        <is>
          <t>https://www.his.jfn.ac.lk/?p=791</t>
        </is>
      </c>
    </row>
    <row r="94">
      <c r="A94" s="7" t="inlineStr">
        <is>
          <t>ALL-0093</t>
        </is>
      </c>
      <c r="B94" s="7" t="inlineStr">
        <is>
          <t>Research Papers</t>
        </is>
      </c>
      <c r="C94" s="8" t="inlineStr">
        <is>
          <t>2022</t>
        </is>
      </c>
      <c r="D94" s="7" t="n"/>
      <c r="E94" s="9" t="inlineStr">
        <is>
          <t>Pre-colonial Monuments in Jaffna, Sri Lanka</t>
        </is>
      </c>
      <c r="F94" s="9" t="inlineStr">
        <is>
          <t>A. Suganthan</t>
        </is>
      </c>
      <c r="G94" s="9" t="inlineStr">
        <is>
          <t>Nagananda International Journal of Humanities &amp; Social Sciences</t>
        </is>
      </c>
      <c r="H94" s="7" t="inlineStr">
        <is>
          <t>Journal article</t>
        </is>
      </c>
      <c r="I94" s="7" t="inlineStr">
        <is>
          <t>English</t>
        </is>
      </c>
      <c r="J94" s="9" t="inlineStr">
        <is>
          <t>Archaeology / தொல்லியல்</t>
        </is>
      </c>
      <c r="K94" s="9" t="inlineStr">
        <is>
          <t>monuments; Jaffna</t>
        </is>
      </c>
      <c r="L94" s="7" t="inlineStr">
        <is>
          <t>Yes</t>
        </is>
      </c>
      <c r="M94" s="9" t="n"/>
      <c r="N94" s="10" t="inlineStr">
        <is>
          <t>https://www.his.jfn.ac.lk/index.php/mrs-ajiththa-suganthan/</t>
        </is>
      </c>
    </row>
    <row r="95">
      <c r="A95" s="11" t="inlineStr">
        <is>
          <t>ALL-0094</t>
        </is>
      </c>
      <c r="B95" s="11" t="inlineStr">
        <is>
          <t>Research Papers</t>
        </is>
      </c>
      <c r="C95" s="12" t="inlineStr">
        <is>
          <t>2022</t>
        </is>
      </c>
      <c r="D95" s="11" t="n"/>
      <c r="E95" s="13" t="inlineStr">
        <is>
          <t>Socio-Economic Conditions of Vanni Region through the Brahmi Inscriptions - Based on Vavuniya Region</t>
        </is>
      </c>
      <c r="F95" s="13" t="inlineStr">
        <is>
          <t>Thulasika Dineshan</t>
        </is>
      </c>
      <c r="G95" s="13" t="inlineStr">
        <is>
          <t>INTSYM 2022, South Eastern University of Sri Lanka</t>
        </is>
      </c>
      <c r="H95" s="11" t="inlineStr">
        <is>
          <t>Conference paper</t>
        </is>
      </c>
      <c r="I95" s="11" t="inlineStr">
        <is>
          <t>English</t>
        </is>
      </c>
      <c r="J95" s="13" t="inlineStr">
        <is>
          <t>Inscriptions / கல்வெட்டு; Brahmi / பிராமி</t>
        </is>
      </c>
      <c r="K95" s="13" t="inlineStr">
        <is>
          <t>பிராமி; கல்வெட்டு; Vanni; Vavuniya</t>
        </is>
      </c>
      <c r="L95" s="11" t="inlineStr">
        <is>
          <t>Yes</t>
        </is>
      </c>
      <c r="M95" s="13" t="n"/>
      <c r="N95" s="14" t="inlineStr">
        <is>
          <t>https://www.his.jfn.ac.lk/?p=1706</t>
        </is>
      </c>
    </row>
    <row r="96">
      <c r="A96" s="7" t="inlineStr">
        <is>
          <t>ALL-0095</t>
        </is>
      </c>
      <c r="B96" s="7" t="inlineStr">
        <is>
          <t>Research Papers</t>
        </is>
      </c>
      <c r="C96" s="8" t="inlineStr">
        <is>
          <t>2022</t>
        </is>
      </c>
      <c r="D96" s="7" t="inlineStr">
        <is>
          <t>2022-01-01</t>
        </is>
      </c>
      <c r="E96" s="9" t="inlineStr">
        <is>
          <t>INDIA – SRI LANKA BUDDHIST CULTURAL RELATIONS (SIXTH CENTURY CE TO THE TWELFTH CENTURY CE)</t>
        </is>
      </c>
      <c r="F96" s="9" t="inlineStr">
        <is>
          <t>Sumudu Dharmarathna</t>
        </is>
      </c>
      <c r="G96" s="9" t="inlineStr">
        <is>
          <t>JOURNAL OF HISTORY ART AND ARCHAEOLOGY</t>
        </is>
      </c>
      <c r="H96" s="7" t="inlineStr">
        <is>
          <t>Article</t>
        </is>
      </c>
      <c r="I96" s="7" t="inlineStr">
        <is>
          <t>English</t>
        </is>
      </c>
      <c r="J96" s="9" t="n"/>
      <c r="K96" s="9" t="n"/>
      <c r="L96" s="7" t="inlineStr">
        <is>
          <t>Yes</t>
        </is>
      </c>
      <c r="M96" s="9" t="inlineStr">
        <is>
          <t>OpenAlex query: Polonnaruwa Tamil inscription. Auto-collected 2026-10-14 (openalex); review.</t>
        </is>
      </c>
      <c r="N96" s="10" t="inlineStr">
        <is>
          <t>https://doi.org/10.47509/jhaa.2022.v02i01.06</t>
        </is>
      </c>
    </row>
    <row r="97">
      <c r="A97" s="11" t="inlineStr">
        <is>
          <t>ALL-0096</t>
        </is>
      </c>
      <c r="B97" s="11" t="inlineStr">
        <is>
          <t>Research Papers</t>
        </is>
      </c>
      <c r="C97" s="12" t="inlineStr">
        <is>
          <t>2022</t>
        </is>
      </c>
      <c r="D97" s="11" t="inlineStr">
        <is>
          <t>2022-02-25</t>
        </is>
      </c>
      <c r="E97" s="13" t="inlineStr">
        <is>
          <t>Visual Inscriptions upon Landscapes of Loss</t>
        </is>
      </c>
      <c r="F97" s="13" t="inlineStr">
        <is>
          <t>Malathi de Alwis</t>
        </is>
      </c>
      <c r="G97" s="13" t="inlineStr">
        <is>
          <t>Routledge eBooks</t>
        </is>
      </c>
      <c r="H97" s="11" t="inlineStr">
        <is>
          <t>Book chapter</t>
        </is>
      </c>
      <c r="I97" s="11" t="inlineStr">
        <is>
          <t>English</t>
        </is>
      </c>
      <c r="J97" s="13" t="inlineStr">
        <is>
          <t>Inscriptions / கல்வெட்டு</t>
        </is>
      </c>
      <c r="K97" s="13" t="inlineStr">
        <is>
          <t>inscription; inscriptions</t>
        </is>
      </c>
      <c r="L97" s="11" t="inlineStr">
        <is>
          <t>Yes</t>
        </is>
      </c>
      <c r="M97" s="13" t="inlineStr">
        <is>
          <t>OpenAlex query: Tamil inscription Sri Lanka. Auto-collected 2026-10-14 (openalex); review.</t>
        </is>
      </c>
      <c r="N97" s="14" t="inlineStr">
        <is>
          <t>https://doi.org/10.4324/9781003276753-9</t>
        </is>
      </c>
    </row>
    <row r="98">
      <c r="A98" s="7" t="inlineStr">
        <is>
          <t>ALL-0097</t>
        </is>
      </c>
      <c r="B98" s="7" t="inlineStr">
        <is>
          <t>Research Papers</t>
        </is>
      </c>
      <c r="C98" s="8" t="inlineStr">
        <is>
          <t>2022</t>
        </is>
      </c>
      <c r="D98" s="7" t="inlineStr">
        <is>
          <t>2022-04-25</t>
        </is>
      </c>
      <c r="E98" s="9" t="inlineStr">
        <is>
          <t>THE “DEVANAPIYA” KINGS AS TRACED FROM LITHIC ‘BRAHMI’ INSCRIPTIONS OF SRI LANKA</t>
        </is>
      </c>
      <c r="F98" s="9" t="inlineStr">
        <is>
          <t>, ID Manthilake</t>
        </is>
      </c>
      <c r="G98" s="9" t="inlineStr">
        <is>
          <t>Proceedings of the 2nd International Conference on Archaeology, History and Heritage</t>
        </is>
      </c>
      <c r="H98" s="7" t="inlineStr">
        <is>
          <t>Proceedings article</t>
        </is>
      </c>
      <c r="I98" s="7" t="inlineStr">
        <is>
          <t>English</t>
        </is>
      </c>
      <c r="J98" s="9" t="inlineStr">
        <is>
          <t>Inscriptions / கல்வெட்டு; Brahmi / பிராமி</t>
        </is>
      </c>
      <c r="K98" s="9" t="inlineStr">
        <is>
          <t>inscription; inscriptions; brahmi</t>
        </is>
      </c>
      <c r="L98" s="7" t="inlineStr">
        <is>
          <t>Yes</t>
        </is>
      </c>
      <c r="M98" s="9" t="inlineStr">
        <is>
          <t>Crossref query: Tamil Brahmi Sri Lanka. Auto-collected 2026-10-14 (crossref); review.</t>
        </is>
      </c>
      <c r="N98" s="10" t="inlineStr">
        <is>
          <t>https://doi.org/10.17501/26510243.2021.2101</t>
        </is>
      </c>
    </row>
    <row r="99">
      <c r="A99" s="11" t="inlineStr">
        <is>
          <t>ALL-0098</t>
        </is>
      </c>
      <c r="B99" s="11" t="inlineStr">
        <is>
          <t>Research Papers</t>
        </is>
      </c>
      <c r="C99" s="12" t="inlineStr">
        <is>
          <t>2022</t>
        </is>
      </c>
      <c r="D99" s="11" t="inlineStr">
        <is>
          <t>2022-08-27</t>
        </is>
      </c>
      <c r="E99" s="13" t="inlineStr">
        <is>
          <t>A study of the Dathan Inscription</t>
        </is>
      </c>
      <c r="F99" s="13" t="inlineStr">
        <is>
          <t>Murugu Thayanithy</t>
        </is>
      </c>
      <c r="G99" s="13" t="inlineStr">
        <is>
          <t>Indian Journal of Tamil</t>
        </is>
      </c>
      <c r="H99" s="11" t="inlineStr">
        <is>
          <t>Journal article</t>
        </is>
      </c>
      <c r="I99" s="11" t="inlineStr">
        <is>
          <t>English</t>
        </is>
      </c>
      <c r="J99" s="13" t="inlineStr">
        <is>
          <t>Inscriptions / கல்வெட்டு</t>
        </is>
      </c>
      <c r="K99" s="13" t="inlineStr">
        <is>
          <t>inscription</t>
        </is>
      </c>
      <c r="L99" s="11" t="inlineStr">
        <is>
          <t>Yes</t>
        </is>
      </c>
      <c r="M99" s="13" t="inlineStr">
        <is>
          <t>Crossref query: Polonnaruwa Tamil inscription. Auto-collected 2026-10-14 (crossref); review.</t>
        </is>
      </c>
      <c r="N99" s="14" t="inlineStr">
        <is>
          <t>https://doi.org/10.54392/ijot2236</t>
        </is>
      </c>
    </row>
    <row r="100">
      <c r="A100" s="7" t="inlineStr">
        <is>
          <t>ALL-0099</t>
        </is>
      </c>
      <c r="B100" s="7" t="inlineStr">
        <is>
          <t>Research Papers</t>
        </is>
      </c>
      <c r="C100" s="8" t="inlineStr">
        <is>
          <t>2022</t>
        </is>
      </c>
      <c r="D100" s="7" t="inlineStr">
        <is>
          <t>2022-09-22</t>
        </is>
      </c>
      <c r="E100" s="9" t="inlineStr">
        <is>
          <t>Early Iron Production in Sri Lanka: An Archaeological and Geochemical Approach to the Yodhawewa Metallurgical Settlement</t>
        </is>
      </c>
      <c r="F100" s="9" t="inlineStr">
        <is>
          <t>Wijepala Mudiyanselage Tikiri Bandara Wijepala</t>
        </is>
      </c>
      <c r="G100" s="9" t="inlineStr">
        <is>
          <t>Institutional Repositories DataBase (IRDB)</t>
        </is>
      </c>
      <c r="H100" s="7" t="inlineStr">
        <is>
          <t>Dissertation</t>
        </is>
      </c>
      <c r="I100" s="7" t="inlineStr">
        <is>
          <t>English</t>
        </is>
      </c>
      <c r="J100" s="9" t="inlineStr">
        <is>
          <t>Archaeology / தொல்லியல்</t>
        </is>
      </c>
      <c r="K100" s="9" t="inlineStr">
        <is>
          <t>archaeological</t>
        </is>
      </c>
      <c r="L100" s="7" t="inlineStr">
        <is>
          <t>Yes</t>
        </is>
      </c>
      <c r="M100" s="9" t="inlineStr">
        <is>
          <t>OpenAlex query: Tamil Brahmi Sri Lanka. Auto-collected 2026-10-14 (openalex); review.</t>
        </is>
      </c>
      <c r="N100" s="10" t="inlineStr">
        <is>
          <t>https://ir.lib.shimane-u.ac.jp/54548</t>
        </is>
      </c>
    </row>
    <row r="101">
      <c r="A101" s="11" t="inlineStr">
        <is>
          <t>ALL-0100</t>
        </is>
      </c>
      <c r="B101" s="11" t="inlineStr">
        <is>
          <t>Research Papers</t>
        </is>
      </c>
      <c r="C101" s="12" t="inlineStr">
        <is>
          <t>2022</t>
        </is>
      </c>
      <c r="D101" s="11" t="inlineStr">
        <is>
          <t>2022-10-21</t>
        </is>
      </c>
      <c r="E101" s="13" t="inlineStr">
        <is>
          <t>Dr. Siran Deraniyagala: The Archaeologist who Connected North and South Sri Lanka</t>
        </is>
      </c>
      <c r="F101" s="13" t="inlineStr">
        <is>
          <t>P. Pushparatnam</t>
        </is>
      </c>
      <c r="G101" s="13" t="inlineStr">
        <is>
          <t>Mount Royal University journal (ANLK)</t>
        </is>
      </c>
      <c r="H101" s="11" t="inlineStr">
        <is>
          <t>Article</t>
        </is>
      </c>
      <c r="I101" s="11" t="inlineStr">
        <is>
          <t>English</t>
        </is>
      </c>
      <c r="J101" s="13" t="inlineStr">
        <is>
          <t>Archaeology / தொல்லியல்</t>
        </is>
      </c>
      <c r="K101" s="13" t="inlineStr">
        <is>
          <t>archaeology; Jaffna</t>
        </is>
      </c>
      <c r="L101" s="11" t="inlineStr">
        <is>
          <t>Yes</t>
        </is>
      </c>
      <c r="M101" s="13" t="n"/>
      <c r="N101" s="14" t="inlineStr">
        <is>
          <t>https://mrujs.mtroyal.ca/index.php/anlk/article/view/634</t>
        </is>
      </c>
    </row>
    <row r="102">
      <c r="A102" s="7" t="inlineStr">
        <is>
          <t>ALL-0101</t>
        </is>
      </c>
      <c r="B102" s="7" t="inlineStr">
        <is>
          <t>Research Papers</t>
        </is>
      </c>
      <c r="C102" s="8" t="inlineStr">
        <is>
          <t>2022</t>
        </is>
      </c>
      <c r="D102" s="7" t="inlineStr">
        <is>
          <t>2022-12-01</t>
        </is>
      </c>
      <c r="E102" s="9" t="inlineStr">
        <is>
          <t>Megalithic Cemeteries and Land Use in the Yān Oya River Basin of Sri Lanka</t>
        </is>
      </c>
      <c r="F102" s="9" t="inlineStr">
        <is>
          <t>Ranjith Bandara Dissanayake</t>
        </is>
      </c>
      <c r="G102" s="9" t="inlineStr">
        <is>
          <t>Ancient Lanka</t>
        </is>
      </c>
      <c r="H102" s="7" t="inlineStr">
        <is>
          <t>Article</t>
        </is>
      </c>
      <c r="I102" s="7" t="inlineStr">
        <is>
          <t>English</t>
        </is>
      </c>
      <c r="J102" s="9" t="inlineStr">
        <is>
          <t>Archaeology / தொல்லியல்</t>
        </is>
      </c>
      <c r="K102" s="9" t="inlineStr">
        <is>
          <t>megalithic</t>
        </is>
      </c>
      <c r="L102" s="7" t="inlineStr">
        <is>
          <t>Yes</t>
        </is>
      </c>
      <c r="M102" s="9" t="inlineStr">
        <is>
          <t>OpenAlex query: Tamil Brahmi Sri Lanka. Auto-collected 2026-10-14 (openalex); review.</t>
        </is>
      </c>
      <c r="N102" s="10" t="inlineStr">
        <is>
          <t>https://doi.org/10.29173/anlk655</t>
        </is>
      </c>
    </row>
    <row r="103">
      <c r="A103" s="11" t="inlineStr">
        <is>
          <t>ALL-0102</t>
        </is>
      </c>
      <c r="B103" s="11" t="inlineStr">
        <is>
          <t>Research Papers</t>
        </is>
      </c>
      <c r="C103" s="12" t="inlineStr">
        <is>
          <t>2022</t>
        </is>
      </c>
      <c r="D103" s="11" t="inlineStr">
        <is>
          <t>2022-12-06</t>
        </is>
      </c>
      <c r="E103" s="13" t="inlineStr">
        <is>
          <t>Evidence-Based Anthropological Exploration of Lanka's People</t>
        </is>
      </c>
      <c r="F103" s="13" t="inlineStr">
        <is>
          <t>Samanti Kulatilake</t>
        </is>
      </c>
      <c r="G103" s="13" t="inlineStr">
        <is>
          <t>Ancient Lanka</t>
        </is>
      </c>
      <c r="H103" s="11" t="inlineStr">
        <is>
          <t>Article</t>
        </is>
      </c>
      <c r="I103" s="11" t="inlineStr">
        <is>
          <t>English</t>
        </is>
      </c>
      <c r="J103" s="13" t="n"/>
      <c r="K103" s="13" t="n"/>
      <c r="L103" s="11" t="inlineStr">
        <is>
          <t>Yes</t>
        </is>
      </c>
      <c r="M103" s="13" t="inlineStr">
        <is>
          <t>OpenAlex query: Tamil Brahmi Sri Lanka. Auto-collected 2026-10-14 (openalex); review.</t>
        </is>
      </c>
      <c r="N103" s="14" t="inlineStr">
        <is>
          <t>https://doi.org/10.29173/anlk635</t>
        </is>
      </c>
    </row>
    <row r="104">
      <c r="A104" s="7" t="inlineStr">
        <is>
          <t>ALL-0103</t>
        </is>
      </c>
      <c r="B104" s="7" t="inlineStr">
        <is>
          <t>Research Papers</t>
        </is>
      </c>
      <c r="C104" s="8" t="inlineStr">
        <is>
          <t>2022</t>
        </is>
      </c>
      <c r="D104" s="7" t="inlineStr">
        <is>
          <t>2022-12-07</t>
        </is>
      </c>
      <c r="E104" s="9" t="inlineStr">
        <is>
          <t>Maritime Trade Pattern and Early Urbanism in the Jaffna Peninsula of Northern Sri Lanka</t>
        </is>
      </c>
      <c r="F104" s="9" t="inlineStr">
        <is>
          <t>Prishanta Gunawardhana</t>
        </is>
      </c>
      <c r="G104" s="9" t="inlineStr">
        <is>
          <t>Ancient Lanka</t>
        </is>
      </c>
      <c r="H104" s="7" t="inlineStr">
        <is>
          <t>Article</t>
        </is>
      </c>
      <c r="I104" s="7" t="inlineStr">
        <is>
          <t>English</t>
        </is>
      </c>
      <c r="J104" s="9" t="n"/>
      <c r="K104" s="9" t="n"/>
      <c r="L104" s="7" t="inlineStr">
        <is>
          <t>Yes</t>
        </is>
      </c>
      <c r="M104" s="9" t="inlineStr">
        <is>
          <t>OpenAlex query: Tamil Brahmi Sri Lanka. Auto-collected 2026-10-14 (openalex); review.</t>
        </is>
      </c>
      <c r="N104" s="10" t="inlineStr">
        <is>
          <t>https://doi.org/10.29173/anlk658</t>
        </is>
      </c>
    </row>
    <row r="105">
      <c r="A105" s="11" t="inlineStr">
        <is>
          <t>ALL-0104</t>
        </is>
      </c>
      <c r="B105" s="11" t="inlineStr">
        <is>
          <t>Research Papers</t>
        </is>
      </c>
      <c r="C105" s="12" t="inlineStr">
        <is>
          <t>2021</t>
        </is>
      </c>
      <c r="D105" s="11" t="n"/>
      <c r="E105" s="13" t="inlineStr">
        <is>
          <t>Archaeological Glories in Sri Lankan Museums</t>
        </is>
      </c>
      <c r="F105" s="13" t="inlineStr">
        <is>
          <t>S. Arulanantham</t>
        </is>
      </c>
      <c r="G105" s="13" t="inlineStr">
        <is>
          <t>Edited volume (ed. T. Mageswary)</t>
        </is>
      </c>
      <c r="H105" s="11" t="inlineStr">
        <is>
          <t>Book chapter</t>
        </is>
      </c>
      <c r="I105" s="11" t="inlineStr">
        <is>
          <t>Tamil</t>
        </is>
      </c>
      <c r="J105" s="13" t="inlineStr">
        <is>
          <t>Archaeology / தொல்லியல்</t>
        </is>
      </c>
      <c r="K105" s="13" t="inlineStr">
        <is>
          <t>museums; archaeology</t>
        </is>
      </c>
      <c r="L105" s="11" t="inlineStr">
        <is>
          <t>Yes</t>
        </is>
      </c>
      <c r="M105" s="13" t="n"/>
      <c r="N105" s="14" t="inlineStr">
        <is>
          <t>https://www.his.jfn.ac.lk/index.php/mrs-s-arulanantham/</t>
        </is>
      </c>
    </row>
    <row r="106">
      <c r="A106" s="7" t="inlineStr">
        <is>
          <t>ALL-0105</t>
        </is>
      </c>
      <c r="B106" s="7" t="inlineStr">
        <is>
          <t>Research Papers</t>
        </is>
      </c>
      <c r="C106" s="8" t="inlineStr">
        <is>
          <t>2021</t>
        </is>
      </c>
      <c r="D106" s="7" t="n"/>
      <c r="E106" s="9" t="inlineStr">
        <is>
          <t>Influences of Natural Science on Archaeology</t>
        </is>
      </c>
      <c r="F106" s="9" t="inlineStr">
        <is>
          <t>Thulasika Dineshan</t>
        </is>
      </c>
      <c r="G106" s="9" t="inlineStr">
        <is>
          <t>Aran International Journal of Tamil Research, Vol. 3, Issue 2</t>
        </is>
      </c>
      <c r="H106" s="7" t="inlineStr">
        <is>
          <t>Journal article</t>
        </is>
      </c>
      <c r="I106" s="7" t="inlineStr">
        <is>
          <t>Tamil</t>
        </is>
      </c>
      <c r="J106" s="9" t="inlineStr">
        <is>
          <t>Archaeology / தொல்லியல்</t>
        </is>
      </c>
      <c r="K106" s="9" t="inlineStr">
        <is>
          <t>தொல்லியல்; method</t>
        </is>
      </c>
      <c r="L106" s="7" t="inlineStr">
        <is>
          <t>Yes</t>
        </is>
      </c>
      <c r="M106" s="9" t="n"/>
      <c r="N106" s="10" t="inlineStr">
        <is>
          <t>https://www.his.jfn.ac.lk/?p=1706</t>
        </is>
      </c>
    </row>
    <row r="107">
      <c r="A107" s="11" t="inlineStr">
        <is>
          <t>ALL-0106</t>
        </is>
      </c>
      <c r="B107" s="11" t="inlineStr">
        <is>
          <t>Research Papers</t>
        </is>
      </c>
      <c r="C107" s="12" t="inlineStr">
        <is>
          <t>2021</t>
        </is>
      </c>
      <c r="D107" s="11" t="n"/>
      <c r="E107" s="13" t="inlineStr">
        <is>
          <t>Matrimonial Alliances between Tamil and Sinhala Royal Families in Sri Lanka: A Historical View</t>
        </is>
      </c>
      <c r="F107" s="13" t="inlineStr">
        <is>
          <t>S. Aniththa</t>
        </is>
      </c>
      <c r="G107" s="13" t="inlineStr">
        <is>
          <t>Journal of Jaffna Science Association, Vol. 3, Issue I</t>
        </is>
      </c>
      <c r="H107" s="11" t="inlineStr">
        <is>
          <t>Journal article</t>
        </is>
      </c>
      <c r="I107" s="11" t="inlineStr">
        <is>
          <t>English</t>
        </is>
      </c>
      <c r="J107" s="13" t="inlineStr">
        <is>
          <t>Inscriptions / கல்வெட்டு</t>
        </is>
      </c>
      <c r="K107" s="13" t="inlineStr">
        <is>
          <t>inscriptions; royal history</t>
        </is>
      </c>
      <c r="L107" s="11" t="inlineStr">
        <is>
          <t>Yes</t>
        </is>
      </c>
      <c r="M107" s="13" t="n"/>
      <c r="N107" s="14" t="inlineStr">
        <is>
          <t>https://www.his.jfn.ac.lk/index.php/__trashed/</t>
        </is>
      </c>
    </row>
    <row r="108">
      <c r="A108" s="7" t="inlineStr">
        <is>
          <t>ALL-0107</t>
        </is>
      </c>
      <c r="B108" s="7" t="inlineStr">
        <is>
          <t>Research Papers</t>
        </is>
      </c>
      <c r="C108" s="8" t="inlineStr">
        <is>
          <t>2021</t>
        </is>
      </c>
      <c r="D108" s="7" t="n"/>
      <c r="E108" s="9" t="inlineStr">
        <is>
          <t>Tamil Inscription Issued by Sinhala Kings during the Period of Polonnaruwa Kingdom: A Multi Dimensions</t>
        </is>
      </c>
      <c r="F108" s="9" t="inlineStr">
        <is>
          <t>S. Aniththa, P. Pushparatnam</t>
        </is>
      </c>
      <c r="G108" s="9" t="inlineStr">
        <is>
          <t>Palkalai, Vol. 2, Issue IX, Faculty of Arts, University of Peradeniya</t>
        </is>
      </c>
      <c r="H108" s="7" t="inlineStr">
        <is>
          <t>Journal article</t>
        </is>
      </c>
      <c r="I108" s="7" t="inlineStr">
        <is>
          <t>Tamil</t>
        </is>
      </c>
      <c r="J108" s="9" t="inlineStr">
        <is>
          <t>Inscriptions / கல்வெட்டு</t>
        </is>
      </c>
      <c r="K108" s="9" t="inlineStr">
        <is>
          <t>கல்வெட்டு; Polonnaruwa</t>
        </is>
      </c>
      <c r="L108" s="7" t="inlineStr">
        <is>
          <t>Yes</t>
        </is>
      </c>
      <c r="M108" s="9" t="n"/>
      <c r="N108" s="10" t="inlineStr">
        <is>
          <t>https://www.his.jfn.ac.lk/index.php/__trashed/</t>
        </is>
      </c>
    </row>
    <row r="109">
      <c r="A109" s="11" t="inlineStr">
        <is>
          <t>ALL-0108</t>
        </is>
      </c>
      <c r="B109" s="11" t="inlineStr">
        <is>
          <t>Research Papers</t>
        </is>
      </c>
      <c r="C109" s="12" t="inlineStr">
        <is>
          <t>2021</t>
        </is>
      </c>
      <c r="D109" s="11" t="inlineStr">
        <is>
          <t>2021-01-01</t>
        </is>
      </c>
      <c r="E109" s="13" t="inlineStr">
        <is>
          <t>Sri Lanka and Greco-Roman Maritime Trade Relations (According to Literary Sources &amp; Archaeological Evidence)</t>
        </is>
      </c>
      <c r="F109" s="13" t="inlineStr">
        <is>
          <t>Don Sashika Anushan Munasinghe</t>
        </is>
      </c>
      <c r="G109" s="13" t="inlineStr">
        <is>
          <t>International Journal of Archaeology</t>
        </is>
      </c>
      <c r="H109" s="11" t="inlineStr">
        <is>
          <t>Article</t>
        </is>
      </c>
      <c r="I109" s="11" t="inlineStr">
        <is>
          <t>English</t>
        </is>
      </c>
      <c r="J109" s="13" t="inlineStr">
        <is>
          <t>Archaeology / தொல்லியல்</t>
        </is>
      </c>
      <c r="K109" s="13" t="inlineStr">
        <is>
          <t>archaeological</t>
        </is>
      </c>
      <c r="L109" s="11" t="inlineStr">
        <is>
          <t>Yes</t>
        </is>
      </c>
      <c r="M109" s="13" t="inlineStr">
        <is>
          <t>OpenAlex query: Tamil inscription Sri Lanka. Auto-collected 2026-10-14 (openalex); review.</t>
        </is>
      </c>
      <c r="N109" s="14" t="inlineStr">
        <is>
          <t>https://doi.org/10.11648/j.ija.20210902.14</t>
        </is>
      </c>
    </row>
    <row r="110">
      <c r="A110" s="7" t="inlineStr">
        <is>
          <t>ALL-0109</t>
        </is>
      </c>
      <c r="B110" s="7" t="inlineStr">
        <is>
          <t>Research Papers</t>
        </is>
      </c>
      <c r="C110" s="8" t="inlineStr">
        <is>
          <t>2021</t>
        </is>
      </c>
      <c r="D110" s="7" t="inlineStr">
        <is>
          <t>2021-01-19</t>
        </is>
      </c>
      <c r="E110" s="9" t="inlineStr">
        <is>
          <t>An Artifact Assemblage from the Ancient Shipwreck at Godavaya, Sri Lanka</t>
        </is>
      </c>
      <c r="F110" s="9" t="inlineStr">
        <is>
          <t>Loyalty Nerys Shi We Traster-Lee</t>
        </is>
      </c>
      <c r="G110" s="9" t="inlineStr">
        <is>
          <t>OakTrust (Texas A&amp;M University Libraries)</t>
        </is>
      </c>
      <c r="H110" s="7" t="inlineStr">
        <is>
          <t>Dissertation</t>
        </is>
      </c>
      <c r="I110" s="7" t="inlineStr">
        <is>
          <t>English</t>
        </is>
      </c>
      <c r="J110" s="9" t="n"/>
      <c r="K110" s="9" t="n"/>
      <c r="L110" s="7" t="inlineStr">
        <is>
          <t>Yes</t>
        </is>
      </c>
      <c r="M110" s="9" t="inlineStr">
        <is>
          <t>OpenAlex query: Tamil inscription Sri Lanka. Auto-collected 2026-10-14 (openalex); review.</t>
        </is>
      </c>
      <c r="N110" s="10" t="inlineStr">
        <is>
          <t>https://hdl.handle.net/1969.1/193070</t>
        </is>
      </c>
    </row>
    <row r="111">
      <c r="A111" s="11" t="inlineStr">
        <is>
          <t>ALL-0110</t>
        </is>
      </c>
      <c r="B111" s="11" t="inlineStr">
        <is>
          <t>Research Papers</t>
        </is>
      </c>
      <c r="C111" s="12" t="inlineStr">
        <is>
          <t>2021</t>
        </is>
      </c>
      <c r="D111" s="11" t="inlineStr">
        <is>
          <t>2021-01-19</t>
        </is>
      </c>
      <c r="E111" s="13" t="inlineStr">
        <is>
          <t>Archaeological Research in Kaddukarai</t>
        </is>
      </c>
      <c r="F111" s="13" t="inlineStr">
        <is>
          <t>Thulasika Dineshan</t>
        </is>
      </c>
      <c r="G111" s="13" t="inlineStr">
        <is>
          <t>9th SEUSL International Arts Research Symposium 2020, p. 28 (ISBN 9789556272536)</t>
        </is>
      </c>
      <c r="H111" s="11" t="inlineStr">
        <is>
          <t>Conference paper</t>
        </is>
      </c>
      <c r="I111" s="11" t="inlineStr">
        <is>
          <t>English</t>
        </is>
      </c>
      <c r="J111" s="13" t="inlineStr">
        <is>
          <t>Archaeology / தொல்லியல்</t>
        </is>
      </c>
      <c r="K111" s="13" t="inlineStr">
        <is>
          <t>தொல்லியல்; Kattukarai; excavation</t>
        </is>
      </c>
      <c r="L111" s="11" t="inlineStr">
        <is>
          <t>Yes</t>
        </is>
      </c>
      <c r="M111" s="13" t="n"/>
      <c r="N111" s="14" t="inlineStr">
        <is>
          <t>https://dspace.lib.seu.ac.lk/items/d37186eb-584d-43c3-8284-8e7e285c22d1/full</t>
        </is>
      </c>
    </row>
    <row r="112">
      <c r="A112" s="7" t="inlineStr">
        <is>
          <t>ALL-0111</t>
        </is>
      </c>
      <c r="B112" s="7" t="inlineStr">
        <is>
          <t>Research Papers</t>
        </is>
      </c>
      <c r="C112" s="8" t="inlineStr">
        <is>
          <t>2021</t>
        </is>
      </c>
      <c r="D112" s="7" t="inlineStr">
        <is>
          <t>2021-04-05</t>
        </is>
      </c>
      <c r="E112" s="9" t="inlineStr">
        <is>
          <t>Nature of Prehistoric Archaeological Investigation and Research in Sri Lanka (1992 – 2019)</t>
        </is>
      </c>
      <c r="F112" s="9" t="inlineStr">
        <is>
          <t>D.S.A. Munasinghe, H.A.S.N. Hanchapola, N.A.D.M. Nissanka, A.H.M.J.M. Athapathtu</t>
        </is>
      </c>
      <c r="G112" s="9" t="inlineStr">
        <is>
          <t>Vidyodaya Journal of Humanities and Social Sciences</t>
        </is>
      </c>
      <c r="H112" s="7" t="inlineStr">
        <is>
          <t>Article</t>
        </is>
      </c>
      <c r="I112" s="7" t="inlineStr">
        <is>
          <t>English</t>
        </is>
      </c>
      <c r="J112" s="9" t="inlineStr">
        <is>
          <t>Archaeology / தொல்லியல்</t>
        </is>
      </c>
      <c r="K112" s="9" t="inlineStr">
        <is>
          <t>archaeological</t>
        </is>
      </c>
      <c r="L112" s="7" t="inlineStr">
        <is>
          <t>Yes</t>
        </is>
      </c>
      <c r="M112" s="9" t="inlineStr">
        <is>
          <t>OpenAlex query: Jaffna archaeology. Auto-collected 2026-10-14 (openalex); review.</t>
        </is>
      </c>
      <c r="N112" s="10" t="inlineStr">
        <is>
          <t>https://doi.org/10.31357/fhss/vjhss.v06i01.10</t>
        </is>
      </c>
    </row>
    <row r="113">
      <c r="A113" s="11" t="inlineStr">
        <is>
          <t>ALL-0112</t>
        </is>
      </c>
      <c r="B113" s="11" t="inlineStr">
        <is>
          <t>Research Papers</t>
        </is>
      </c>
      <c r="C113" s="12" t="inlineStr">
        <is>
          <t>2021</t>
        </is>
      </c>
      <c r="D113" s="11" t="inlineStr">
        <is>
          <t>2021-06-10</t>
        </is>
      </c>
      <c r="E113" s="13" t="inlineStr">
        <is>
          <t>Seven Years in Sihagiri Bim - An Account of a Sri Lankan-Swedish Collaboration in Settlement Archaeology in Sigiriya 1988—1995</t>
        </is>
      </c>
      <c r="F113" s="13" t="inlineStr">
        <is>
          <t>Mats Mogren</t>
        </is>
      </c>
      <c r="G113" s="13" t="inlineStr">
        <is>
          <t>Current Swedish Archaeology</t>
        </is>
      </c>
      <c r="H113" s="11" t="inlineStr">
        <is>
          <t>Article</t>
        </is>
      </c>
      <c r="I113" s="11" t="inlineStr">
        <is>
          <t>English</t>
        </is>
      </c>
      <c r="J113" s="13" t="inlineStr">
        <is>
          <t>Archaeology / தொல்லியல்</t>
        </is>
      </c>
      <c r="K113" s="13" t="inlineStr">
        <is>
          <t>archaeology</t>
        </is>
      </c>
      <c r="L113" s="11" t="inlineStr">
        <is>
          <t>Yes</t>
        </is>
      </c>
      <c r="M113" s="13" t="inlineStr">
        <is>
          <t>OpenAlex query: Jaffna archaeology. Auto-collected 2026-10-14 (openalex); review.</t>
        </is>
      </c>
      <c r="N113" s="14" t="inlineStr">
        <is>
          <t>https://doi.org/10.37718/csa.1999.08</t>
        </is>
      </c>
    </row>
    <row r="114">
      <c r="A114" s="7" t="inlineStr">
        <is>
          <t>ALL-0113</t>
        </is>
      </c>
      <c r="B114" s="7" t="inlineStr">
        <is>
          <t>Research Papers</t>
        </is>
      </c>
      <c r="C114" s="8" t="inlineStr">
        <is>
          <t>2021</t>
        </is>
      </c>
      <c r="D114" s="7" t="inlineStr">
        <is>
          <t>2021-06-10</t>
        </is>
      </c>
      <c r="E114" s="9" t="inlineStr">
        <is>
          <t>Water Harvesting and Water Management: A Discussion of the Implications of Scale in Artificial Irrigation: the Sri Lankan Example</t>
        </is>
      </c>
      <c r="F114" s="9" t="inlineStr">
        <is>
          <t>Eva Myrdal-Runebjer</t>
        </is>
      </c>
      <c r="G114" s="9" t="inlineStr">
        <is>
          <t>Current Swedish Archaeology</t>
        </is>
      </c>
      <c r="H114" s="7" t="inlineStr">
        <is>
          <t>Article</t>
        </is>
      </c>
      <c r="I114" s="7" t="inlineStr">
        <is>
          <t>English</t>
        </is>
      </c>
      <c r="J114" s="9" t="n"/>
      <c r="K114" s="9" t="n"/>
      <c r="L114" s="7" t="inlineStr">
        <is>
          <t>Yes</t>
        </is>
      </c>
      <c r="M114" s="9" t="inlineStr">
        <is>
          <t>OpenAlex query: Tamil Brahmi Sri Lanka. Auto-collected 2026-10-14 (openalex); review.</t>
        </is>
      </c>
      <c r="N114" s="10" t="inlineStr">
        <is>
          <t>https://doi.org/10.37718/csa.2003.04</t>
        </is>
      </c>
    </row>
    <row r="115">
      <c r="A115" s="11" t="inlineStr">
        <is>
          <t>ALL-0114</t>
        </is>
      </c>
      <c r="B115" s="11" t="inlineStr">
        <is>
          <t>Research Papers</t>
        </is>
      </c>
      <c r="C115" s="12" t="inlineStr">
        <is>
          <t>2021</t>
        </is>
      </c>
      <c r="D115" s="11" t="inlineStr">
        <is>
          <t>2021-12-30</t>
        </is>
      </c>
      <c r="E115" s="13" t="inlineStr">
        <is>
          <t>An Investigative Study of Trade relations between Sri Lanka and South India mentioned in Tamil inscriptions of Sri Lanka</t>
        </is>
      </c>
      <c r="F115" s="13" t="inlineStr">
        <is>
          <t>K. D. M. H. Nanayakkara</t>
        </is>
      </c>
      <c r="G115" s="13" t="inlineStr">
        <is>
          <t>TRIVALENT ත්‍රිසංයුජ Journal of Archaeology Tourism &amp; Anthropology</t>
        </is>
      </c>
      <c r="H115" s="11" t="inlineStr">
        <is>
          <t>Article</t>
        </is>
      </c>
      <c r="I115" s="11" t="inlineStr">
        <is>
          <t>English</t>
        </is>
      </c>
      <c r="J115" s="13" t="inlineStr">
        <is>
          <t>Inscriptions / கல்வெட்டு</t>
        </is>
      </c>
      <c r="K115" s="13" t="inlineStr">
        <is>
          <t>inscription; inscriptions</t>
        </is>
      </c>
      <c r="L115" s="11" t="inlineStr">
        <is>
          <t>Yes</t>
        </is>
      </c>
      <c r="M115" s="13" t="inlineStr">
        <is>
          <t>OpenAlex query: Tamil inscription Sri Lanka. Auto-collected 2026-10-14 (openalex); review.</t>
        </is>
      </c>
      <c r="N115" s="14" t="inlineStr">
        <is>
          <t>https://doi.org/10.4038/tjata.v2i2.66</t>
        </is>
      </c>
    </row>
    <row r="116">
      <c r="A116" s="7" t="inlineStr">
        <is>
          <t>ALL-0115</t>
        </is>
      </c>
      <c r="B116" s="7" t="inlineStr">
        <is>
          <t>Research Papers</t>
        </is>
      </c>
      <c r="C116" s="8" t="inlineStr">
        <is>
          <t>2020</t>
        </is>
      </c>
      <c r="D116" s="7" t="n"/>
      <c r="E116" s="9" t="inlineStr">
        <is>
          <t>Amazing Discovery of Burials in Northern Sri Lanka</t>
        </is>
      </c>
      <c r="F116" s="9" t="inlineStr">
        <is>
          <t>S. Sajitharan</t>
        </is>
      </c>
      <c r="G116" s="9" t="inlineStr">
        <is>
          <t>Aran International e-Journal of Tamil Research, Vol. 2, Issue 7</t>
        </is>
      </c>
      <c r="H116" s="7" t="inlineStr">
        <is>
          <t>Journal article</t>
        </is>
      </c>
      <c r="I116" s="7" t="inlineStr">
        <is>
          <t>Tamil</t>
        </is>
      </c>
      <c r="J116" s="9" t="inlineStr">
        <is>
          <t>Archaeology / தொல்லியல்</t>
        </is>
      </c>
      <c r="K116" s="9" t="inlineStr">
        <is>
          <t>burials; megalithic</t>
        </is>
      </c>
      <c r="L116" s="7" t="inlineStr">
        <is>
          <t>Yes</t>
        </is>
      </c>
      <c r="M116" s="9" t="n"/>
      <c r="N116" s="10" t="inlineStr">
        <is>
          <t>https://www.his.jfn.ac.lk/?p=791</t>
        </is>
      </c>
    </row>
    <row r="117">
      <c r="A117" s="11" t="inlineStr">
        <is>
          <t>ALL-0116</t>
        </is>
      </c>
      <c r="B117" s="11" t="inlineStr">
        <is>
          <t>Research Papers</t>
        </is>
      </c>
      <c r="C117" s="12" t="inlineStr">
        <is>
          <t>2020</t>
        </is>
      </c>
      <c r="D117" s="11" t="n"/>
      <c r="E117" s="13" t="inlineStr">
        <is>
          <t>Archaeological Heritage of Buddhism: A Study Based on Jaffna Peninsula</t>
        </is>
      </c>
      <c r="F117" s="13" t="inlineStr">
        <is>
          <t>S. Sajitharan</t>
        </is>
      </c>
      <c r="G117" s="13" t="inlineStr">
        <is>
          <t>CINTANAI (University of Jaffna)</t>
        </is>
      </c>
      <c r="H117" s="11" t="inlineStr">
        <is>
          <t>Journal article</t>
        </is>
      </c>
      <c r="I117" s="11" t="inlineStr">
        <is>
          <t>English</t>
        </is>
      </c>
      <c r="J117" s="13" t="inlineStr">
        <is>
          <t>Archaeology / தொல்லியல்</t>
        </is>
      </c>
      <c r="K117" s="13" t="inlineStr">
        <is>
          <t>archaeology; Buddhism</t>
        </is>
      </c>
      <c r="L117" s="11" t="inlineStr">
        <is>
          <t>Yes</t>
        </is>
      </c>
      <c r="M117" s="13" t="n"/>
      <c r="N117" s="14" t="inlineStr">
        <is>
          <t>https://www.his.jfn.ac.lk/?p=791</t>
        </is>
      </c>
    </row>
    <row r="118">
      <c r="A118" s="7" t="inlineStr">
        <is>
          <t>ALL-0117</t>
        </is>
      </c>
      <c r="B118" s="7" t="inlineStr">
        <is>
          <t>Research Papers</t>
        </is>
      </c>
      <c r="C118" s="8" t="inlineStr">
        <is>
          <t>2020</t>
        </is>
      </c>
      <c r="D118" s="7" t="n"/>
      <c r="E118" s="9" t="inlineStr">
        <is>
          <t>Megalithic Culture in Sri Lanka</t>
        </is>
      </c>
      <c r="F118" s="9" t="inlineStr">
        <is>
          <t>Thulasika Dineshan</t>
        </is>
      </c>
      <c r="G118" s="9" t="inlineStr">
        <is>
          <t>International Research Symposium, Pollachi, Tamil Nadu</t>
        </is>
      </c>
      <c r="H118" s="7" t="inlineStr">
        <is>
          <t>Conference paper</t>
        </is>
      </c>
      <c r="I118" s="7" t="inlineStr">
        <is>
          <t>English</t>
        </is>
      </c>
      <c r="J118" s="9" t="inlineStr">
        <is>
          <t>Archaeology / தொல்லியல்</t>
        </is>
      </c>
      <c r="K118" s="9" t="inlineStr">
        <is>
          <t>megalithic</t>
        </is>
      </c>
      <c r="L118" s="7" t="inlineStr">
        <is>
          <t>Yes</t>
        </is>
      </c>
      <c r="M118" s="9" t="n"/>
      <c r="N118" s="10" t="inlineStr">
        <is>
          <t>https://www.his.jfn.ac.lk/?p=1706</t>
        </is>
      </c>
    </row>
    <row r="119">
      <c r="A119" s="11" t="inlineStr">
        <is>
          <t>ALL-0118</t>
        </is>
      </c>
      <c r="B119" s="11" t="inlineStr">
        <is>
          <t>Research Papers</t>
        </is>
      </c>
      <c r="C119" s="12" t="inlineStr">
        <is>
          <t>2020</t>
        </is>
      </c>
      <c r="D119" s="11" t="n"/>
      <c r="E119" s="13" t="inlineStr">
        <is>
          <t>Painting and Its Special Preservation Activities - Based on Sigiriya Painting</t>
        </is>
      </c>
      <c r="F119" s="13" t="inlineStr">
        <is>
          <t>A. Suganthan</t>
        </is>
      </c>
      <c r="G119" s="13" t="inlineStr">
        <is>
          <t>National Research Symposium, Swami Vipulananda Institute of Aesthetic Studies, Eastern University</t>
        </is>
      </c>
      <c r="H119" s="11" t="inlineStr">
        <is>
          <t>Conference paper</t>
        </is>
      </c>
      <c r="I119" s="11" t="inlineStr">
        <is>
          <t>Tamil</t>
        </is>
      </c>
      <c r="J119" s="13" t="inlineStr">
        <is>
          <t>Rock art / பாறை ஓவியம்</t>
        </is>
      </c>
      <c r="K119" s="13" t="inlineStr">
        <is>
          <t>paintings; பாறை ஓவியம்; Sigiriya</t>
        </is>
      </c>
      <c r="L119" s="11" t="inlineStr">
        <is>
          <t>Yes</t>
        </is>
      </c>
      <c r="M119" s="13" t="n"/>
      <c r="N119" s="14" t="inlineStr">
        <is>
          <t>https://www.his.jfn.ac.lk/index.php/mrs-ajiththa-suganthan/</t>
        </is>
      </c>
    </row>
    <row r="120">
      <c r="A120" s="7" t="inlineStr">
        <is>
          <t>ALL-0119</t>
        </is>
      </c>
      <c r="B120" s="7" t="inlineStr">
        <is>
          <t>Research Papers</t>
        </is>
      </c>
      <c r="C120" s="8" t="inlineStr">
        <is>
          <t>2020</t>
        </is>
      </c>
      <c r="D120" s="7" t="n"/>
      <c r="E120" s="9" t="inlineStr">
        <is>
          <t>The Terracotta Figures that Reveal the Ancient Art History of the Tamil People - Based on Nagapaduwan</t>
        </is>
      </c>
      <c r="F120" s="9" t="inlineStr">
        <is>
          <t>Thulasika Dineshan</t>
        </is>
      </c>
      <c r="G120" s="9" t="inlineStr">
        <is>
          <t>National Research Symposium, Eastern University, Sri Lanka</t>
        </is>
      </c>
      <c r="H120" s="7" t="inlineStr">
        <is>
          <t>Conference paper</t>
        </is>
      </c>
      <c r="I120" s="7" t="inlineStr">
        <is>
          <t>English</t>
        </is>
      </c>
      <c r="J120" s="9" t="inlineStr">
        <is>
          <t>Archaeology / தொல்லியல்</t>
        </is>
      </c>
      <c r="K120" s="9" t="inlineStr">
        <is>
          <t>terracotta; Nagapaduvan; archaeology</t>
        </is>
      </c>
      <c r="L120" s="7" t="inlineStr">
        <is>
          <t>Yes</t>
        </is>
      </c>
      <c r="M120" s="9" t="n"/>
      <c r="N120" s="10" t="inlineStr">
        <is>
          <t>https://www.his.jfn.ac.lk/?p=1706</t>
        </is>
      </c>
    </row>
    <row r="121">
      <c r="A121" s="11" t="inlineStr">
        <is>
          <t>ALL-0120</t>
        </is>
      </c>
      <c r="B121" s="11" t="inlineStr">
        <is>
          <t>Research Papers</t>
        </is>
      </c>
      <c r="C121" s="12" t="inlineStr">
        <is>
          <t>2020</t>
        </is>
      </c>
      <c r="D121" s="11" t="inlineStr">
        <is>
          <t>2020-12-30</t>
        </is>
      </c>
      <c r="E121" s="13" t="inlineStr">
        <is>
          <t>Glass Bead Making Technology in Ancient Sri Lanka</t>
        </is>
      </c>
      <c r="F121" s="13" t="inlineStr">
        <is>
          <t>P. R. A. Buddikasiri, A.K.R. Madhumali</t>
        </is>
      </c>
      <c r="G121" s="13" t="inlineStr">
        <is>
          <t>TRIVALENT ත්‍රිසංයුජ Journal of Archaeology Tourism &amp; Anthropology</t>
        </is>
      </c>
      <c r="H121" s="11" t="inlineStr">
        <is>
          <t>Article</t>
        </is>
      </c>
      <c r="I121" s="11" t="inlineStr">
        <is>
          <t>English</t>
        </is>
      </c>
      <c r="J121" s="13" t="n"/>
      <c r="K121" s="13" t="n"/>
      <c r="L121" s="11" t="inlineStr">
        <is>
          <t>Yes</t>
        </is>
      </c>
      <c r="M121" s="13" t="inlineStr">
        <is>
          <t>OpenAlex query: Kantarodai. Auto-collected 2026-10-14 (openalex); review.</t>
        </is>
      </c>
      <c r="N121" s="14" t="inlineStr">
        <is>
          <t>https://doi.org/10.4038/tjata.v1i2.45</t>
        </is>
      </c>
    </row>
    <row r="122">
      <c r="A122" s="7" t="inlineStr">
        <is>
          <t>ALL-0121</t>
        </is>
      </c>
      <c r="B122" s="7" t="inlineStr">
        <is>
          <t>Research Papers</t>
        </is>
      </c>
      <c r="C122" s="8" t="inlineStr">
        <is>
          <t>2019</t>
        </is>
      </c>
      <c r="D122" s="7" t="n"/>
      <c r="E122" s="9" t="inlineStr">
        <is>
          <t>Identifying the Archaeological Evidence Revealing Hero Stone Worship in Classical Tamil Literature and Thirukkural</t>
        </is>
      </c>
      <c r="F122" s="9" t="inlineStr">
        <is>
          <t>S. Sajitharan</t>
        </is>
      </c>
      <c r="G122" s="9" t="inlineStr">
        <is>
          <t>Thirukkural World Conference, Kuala Lumpur</t>
        </is>
      </c>
      <c r="H122" s="7" t="inlineStr">
        <is>
          <t>Conference paper</t>
        </is>
      </c>
      <c r="I122" s="7" t="inlineStr">
        <is>
          <t>Tamil</t>
        </is>
      </c>
      <c r="J122" s="9" t="inlineStr">
        <is>
          <t>Archaeology / தொல்லியல்; Hero stones / நடுகல்</t>
        </is>
      </c>
      <c r="K122" s="9" t="inlineStr">
        <is>
          <t>நடுகல்; hero stone</t>
        </is>
      </c>
      <c r="L122" s="7" t="inlineStr">
        <is>
          <t>Yes</t>
        </is>
      </c>
      <c r="M122" s="9" t="n"/>
      <c r="N122" s="10" t="inlineStr">
        <is>
          <t>https://www.his.jfn.ac.lk/?p=791</t>
        </is>
      </c>
    </row>
    <row r="123">
      <c r="A123" s="11" t="inlineStr">
        <is>
          <t>ALL-0122</t>
        </is>
      </c>
      <c r="B123" s="11" t="inlineStr">
        <is>
          <t>Research Papers</t>
        </is>
      </c>
      <c r="C123" s="12" t="inlineStr">
        <is>
          <t>2019</t>
        </is>
      </c>
      <c r="D123" s="11" t="n"/>
      <c r="E123" s="13" t="inlineStr">
        <is>
          <t>The Ancestor Worship &amp; the Megalithic Burials - based on Thirukkural</t>
        </is>
      </c>
      <c r="F123" s="13" t="inlineStr">
        <is>
          <t>S. Sajitharan</t>
        </is>
      </c>
      <c r="G123" s="13" t="inlineStr">
        <is>
          <t>Thirukkural World Conference, Kuala Lumpur, pp. 237-245</t>
        </is>
      </c>
      <c r="H123" s="11" t="inlineStr">
        <is>
          <t>Conference paper</t>
        </is>
      </c>
      <c r="I123" s="11" t="inlineStr">
        <is>
          <t>Tamil</t>
        </is>
      </c>
      <c r="J123" s="13" t="inlineStr">
        <is>
          <t>Archaeology / தொல்லியல்</t>
        </is>
      </c>
      <c r="K123" s="13" t="inlineStr">
        <is>
          <t>megalithic; burials</t>
        </is>
      </c>
      <c r="L123" s="11" t="inlineStr">
        <is>
          <t>Yes</t>
        </is>
      </c>
      <c r="M123" s="13" t="n"/>
      <c r="N123" s="14" t="inlineStr">
        <is>
          <t>https://www.his.jfn.ac.lk/?p=791</t>
        </is>
      </c>
    </row>
    <row r="124">
      <c r="A124" s="7" t="inlineStr">
        <is>
          <t>ALL-0123</t>
        </is>
      </c>
      <c r="B124" s="7" t="inlineStr">
        <is>
          <t>Research Papers</t>
        </is>
      </c>
      <c r="C124" s="8" t="inlineStr">
        <is>
          <t>2019</t>
        </is>
      </c>
      <c r="D124" s="7" t="n"/>
      <c r="E124" s="9" t="inlineStr">
        <is>
          <t>The Chola-period Hindu Temples and Culture in the Rule of Sinhala Kings: Based on Polonnaruwa Period</t>
        </is>
      </c>
      <c r="F124" s="9" t="inlineStr">
        <is>
          <t>S. Aniththa</t>
        </is>
      </c>
      <c r="G124" s="9" t="inlineStr">
        <is>
          <t>International Arts Research Symposium, South Eastern University</t>
        </is>
      </c>
      <c r="H124" s="7" t="inlineStr">
        <is>
          <t>Conference paper</t>
        </is>
      </c>
      <c r="I124" s="7" t="inlineStr">
        <is>
          <t>English</t>
        </is>
      </c>
      <c r="J124" s="9" t="n"/>
      <c r="K124" s="9" t="inlineStr">
        <is>
          <t>Chola; temples; Polonnaruwa</t>
        </is>
      </c>
      <c r="L124" s="7" t="inlineStr">
        <is>
          <t>Yes</t>
        </is>
      </c>
      <c r="M124" s="9" t="n"/>
      <c r="N124" s="10" t="inlineStr">
        <is>
          <t>https://www.his.jfn.ac.lk/index.php/__trashed/</t>
        </is>
      </c>
    </row>
    <row r="125">
      <c r="A125" s="11" t="inlineStr">
        <is>
          <t>ALL-0124</t>
        </is>
      </c>
      <c r="B125" s="11" t="inlineStr">
        <is>
          <t>Research Papers</t>
        </is>
      </c>
      <c r="C125" s="12" t="inlineStr">
        <is>
          <t>2019</t>
        </is>
      </c>
      <c r="D125" s="11" t="n"/>
      <c r="E125" s="13" t="inlineStr">
        <is>
          <t>The Creation of the King's Clan in Ilankai - An Analysis Based on Recent Archaeological Findings</t>
        </is>
      </c>
      <c r="F125" s="13" t="inlineStr">
        <is>
          <t>S. Sajitharan</t>
        </is>
      </c>
      <c r="G125" s="13" t="inlineStr">
        <is>
          <t>International Journal of Tamil Language and Literary Studies (IITS, Chennai), pp. 170-179</t>
        </is>
      </c>
      <c r="H125" s="11" t="inlineStr">
        <is>
          <t>Journal article</t>
        </is>
      </c>
      <c r="I125" s="11" t="inlineStr">
        <is>
          <t>Tamil</t>
        </is>
      </c>
      <c r="J125" s="13" t="inlineStr">
        <is>
          <t>Inscriptions / கல்வெட்டு; Archaeology / தொல்லியல்; Coins / நாணயம்</t>
        </is>
      </c>
      <c r="K125" s="13" t="inlineStr">
        <is>
          <t>archaeology; coins; seals</t>
        </is>
      </c>
      <c r="L125" s="11" t="inlineStr">
        <is>
          <t>Yes</t>
        </is>
      </c>
      <c r="M125" s="13" t="n"/>
      <c r="N125" s="14" t="inlineStr">
        <is>
          <t>https://www.his.jfn.ac.lk/?p=791</t>
        </is>
      </c>
    </row>
    <row r="126">
      <c r="A126" s="7" t="inlineStr">
        <is>
          <t>ALL-0125</t>
        </is>
      </c>
      <c r="B126" s="7" t="inlineStr">
        <is>
          <t>Research Papers</t>
        </is>
      </c>
      <c r="C126" s="8" t="inlineStr">
        <is>
          <t>2019</t>
        </is>
      </c>
      <c r="D126" s="7" t="inlineStr">
        <is>
          <t>2019-04-01</t>
        </is>
      </c>
      <c r="E126" s="9" t="inlineStr">
        <is>
          <t>The Antiquity of Jaffna Fort: New Evidence from Post-Disaster Archaeological Investigations in Northern Sri Lanka</t>
        </is>
      </c>
      <c r="F126" s="9" t="inlineStr">
        <is>
          <t>R. Coningham, C. Davis, P. Pushparatnam et al.</t>
        </is>
      </c>
      <c r="G126" s="9" t="inlineStr">
        <is>
          <t>Antiquity (Cambridge University Press)</t>
        </is>
      </c>
      <c r="H126" s="7" t="inlineStr">
        <is>
          <t>Journal article</t>
        </is>
      </c>
      <c r="I126" s="7" t="inlineStr">
        <is>
          <t>English</t>
        </is>
      </c>
      <c r="J126" s="9" t="inlineStr">
        <is>
          <t>Archaeology / தொல்லியல்</t>
        </is>
      </c>
      <c r="K126" s="9" t="inlineStr">
        <is>
          <t>தொல்லியல்; Jaffna Fort; excavation</t>
        </is>
      </c>
      <c r="L126" s="7" t="inlineStr">
        <is>
          <t>Yes</t>
        </is>
      </c>
      <c r="M126" s="9" t="inlineStr">
        <is>
          <t>Authors to verify</t>
        </is>
      </c>
      <c r="N126" s="10" t="inlineStr">
        <is>
          <t>https://www.cambridge.org/core/services/aop-cambridge-core/content/view/C55CDA3934CC5C18EE40B903734C7215/S0003598X19000309a.pdf/the-antiquity-of-jaffna-fort-new-evidence-from-post-disaster-archaeological-investigations-in-northern-sri-lanka.pdf</t>
        </is>
      </c>
    </row>
    <row r="127">
      <c r="A127" s="11" t="inlineStr">
        <is>
          <t>ALL-0126</t>
        </is>
      </c>
      <c r="B127" s="11" t="inlineStr">
        <is>
          <t>Research Papers</t>
        </is>
      </c>
      <c r="C127" s="12" t="inlineStr">
        <is>
          <t>2019</t>
        </is>
      </c>
      <c r="D127" s="11" t="inlineStr">
        <is>
          <t>2019-05-29</t>
        </is>
      </c>
      <c r="E127" s="13" t="inlineStr">
        <is>
          <t>Divine Kingship in Medieval Sri Lanka: Dynamics in Traditions of Power and Virtue in South Asia</t>
        </is>
      </c>
      <c r="F127" s="13" t="inlineStr">
        <is>
          <t>Stephen C. Berkwitz</t>
        </is>
      </c>
      <c r="G127" s="13" t="inlineStr">
        <is>
          <t>Entangled Religions</t>
        </is>
      </c>
      <c r="H127" s="11" t="inlineStr">
        <is>
          <t>Article</t>
        </is>
      </c>
      <c r="I127" s="11" t="inlineStr">
        <is>
          <t>English</t>
        </is>
      </c>
      <c r="J127" s="13" t="n"/>
      <c r="K127" s="13" t="n"/>
      <c r="L127" s="11" t="inlineStr">
        <is>
          <t>Yes</t>
        </is>
      </c>
      <c r="M127" s="13" t="inlineStr">
        <is>
          <t>OpenAlex query: hero stone Sri Lanka. Auto-collected 2026-10-14 (openalex); review.</t>
        </is>
      </c>
      <c r="N127" s="14" t="inlineStr">
        <is>
          <t>https://doi.org/10.46586/er.8.2019.8312</t>
        </is>
      </c>
    </row>
    <row r="128">
      <c r="A128" s="7" t="inlineStr">
        <is>
          <t>ALL-0127</t>
        </is>
      </c>
      <c r="B128" s="7" t="inlineStr">
        <is>
          <t>Research Papers</t>
        </is>
      </c>
      <c r="C128" s="8" t="inlineStr">
        <is>
          <t>2019</t>
        </is>
      </c>
      <c r="D128" s="7" t="inlineStr">
        <is>
          <t>2019-06-01</t>
        </is>
      </c>
      <c r="E128" s="9" t="inlineStr">
        <is>
          <t>Evolution of the dry zone water harvesting and management systems in Sri Lanka during the Anuradhapura Kingdom; a study based on ancient chronicles and lithic inscriptions</t>
        </is>
      </c>
      <c r="F128" s="9" t="inlineStr">
        <is>
          <t>Nuwan Abeywardana, H.M.T.G.A. Pitawala, Brigitta Schütt, Wiebke Bebermeier</t>
        </is>
      </c>
      <c r="G128" s="9" t="inlineStr">
        <is>
          <t>Water History</t>
        </is>
      </c>
      <c r="H128" s="7" t="inlineStr">
        <is>
          <t>Article</t>
        </is>
      </c>
      <c r="I128" s="7" t="inlineStr">
        <is>
          <t>English</t>
        </is>
      </c>
      <c r="J128" s="9" t="inlineStr">
        <is>
          <t>Inscriptions / கல்வெட்டு</t>
        </is>
      </c>
      <c r="K128" s="9" t="inlineStr">
        <is>
          <t>inscription; inscriptions</t>
        </is>
      </c>
      <c r="L128" s="7" t="inlineStr">
        <is>
          <t>Yes</t>
        </is>
      </c>
      <c r="M128" s="9" t="inlineStr">
        <is>
          <t>OpenAlex query: Tamil inscription Sri Lanka. Auto-collected 2026-10-14 (openalex); review.</t>
        </is>
      </c>
      <c r="N128" s="10" t="inlineStr">
        <is>
          <t>https://doi.org/10.1007/s12685-019-00230-7</t>
        </is>
      </c>
    </row>
    <row r="129">
      <c r="A129" s="11" t="inlineStr">
        <is>
          <t>ALL-0128</t>
        </is>
      </c>
      <c r="B129" s="11" t="inlineStr">
        <is>
          <t>Research Papers</t>
        </is>
      </c>
      <c r="C129" s="12" t="inlineStr">
        <is>
          <t>2019</t>
        </is>
      </c>
      <c r="D129" s="11" t="inlineStr">
        <is>
          <t>2019-09-19</t>
        </is>
      </c>
      <c r="E129" s="13" t="inlineStr">
        <is>
          <t>Contested Histories, Multi-Religious Space and Conflict: A Case Study of Kantarodai in Northern Sri Lanka</t>
        </is>
      </c>
      <c r="F129" s="13" t="inlineStr">
        <is>
          <t>Elizabeth J. Harris</t>
        </is>
      </c>
      <c r="G129" s="13" t="inlineStr">
        <is>
          <t>Religions</t>
        </is>
      </c>
      <c r="H129" s="11" t="inlineStr">
        <is>
          <t>Journal article</t>
        </is>
      </c>
      <c r="I129" s="11" t="inlineStr">
        <is>
          <t>English</t>
        </is>
      </c>
      <c r="J129" s="13" t="n"/>
      <c r="K129" s="13" t="n"/>
      <c r="L129" s="11" t="inlineStr">
        <is>
          <t>Yes</t>
        </is>
      </c>
      <c r="M129" s="13" t="inlineStr">
        <is>
          <t>Crossref query: Kantarodai. Auto-collected 2026-10-14 (crossref); review.</t>
        </is>
      </c>
      <c r="N129" s="14" t="inlineStr">
        <is>
          <t>https://doi.org/10.3390/rel10090537</t>
        </is>
      </c>
    </row>
    <row r="130">
      <c r="A130" s="7" t="inlineStr">
        <is>
          <t>ALL-0129</t>
        </is>
      </c>
      <c r="B130" s="7" t="inlineStr">
        <is>
          <t>Research Papers</t>
        </is>
      </c>
      <c r="C130" s="8" t="inlineStr">
        <is>
          <t>2019</t>
        </is>
      </c>
      <c r="D130" s="7" t="inlineStr">
        <is>
          <t>2019-11-25</t>
        </is>
      </c>
      <c r="E130" s="9" t="inlineStr">
        <is>
          <t>Recently Discovered Shipwrecks in Sri Lankan Waters</t>
        </is>
      </c>
      <c r="F130" s="9" t="inlineStr">
        <is>
          <t>Rasika Muthucumarana</t>
        </is>
      </c>
      <c r="G130" s="9" t="inlineStr">
        <is>
          <t>Current Science</t>
        </is>
      </c>
      <c r="H130" s="7" t="inlineStr">
        <is>
          <t>Article</t>
        </is>
      </c>
      <c r="I130" s="7" t="inlineStr">
        <is>
          <t>English</t>
        </is>
      </c>
      <c r="J130" s="9" t="n"/>
      <c r="K130" s="9" t="n"/>
      <c r="L130" s="7" t="inlineStr">
        <is>
          <t>Yes</t>
        </is>
      </c>
      <c r="M130" s="9" t="inlineStr">
        <is>
          <t>OpenAlex query: rock art Sri Lanka. Auto-collected 2026-10-14 (openalex); review.</t>
        </is>
      </c>
      <c r="N130" s="10" t="inlineStr">
        <is>
          <t>https://doi.org/10.18520/cs/v117/i10/1664-1672</t>
        </is>
      </c>
    </row>
    <row r="131">
      <c r="A131" s="11" t="inlineStr">
        <is>
          <t>ALL-0130</t>
        </is>
      </c>
      <c r="B131" s="11" t="inlineStr">
        <is>
          <t>Research Papers</t>
        </is>
      </c>
      <c r="C131" s="12" t="inlineStr">
        <is>
          <t>2018</t>
        </is>
      </c>
      <c r="D131" s="11" t="n"/>
      <c r="E131" s="13" t="inlineStr">
        <is>
          <t>An Archaeological Study of Prehistoric Paintings Found in Veherayaya</t>
        </is>
      </c>
      <c r="F131" s="13" t="n"/>
      <c r="G131" s="13" t="inlineStr">
        <is>
          <t>ICHSS 2018, University of Peradeniya, pp. 291-293</t>
        </is>
      </c>
      <c r="H131" s="11" t="inlineStr">
        <is>
          <t>Conference paper</t>
        </is>
      </c>
      <c r="I131" s="11" t="inlineStr">
        <is>
          <t>English</t>
        </is>
      </c>
      <c r="J131" s="13" t="inlineStr">
        <is>
          <t>Archaeology / தொல்லியல்; Rock art / பாறை ஓவியம்</t>
        </is>
      </c>
      <c r="K131" s="13" t="inlineStr">
        <is>
          <t>பாறை ஓவியம்; rock paintings; prehistoric</t>
        </is>
      </c>
      <c r="L131" s="11" t="inlineStr">
        <is>
          <t>Yes</t>
        </is>
      </c>
      <c r="M131" s="13" t="inlineStr">
        <is>
          <t>Author to verify</t>
        </is>
      </c>
      <c r="N131" s="14" t="inlineStr">
        <is>
          <t>https://ir.lib.pdn.ac.lk/handle/20.500.14444/5038</t>
        </is>
      </c>
    </row>
    <row r="132">
      <c r="A132" s="7" t="inlineStr">
        <is>
          <t>ALL-0131</t>
        </is>
      </c>
      <c r="B132" s="7" t="inlineStr">
        <is>
          <t>Research Papers</t>
        </is>
      </c>
      <c r="C132" s="8" t="inlineStr">
        <is>
          <t>2018</t>
        </is>
      </c>
      <c r="D132" s="7" t="n"/>
      <c r="E132" s="9" t="inlineStr">
        <is>
          <t>Hinduism in the Sinhala Monarchy of the Polonnaruwa Period</t>
        </is>
      </c>
      <c r="F132" s="9" t="inlineStr">
        <is>
          <t>S. Aniththa</t>
        </is>
      </c>
      <c r="G132" s="9" t="inlineStr">
        <is>
          <t>International Seminar, World Tamil Research Institute</t>
        </is>
      </c>
      <c r="H132" s="7" t="inlineStr">
        <is>
          <t>Conference paper</t>
        </is>
      </c>
      <c r="I132" s="7" t="inlineStr">
        <is>
          <t>Tamil</t>
        </is>
      </c>
      <c r="J132" s="9" t="inlineStr">
        <is>
          <t>Inscriptions / கல்வெட்டு</t>
        </is>
      </c>
      <c r="K132" s="9" t="inlineStr">
        <is>
          <t>Polonnaruwa; inscriptions</t>
        </is>
      </c>
      <c r="L132" s="7" t="inlineStr">
        <is>
          <t>Yes</t>
        </is>
      </c>
      <c r="M132" s="9" t="n"/>
      <c r="N132" s="10" t="inlineStr">
        <is>
          <t>https://www.his.jfn.ac.lk/index.php/__trashed/</t>
        </is>
      </c>
    </row>
    <row r="133">
      <c r="A133" s="11" t="inlineStr">
        <is>
          <t>ALL-0132</t>
        </is>
      </c>
      <c r="B133" s="11" t="inlineStr">
        <is>
          <t>Research Papers</t>
        </is>
      </c>
      <c r="C133" s="12" t="inlineStr">
        <is>
          <t>2018</t>
        </is>
      </c>
      <c r="D133" s="11" t="n"/>
      <c r="E133" s="13" t="inlineStr">
        <is>
          <t>Naguleshwaram Temple - Myths and Historical Facts</t>
        </is>
      </c>
      <c r="F133" s="13" t="inlineStr">
        <is>
          <t>S. Sajitharan</t>
        </is>
      </c>
      <c r="G133" s="13" t="inlineStr">
        <is>
          <t>Palkalai, Faculty of Arts, University of Peradeniya</t>
        </is>
      </c>
      <c r="H133" s="11" t="inlineStr">
        <is>
          <t>Journal article</t>
        </is>
      </c>
      <c r="I133" s="11" t="inlineStr">
        <is>
          <t>Tamil</t>
        </is>
      </c>
      <c r="J133" s="13" t="n"/>
      <c r="K133" s="13" t="inlineStr">
        <is>
          <t>temple; history</t>
        </is>
      </c>
      <c r="L133" s="11" t="inlineStr">
        <is>
          <t>Yes</t>
        </is>
      </c>
      <c r="M133" s="13" t="n"/>
      <c r="N133" s="14" t="inlineStr">
        <is>
          <t>https://www.his.jfn.ac.lk/?p=791</t>
        </is>
      </c>
    </row>
    <row r="134">
      <c r="A134" s="7" t="inlineStr">
        <is>
          <t>ALL-0133</t>
        </is>
      </c>
      <c r="B134" s="7" t="inlineStr">
        <is>
          <t>Research Papers</t>
        </is>
      </c>
      <c r="C134" s="8" t="inlineStr">
        <is>
          <t>2018</t>
        </is>
      </c>
      <c r="D134" s="7" t="n"/>
      <c r="E134" s="9" t="inlineStr">
        <is>
          <t>South Indian Influence in Jaffna Kingdom</t>
        </is>
      </c>
      <c r="F134" s="9" t="inlineStr">
        <is>
          <t>S. Sajitharan</t>
        </is>
      </c>
      <c r="G134" s="9" t="inlineStr">
        <is>
          <t>International Institute of Tamil Studies, Chennai</t>
        </is>
      </c>
      <c r="H134" s="7" t="inlineStr">
        <is>
          <t>Conference paper</t>
        </is>
      </c>
      <c r="I134" s="7" t="inlineStr">
        <is>
          <t>Tamil</t>
        </is>
      </c>
      <c r="J134" s="9" t="n"/>
      <c r="K134" s="9" t="inlineStr">
        <is>
          <t>Jaffna kingdom</t>
        </is>
      </c>
      <c r="L134" s="7" t="inlineStr">
        <is>
          <t>Yes</t>
        </is>
      </c>
      <c r="M134" s="9" t="n"/>
      <c r="N134" s="10" t="inlineStr">
        <is>
          <t>https://www.his.jfn.ac.lk/?p=791</t>
        </is>
      </c>
    </row>
    <row r="135">
      <c r="A135" s="11" t="inlineStr">
        <is>
          <t>ALL-0134</t>
        </is>
      </c>
      <c r="B135" s="11" t="inlineStr">
        <is>
          <t>Research Papers</t>
        </is>
      </c>
      <c r="C135" s="12" t="inlineStr">
        <is>
          <t>2018</t>
        </is>
      </c>
      <c r="D135" s="11" t="n"/>
      <c r="E135" s="13" t="inlineStr">
        <is>
          <t>The Challenges Faced in Protecting and Preserving Heritage Monuments: A Study Based on Jaffna</t>
        </is>
      </c>
      <c r="F135" s="13" t="inlineStr">
        <is>
          <t>S. Sajitharan</t>
        </is>
      </c>
      <c r="G135" s="13" t="inlineStr">
        <is>
          <t>CINTANAI, Vol. 2, pp. 63-77</t>
        </is>
      </c>
      <c r="H135" s="11" t="inlineStr">
        <is>
          <t>Journal article</t>
        </is>
      </c>
      <c r="I135" s="11" t="inlineStr">
        <is>
          <t>Tamil</t>
        </is>
      </c>
      <c r="J135" s="13" t="inlineStr">
        <is>
          <t>Archaeology / தொல்லியல்</t>
        </is>
      </c>
      <c r="K135" s="13" t="inlineStr">
        <is>
          <t>heritage; monuments</t>
        </is>
      </c>
      <c r="L135" s="11" t="inlineStr">
        <is>
          <t>Yes</t>
        </is>
      </c>
      <c r="M135" s="13" t="n"/>
      <c r="N135" s="14" t="inlineStr">
        <is>
          <t>https://www.his.jfn.ac.lk/?p=791</t>
        </is>
      </c>
    </row>
    <row r="136">
      <c r="A136" s="7" t="inlineStr">
        <is>
          <t>ALL-0135</t>
        </is>
      </c>
      <c r="B136" s="7" t="inlineStr">
        <is>
          <t>Research Papers</t>
        </is>
      </c>
      <c r="C136" s="8" t="inlineStr">
        <is>
          <t>2018</t>
        </is>
      </c>
      <c r="D136" s="7" t="n"/>
      <c r="E136" s="9" t="inlineStr">
        <is>
          <t>The Formation Period of Northern Sri Lanka - An Archaeological Survey Based on Rivers &amp; Ponds</t>
        </is>
      </c>
      <c r="F136" s="9" t="inlineStr">
        <is>
          <t>S. Sajitharan</t>
        </is>
      </c>
      <c r="G136" s="9" t="inlineStr">
        <is>
          <t>Sankara Publications, Kancheepuram</t>
        </is>
      </c>
      <c r="H136" s="7" t="inlineStr">
        <is>
          <t>Book chapter</t>
        </is>
      </c>
      <c r="I136" s="7" t="inlineStr">
        <is>
          <t>Tamil</t>
        </is>
      </c>
      <c r="J136" s="9" t="inlineStr">
        <is>
          <t>Archaeology / தொல்லியல்</t>
        </is>
      </c>
      <c r="K136" s="9" t="inlineStr">
        <is>
          <t>archaeological survey</t>
        </is>
      </c>
      <c r="L136" s="7" t="inlineStr">
        <is>
          <t>Yes</t>
        </is>
      </c>
      <c r="M136" s="9" t="n"/>
      <c r="N136" s="10" t="inlineStr">
        <is>
          <t>https://www.his.jfn.ac.lk/?p=791</t>
        </is>
      </c>
    </row>
    <row r="137">
      <c r="A137" s="11" t="inlineStr">
        <is>
          <t>ALL-0136</t>
        </is>
      </c>
      <c r="B137" s="11" t="inlineStr">
        <is>
          <t>Research Papers</t>
        </is>
      </c>
      <c r="C137" s="12" t="inlineStr">
        <is>
          <t>2018</t>
        </is>
      </c>
      <c r="D137" s="11" t="inlineStr">
        <is>
          <t>2018-01-01</t>
        </is>
      </c>
      <c r="E137" s="13" t="inlineStr">
        <is>
          <t>Out of Context, in Association: Human Remains Salvaged from the Mini-athiliya Shell Midden, Sri Lanka</t>
        </is>
      </c>
      <c r="F137" s="13" t="inlineStr">
        <is>
          <t>Samanti Kulatilake, Roshan Peiris, Halawathage Nimal Perera, H. Jude Perera</t>
        </is>
      </c>
      <c r="G137" s="13" t="inlineStr">
        <is>
          <t>Asian perspectives</t>
        </is>
      </c>
      <c r="H137" s="11" t="inlineStr">
        <is>
          <t>Article</t>
        </is>
      </c>
      <c r="I137" s="11" t="inlineStr">
        <is>
          <t>English</t>
        </is>
      </c>
      <c r="J137" s="13" t="n"/>
      <c r="K137" s="13" t="n"/>
      <c r="L137" s="11" t="inlineStr">
        <is>
          <t>Yes</t>
        </is>
      </c>
      <c r="M137" s="13" t="inlineStr">
        <is>
          <t>OpenAlex query: Sri Lanka epigraphy Tamil. Auto-collected 2026-10-14 (openalex); review.</t>
        </is>
      </c>
      <c r="N137" s="14" t="inlineStr">
        <is>
          <t>https://doi.org/10.1353/asi.2018.0002</t>
        </is>
      </c>
    </row>
    <row r="138">
      <c r="A138" s="7" t="inlineStr">
        <is>
          <t>ALL-0137</t>
        </is>
      </c>
      <c r="B138" s="7" t="inlineStr">
        <is>
          <t>Research Papers</t>
        </is>
      </c>
      <c r="C138" s="8" t="inlineStr">
        <is>
          <t>2018</t>
        </is>
      </c>
      <c r="D138" s="7" t="inlineStr">
        <is>
          <t>2018-02-26</t>
        </is>
      </c>
      <c r="E138" s="9" t="inlineStr">
        <is>
          <t>Knapped Core from Jaffna Peninsula, Sri Lanka</t>
        </is>
      </c>
      <c r="F138" s="9" t="inlineStr">
        <is>
          <t>M Robinson</t>
        </is>
      </c>
      <c r="G138" s="9" t="inlineStr">
        <is>
          <t>Zenodo (CERN European Organization for Nuclear Research)</t>
        </is>
      </c>
      <c r="H138" s="7" t="inlineStr">
        <is>
          <t>Dataset</t>
        </is>
      </c>
      <c r="I138" s="7" t="inlineStr">
        <is>
          <t>English</t>
        </is>
      </c>
      <c r="J138" s="9" t="n"/>
      <c r="K138" s="9" t="n"/>
      <c r="L138" s="7" t="inlineStr">
        <is>
          <t>Yes</t>
        </is>
      </c>
      <c r="M138" s="9" t="inlineStr">
        <is>
          <t>OpenAlex query: Jaffna archaeology. Auto-collected 2026-10-14 (openalex); review.</t>
        </is>
      </c>
      <c r="N138" s="10" t="inlineStr">
        <is>
          <t>https://doi.org/10.5281/zenodo.10270558</t>
        </is>
      </c>
    </row>
    <row r="139">
      <c r="A139" s="11" t="inlineStr">
        <is>
          <t>ALL-0138</t>
        </is>
      </c>
      <c r="B139" s="11" t="inlineStr">
        <is>
          <t>Research Papers</t>
        </is>
      </c>
      <c r="C139" s="12" t="inlineStr">
        <is>
          <t>2018</t>
        </is>
      </c>
      <c r="D139" s="11" t="inlineStr">
        <is>
          <t>2018-08-16</t>
        </is>
      </c>
      <c r="E139" s="13" t="inlineStr">
        <is>
          <t>Jhaya and Bariya: A Case in the Early BrÁhmÍ Inscriptions of Sri Lanka</t>
        </is>
      </c>
      <c r="F139" s="13" t="inlineStr">
        <is>
          <t>Raj Somadeva, Laleendra Amarasinghe, Anusha Wanninayake, Dinesh Devage</t>
        </is>
      </c>
      <c r="G139" s="13" t="inlineStr">
        <is>
          <t>Vidyodaya Journal of Humanities and Social Sciences</t>
        </is>
      </c>
      <c r="H139" s="11" t="inlineStr">
        <is>
          <t>Article</t>
        </is>
      </c>
      <c r="I139" s="11" t="inlineStr">
        <is>
          <t>English</t>
        </is>
      </c>
      <c r="J139" s="13" t="inlineStr">
        <is>
          <t>Inscriptions / கல்வெட்டு</t>
        </is>
      </c>
      <c r="K139" s="13" t="inlineStr">
        <is>
          <t>inscription; inscriptions</t>
        </is>
      </c>
      <c r="L139" s="11" t="inlineStr">
        <is>
          <t>Yes</t>
        </is>
      </c>
      <c r="M139" s="13" t="inlineStr">
        <is>
          <t>OpenAlex query: rock art Sri Lanka. Auto-collected 2026-10-14 (openalex); review.</t>
        </is>
      </c>
      <c r="N139" s="14" t="inlineStr">
        <is>
          <t>https://doi.org/10.31357/fhss/vjhss.v04i01.3493</t>
        </is>
      </c>
    </row>
    <row r="140">
      <c r="A140" s="7" t="inlineStr">
        <is>
          <t>ALL-0139</t>
        </is>
      </c>
      <c r="B140" s="7" t="inlineStr">
        <is>
          <t>Research Papers</t>
        </is>
      </c>
      <c r="C140" s="8" t="inlineStr">
        <is>
          <t>2018</t>
        </is>
      </c>
      <c r="D140" s="7" t="inlineStr">
        <is>
          <t>2018-11</t>
        </is>
      </c>
      <c r="E140" s="9" t="inlineStr">
        <is>
          <t>Revisiting the Punch-marked Coin Finding Places in Sri Lanka</t>
        </is>
      </c>
      <c r="F140" s="9" t="inlineStr">
        <is>
          <t>K. W. C. Tharangani</t>
        </is>
      </c>
      <c r="G140" s="9" t="inlineStr">
        <is>
          <t>ICHSS 2018, University of Peradeniya, pp. 301-308</t>
        </is>
      </c>
      <c r="H140" s="7" t="inlineStr">
        <is>
          <t>Conference paper</t>
        </is>
      </c>
      <c r="I140" s="7" t="inlineStr">
        <is>
          <t>English</t>
        </is>
      </c>
      <c r="J140" s="9" t="inlineStr">
        <is>
          <t>Coins / நாணயம்</t>
        </is>
      </c>
      <c r="K140" s="9" t="inlineStr">
        <is>
          <t>coins; punch-marked</t>
        </is>
      </c>
      <c r="L140" s="7" t="inlineStr">
        <is>
          <t>Yes</t>
        </is>
      </c>
      <c r="M140" s="9" t="n"/>
      <c r="N140" s="10" t="inlineStr">
        <is>
          <t>https://ir.lib.pdn.ac.lk/items/fe66ad09-6272-469c-a6db-69c14662bb7f</t>
        </is>
      </c>
    </row>
    <row r="141">
      <c r="A141" s="11" t="inlineStr">
        <is>
          <t>ALL-0140</t>
        </is>
      </c>
      <c r="B141" s="11" t="inlineStr">
        <is>
          <t>Research Papers</t>
        </is>
      </c>
      <c r="C141" s="12" t="inlineStr">
        <is>
          <t>2018</t>
        </is>
      </c>
      <c r="D141" s="11" t="inlineStr">
        <is>
          <t>2018-11-27</t>
        </is>
      </c>
      <c r="E141" s="13" t="inlineStr">
        <is>
          <t>Ancient Water Management and Governance in the Dry Zone of Sri Lanka Until Abandonment, and the Influence of Colonial Politics during Reclamation</t>
        </is>
      </c>
      <c r="F141" s="13" t="inlineStr">
        <is>
          <t>Nuwan Abeywardana, Wiebke Bebermeier, Brigitta Schütt</t>
        </is>
      </c>
      <c r="G141" s="13" t="inlineStr">
        <is>
          <t>Water</t>
        </is>
      </c>
      <c r="H141" s="11" t="inlineStr">
        <is>
          <t>Article</t>
        </is>
      </c>
      <c r="I141" s="11" t="inlineStr">
        <is>
          <t>English</t>
        </is>
      </c>
      <c r="J141" s="13" t="n"/>
      <c r="K141" s="13" t="n"/>
      <c r="L141" s="11" t="inlineStr">
        <is>
          <t>Yes</t>
        </is>
      </c>
      <c r="M141" s="13" t="inlineStr">
        <is>
          <t>OpenAlex query: Tamil Brahmi Sri Lanka. Auto-collected 2026-10-14 (openalex); review.</t>
        </is>
      </c>
      <c r="N141" s="14" t="inlineStr">
        <is>
          <t>https://doi.org/10.3390/w10121746</t>
        </is>
      </c>
    </row>
    <row r="142">
      <c r="A142" s="7" t="inlineStr">
        <is>
          <t>ALL-0141</t>
        </is>
      </c>
      <c r="B142" s="7" t="inlineStr">
        <is>
          <t>Research Papers</t>
        </is>
      </c>
      <c r="C142" s="8" t="inlineStr">
        <is>
          <t>2018</t>
        </is>
      </c>
      <c r="D142" s="7" t="inlineStr">
        <is>
          <t>2018-12-17</t>
        </is>
      </c>
      <c r="E142" s="9" t="inlineStr">
        <is>
          <t>வட இலங்கையின் தொல்லியல் மரபுரிமை சின்னங்களும், அவற்றின் முகாமைத்துவமும் (யாழ் குடாநாட்டினை அடிப்படையாகக் கொண்ட ஆய்வு)</t>
        </is>
      </c>
      <c r="F142" s="9" t="inlineStr">
        <is>
          <t>S. Sivachchelvy</t>
        </is>
      </c>
      <c r="G142" s="9" t="inlineStr">
        <is>
          <t>8th International Symposium 2018, South Eastern University of Sri Lanka, pp. 527-536 (ISBN 978-955-627-141-6)</t>
        </is>
      </c>
      <c r="H142" s="7" t="inlineStr">
        <is>
          <t>Conference paper</t>
        </is>
      </c>
      <c r="I142" s="7" t="inlineStr">
        <is>
          <t>Tamil</t>
        </is>
      </c>
      <c r="J142" s="9" t="inlineStr">
        <is>
          <t>Archaeology / தொல்லியல்</t>
        </is>
      </c>
      <c r="K142" s="9" t="inlineStr">
        <is>
          <t>தொல்லியல்; heritage management</t>
        </is>
      </c>
      <c r="L142" s="7" t="inlineStr">
        <is>
          <t>Yes</t>
        </is>
      </c>
      <c r="M142" s="9" t="inlineStr">
        <is>
          <t>Year/author to verify</t>
        </is>
      </c>
      <c r="N142" s="10" t="inlineStr">
        <is>
          <t>https://dspace.lib.seu.ac.lk/items/d9c75f55-5065-4c9d-9c54-98ec1717f8d1</t>
        </is>
      </c>
    </row>
    <row r="143">
      <c r="A143" s="11" t="inlineStr">
        <is>
          <t>ALL-0142</t>
        </is>
      </c>
      <c r="B143" s="11" t="inlineStr">
        <is>
          <t>Research Papers</t>
        </is>
      </c>
      <c r="C143" s="12" t="inlineStr">
        <is>
          <t>2018</t>
        </is>
      </c>
      <c r="D143" s="11" t="inlineStr">
        <is>
          <t>2018-12-22</t>
        </is>
      </c>
      <c r="E143" s="13" t="inlineStr">
        <is>
          <t>Corporate Bodies in Early South Asian Buddhism: Some Relics and Their Sponsors According to Epigraphy</t>
        </is>
      </c>
      <c r="F143" s="13" t="inlineStr">
        <is>
          <t>Matthew D. Milligan</t>
        </is>
      </c>
      <c r="G143" s="13" t="inlineStr">
        <is>
          <t>Religions</t>
        </is>
      </c>
      <c r="H143" s="11" t="inlineStr">
        <is>
          <t>Article</t>
        </is>
      </c>
      <c r="I143" s="11" t="inlineStr">
        <is>
          <t>English</t>
        </is>
      </c>
      <c r="J143" s="13" t="inlineStr">
        <is>
          <t>Inscriptions / கல்வெட்டு</t>
        </is>
      </c>
      <c r="K143" s="13" t="inlineStr">
        <is>
          <t>epigraphy</t>
        </is>
      </c>
      <c r="L143" s="11" t="inlineStr">
        <is>
          <t>Yes</t>
        </is>
      </c>
      <c r="M143" s="13" t="inlineStr">
        <is>
          <t>OpenAlex query: Sri Lanka epigraphy Tamil. Auto-collected 2026-10-14 (openalex); review.</t>
        </is>
      </c>
      <c r="N143" s="14" t="inlineStr">
        <is>
          <t>https://doi.org/10.3390/rel10010004</t>
        </is>
      </c>
    </row>
    <row r="144">
      <c r="A144" s="7" t="inlineStr">
        <is>
          <t>ALL-0143</t>
        </is>
      </c>
      <c r="B144" s="7" t="inlineStr">
        <is>
          <t>Research Papers</t>
        </is>
      </c>
      <c r="C144" s="8" t="inlineStr">
        <is>
          <t>2017</t>
        </is>
      </c>
      <c r="D144" s="7" t="n"/>
      <c r="E144" s="9" t="inlineStr">
        <is>
          <t>God Shiva in the Inscriptions of Cholas Found in Sri Lanka</t>
        </is>
      </c>
      <c r="F144" s="9" t="inlineStr">
        <is>
          <t>S. Sajitharan</t>
        </is>
      </c>
      <c r="G144" s="9" t="inlineStr">
        <is>
          <t>Second International Saiva Conference, University of Jaffna</t>
        </is>
      </c>
      <c r="H144" s="7" t="inlineStr">
        <is>
          <t>Conference paper</t>
        </is>
      </c>
      <c r="I144" s="7" t="inlineStr">
        <is>
          <t>Tamil</t>
        </is>
      </c>
      <c r="J144" s="9" t="inlineStr">
        <is>
          <t>Inscriptions / கல்வெட்டு</t>
        </is>
      </c>
      <c r="K144" s="9" t="inlineStr">
        <is>
          <t>Chola inscriptions; கல்வெட்டு</t>
        </is>
      </c>
      <c r="L144" s="7" t="inlineStr">
        <is>
          <t>Yes</t>
        </is>
      </c>
      <c r="M144" s="9" t="n"/>
      <c r="N144" s="10" t="inlineStr">
        <is>
          <t>https://www.his.jfn.ac.lk/?p=791</t>
        </is>
      </c>
    </row>
    <row r="145">
      <c r="A145" s="11" t="inlineStr">
        <is>
          <t>ALL-0144</t>
        </is>
      </c>
      <c r="B145" s="11" t="inlineStr">
        <is>
          <t>Research Papers</t>
        </is>
      </c>
      <c r="C145" s="12" t="inlineStr">
        <is>
          <t>2017</t>
        </is>
      </c>
      <c r="D145" s="11" t="n"/>
      <c r="E145" s="13" t="inlineStr">
        <is>
          <t>Role and Significance in Preserving Manuscripts of Siddha Medicine Found during the Jaffna Kingdom Period</t>
        </is>
      </c>
      <c r="F145" s="13" t="inlineStr">
        <is>
          <t>A. Suganthan</t>
        </is>
      </c>
      <c r="G145" s="13" t="inlineStr">
        <is>
          <t>National Archaeological Symposium</t>
        </is>
      </c>
      <c r="H145" s="11" t="inlineStr">
        <is>
          <t>Conference paper</t>
        </is>
      </c>
      <c r="I145" s="11" t="inlineStr">
        <is>
          <t>English</t>
        </is>
      </c>
      <c r="J145" s="13" t="n"/>
      <c r="K145" s="13" t="inlineStr">
        <is>
          <t>manuscripts; Jaffna kingdom</t>
        </is>
      </c>
      <c r="L145" s="11" t="inlineStr">
        <is>
          <t>Yes</t>
        </is>
      </c>
      <c r="M145" s="13" t="n"/>
      <c r="N145" s="14" t="inlineStr">
        <is>
          <t>https://www.his.jfn.ac.lk/index.php/mrs-ajiththa-suganthan/</t>
        </is>
      </c>
    </row>
    <row r="146">
      <c r="A146" s="7" t="inlineStr">
        <is>
          <t>ALL-0145</t>
        </is>
      </c>
      <c r="B146" s="7" t="inlineStr">
        <is>
          <t>Research Papers</t>
        </is>
      </c>
      <c r="C146" s="8" t="inlineStr">
        <is>
          <t>2017</t>
        </is>
      </c>
      <c r="D146" s="7" t="n"/>
      <c r="E146" s="9" t="inlineStr">
        <is>
          <t>The Megalithic Culture and the Classical Tamil Literatures: Comparative Research</t>
        </is>
      </c>
      <c r="F146" s="9" t="inlineStr">
        <is>
          <t>S. Sajitharan</t>
        </is>
      </c>
      <c r="G146" s="9" t="inlineStr">
        <is>
          <t>CINTANAI, Vol. 3, pp. 37-51</t>
        </is>
      </c>
      <c r="H146" s="7" t="inlineStr">
        <is>
          <t>Journal article</t>
        </is>
      </c>
      <c r="I146" s="7" t="inlineStr">
        <is>
          <t>Tamil</t>
        </is>
      </c>
      <c r="J146" s="9" t="inlineStr">
        <is>
          <t>Archaeology / தொல்லியல்</t>
        </is>
      </c>
      <c r="K146" s="9" t="inlineStr">
        <is>
          <t>megalithic</t>
        </is>
      </c>
      <c r="L146" s="7" t="inlineStr">
        <is>
          <t>Yes</t>
        </is>
      </c>
      <c r="M146" s="9" t="n"/>
      <c r="N146" s="10" t="inlineStr">
        <is>
          <t>https://www.his.jfn.ac.lk/?p=791</t>
        </is>
      </c>
    </row>
    <row r="147">
      <c r="A147" s="11" t="inlineStr">
        <is>
          <t>ALL-0146</t>
        </is>
      </c>
      <c r="B147" s="11" t="inlineStr">
        <is>
          <t>Research Papers</t>
        </is>
      </c>
      <c r="C147" s="12" t="inlineStr">
        <is>
          <t>2017</t>
        </is>
      </c>
      <c r="D147" s="11" t="n"/>
      <c r="E147" s="13" t="inlineStr">
        <is>
          <t>பெருங்கற்காலப் பண்பாடும் பழந் தமிழ் இலக்கியங்களும் - ஓர் ஒப்பீட்டு ஆய்வு</t>
        </is>
      </c>
      <c r="F147" s="13" t="inlineStr">
        <is>
          <t>S. Sajitharan</t>
        </is>
      </c>
      <c r="G147" s="13" t="inlineStr">
        <is>
          <t>CINTANAI / University of Jaffna Research Repository</t>
        </is>
      </c>
      <c r="H147" s="11" t="inlineStr">
        <is>
          <t>Journal article</t>
        </is>
      </c>
      <c r="I147" s="11" t="inlineStr">
        <is>
          <t>Tamil</t>
        </is>
      </c>
      <c r="J147" s="13" t="inlineStr">
        <is>
          <t>Archaeology / தொல்லியல்</t>
        </is>
      </c>
      <c r="K147" s="13" t="inlineStr">
        <is>
          <t>megalithic; Sangam</t>
        </is>
      </c>
      <c r="L147" s="11" t="inlineStr">
        <is>
          <t>Yes</t>
        </is>
      </c>
      <c r="M147" s="13" t="inlineStr">
        <is>
          <t>Matches Sajitharan 2017 CINTANAI paper</t>
        </is>
      </c>
      <c r="N147" s="14" t="inlineStr">
        <is>
          <t>http://repo.lib.jfn.ac.lk/ujrr/handle/123456789/8887</t>
        </is>
      </c>
    </row>
    <row r="148">
      <c r="A148" s="7" t="inlineStr">
        <is>
          <t>ALL-0147</t>
        </is>
      </c>
      <c r="B148" s="7" t="inlineStr">
        <is>
          <t>Research Papers</t>
        </is>
      </c>
      <c r="C148" s="8" t="inlineStr">
        <is>
          <t>2017</t>
        </is>
      </c>
      <c r="D148" s="7" t="inlineStr">
        <is>
          <t>2017-01-26</t>
        </is>
      </c>
      <c r="E148" s="9" t="inlineStr">
        <is>
          <t>Buddhist Meditation Monasteries in Ancient Sri Lanka</t>
        </is>
      </c>
      <c r="F148" s="9" t="inlineStr">
        <is>
          <t>Sasni Amarasekara</t>
        </is>
      </c>
      <c r="G148" s="9" t="inlineStr">
        <is>
          <t>Journal of Arts and Humanities</t>
        </is>
      </c>
      <c r="H148" s="7" t="inlineStr">
        <is>
          <t>Article</t>
        </is>
      </c>
      <c r="I148" s="7" t="inlineStr">
        <is>
          <t>English</t>
        </is>
      </c>
      <c r="J148" s="9" t="n"/>
      <c r="K148" s="9" t="n"/>
      <c r="L148" s="7" t="inlineStr">
        <is>
          <t>Yes</t>
        </is>
      </c>
      <c r="M148" s="9" t="inlineStr">
        <is>
          <t>OpenAlex query: rock art Sri Lanka. Auto-collected 2026-10-14 (openalex); review.</t>
        </is>
      </c>
      <c r="N148" s="10" t="inlineStr">
        <is>
          <t>https://doi.org/10.18533/journal.v6i01.1085</t>
        </is>
      </c>
    </row>
    <row r="149">
      <c r="A149" s="11" t="inlineStr">
        <is>
          <t>ALL-0148</t>
        </is>
      </c>
      <c r="B149" s="11" t="inlineStr">
        <is>
          <t>Research Papers</t>
        </is>
      </c>
      <c r="C149" s="12" t="inlineStr">
        <is>
          <t>2017</t>
        </is>
      </c>
      <c r="D149" s="11" t="inlineStr">
        <is>
          <t>2017-04-26</t>
        </is>
      </c>
      <c r="E149" s="13" t="inlineStr">
        <is>
          <t>Tissamahrama, Sri Lanka: Die Keramiksequenz und ihre Bedeutung für den frühhistorischen Fernhandel im Indischen Ozean</t>
        </is>
      </c>
      <c r="F149" s="13" t="inlineStr">
        <is>
          <t>Heidrun Schenk</t>
        </is>
      </c>
      <c r="G149" s="13" t="inlineStr">
        <is>
          <t>Research E-Papers</t>
        </is>
      </c>
      <c r="H149" s="11" t="inlineStr">
        <is>
          <t>Article</t>
        </is>
      </c>
      <c r="I149" s="11" t="inlineStr">
        <is>
          <t>English</t>
        </is>
      </c>
      <c r="J149" s="13" t="n"/>
      <c r="K149" s="13" t="n"/>
      <c r="L149" s="11" t="inlineStr">
        <is>
          <t>Yes</t>
        </is>
      </c>
      <c r="M149" s="13" t="inlineStr">
        <is>
          <t>OpenAlex query: Tissamaharama Brahmi. Auto-collected 2026-10-14 (openalex); review.</t>
        </is>
      </c>
      <c r="N149" s="14" t="inlineStr">
        <is>
          <t>https://doi.org/10.34780/bre2-dab8</t>
        </is>
      </c>
    </row>
    <row r="150">
      <c r="A150" s="7" t="inlineStr">
        <is>
          <t>ALL-0149</t>
        </is>
      </c>
      <c r="B150" s="7" t="inlineStr">
        <is>
          <t>Research Papers</t>
        </is>
      </c>
      <c r="C150" s="8" t="inlineStr">
        <is>
          <t>2016</t>
        </is>
      </c>
      <c r="D150" s="7" t="inlineStr">
        <is>
          <t>2016-05-11</t>
        </is>
      </c>
      <c r="E150" s="9" t="inlineStr">
        <is>
          <t>Archaeological investigations, interpretations, and theories: The cases of Sri Lanka and Sweden compared</t>
        </is>
      </c>
      <c r="F150" s="9" t="inlineStr">
        <is>
          <t>Eva Myrdal-Runebjer</t>
        </is>
      </c>
      <c r="G150" s="9" t="inlineStr">
        <is>
          <t>Nordic Academic Press (Kriterium) eBooks</t>
        </is>
      </c>
      <c r="H150" s="7" t="inlineStr">
        <is>
          <t>Book chapter</t>
        </is>
      </c>
      <c r="I150" s="7" t="inlineStr">
        <is>
          <t>English</t>
        </is>
      </c>
      <c r="J150" s="9" t="inlineStr">
        <is>
          <t>Archaeology / தொல்லியல்</t>
        </is>
      </c>
      <c r="K150" s="9" t="inlineStr">
        <is>
          <t>archaeological</t>
        </is>
      </c>
      <c r="L150" s="7" t="inlineStr">
        <is>
          <t>Yes</t>
        </is>
      </c>
      <c r="M150" s="9" t="inlineStr">
        <is>
          <t>OpenAlex query: rock art Sri Lanka. Auto-collected 2026-10-14 (openalex); review.</t>
        </is>
      </c>
      <c r="N150" s="10" t="inlineStr">
        <is>
          <t>https://doi.org/10.21525/kriterium.2.e</t>
        </is>
      </c>
    </row>
    <row r="151">
      <c r="A151" s="11" t="inlineStr">
        <is>
          <t>ALL-0150</t>
        </is>
      </c>
      <c r="B151" s="11" t="inlineStr">
        <is>
          <t>Research Papers</t>
        </is>
      </c>
      <c r="C151" s="12" t="inlineStr">
        <is>
          <t>2016</t>
        </is>
      </c>
      <c r="D151" s="11" t="inlineStr">
        <is>
          <t>2016-09-13</t>
        </is>
      </c>
      <c r="E151" s="13" t="inlineStr">
        <is>
          <t>Islamic and Buddhist impacts on the shrine at Daftar Jailani, Sri Lanka</t>
        </is>
      </c>
      <c r="F151" s="13" t="inlineStr">
        <is>
          <t>Sri Lanka DENNIS B. MCGILVRAY</t>
        </is>
      </c>
      <c r="G151" s="13" t="inlineStr">
        <is>
          <t>Routledge eBooks</t>
        </is>
      </c>
      <c r="H151" s="11" t="inlineStr">
        <is>
          <t>Book chapter</t>
        </is>
      </c>
      <c r="I151" s="11" t="inlineStr">
        <is>
          <t>English</t>
        </is>
      </c>
      <c r="J151" s="13" t="n"/>
      <c r="K151" s="13" t="n"/>
      <c r="L151" s="11" t="inlineStr">
        <is>
          <t>Yes</t>
        </is>
      </c>
      <c r="M151" s="13" t="inlineStr">
        <is>
          <t>OpenAlex query: Tamil inscription Sri Lanka. Auto-collected 2026-10-14 (openalex); review.</t>
        </is>
      </c>
      <c r="N151" s="14" t="inlineStr">
        <is>
          <t>https://doi.org/10.4324/9781315693316-13</t>
        </is>
      </c>
    </row>
    <row r="152">
      <c r="A152" s="7" t="inlineStr">
        <is>
          <t>ALL-0151</t>
        </is>
      </c>
      <c r="B152" s="7" t="inlineStr">
        <is>
          <t>Research Papers</t>
        </is>
      </c>
      <c r="C152" s="8" t="inlineStr">
        <is>
          <t>2015</t>
        </is>
      </c>
      <c r="D152" s="7" t="n"/>
      <c r="E152" s="9" t="inlineStr">
        <is>
          <t>Relationship between Hindu-Islamic Culture via Copper Plates (Tamil Nadu)</t>
        </is>
      </c>
      <c r="F152" s="9" t="inlineStr">
        <is>
          <t>K. Arunthavarajah</t>
        </is>
      </c>
      <c r="G152" s="9" t="inlineStr">
        <is>
          <t>Second International Symposium, Faculty of Islamic Studies, South Eastern University</t>
        </is>
      </c>
      <c r="H152" s="7" t="inlineStr">
        <is>
          <t>Conference paper</t>
        </is>
      </c>
      <c r="I152" s="7" t="inlineStr">
        <is>
          <t>English</t>
        </is>
      </c>
      <c r="J152" s="9" t="inlineStr">
        <is>
          <t>Inscriptions / கல்வெட்டு</t>
        </is>
      </c>
      <c r="K152" s="9" t="inlineStr">
        <is>
          <t>copper plates; epigraphy</t>
        </is>
      </c>
      <c r="L152" s="7" t="inlineStr">
        <is>
          <t>Yes</t>
        </is>
      </c>
      <c r="M152" s="9" t="inlineStr">
        <is>
          <t>Tamil Nadu focus</t>
        </is>
      </c>
      <c r="N152" s="10" t="inlineStr">
        <is>
          <t>https://www.his.jfn.ac.lk/index.php/profkarunthavarajah/</t>
        </is>
      </c>
    </row>
    <row r="153">
      <c r="A153" s="11" t="inlineStr">
        <is>
          <t>ALL-0152</t>
        </is>
      </c>
      <c r="B153" s="11" t="inlineStr">
        <is>
          <t>Research Papers</t>
        </is>
      </c>
      <c r="C153" s="12" t="inlineStr">
        <is>
          <t>2015</t>
        </is>
      </c>
      <c r="D153" s="11" t="n"/>
      <c r="E153" s="13" t="inlineStr">
        <is>
          <t>Religion in Sangam Literature and Archaeological Evidence</t>
        </is>
      </c>
      <c r="F153" s="13" t="inlineStr">
        <is>
          <t>S. Arulanantham</t>
        </is>
      </c>
      <c r="G153" s="13" t="inlineStr">
        <is>
          <t>Annual Research Conference, Dept. of Tamil, University of Peradeniya</t>
        </is>
      </c>
      <c r="H153" s="11" t="inlineStr">
        <is>
          <t>Conference paper</t>
        </is>
      </c>
      <c r="I153" s="11" t="inlineStr">
        <is>
          <t>Tamil</t>
        </is>
      </c>
      <c r="J153" s="13" t="inlineStr">
        <is>
          <t>Archaeology / தொல்லியல்</t>
        </is>
      </c>
      <c r="K153" s="13" t="inlineStr">
        <is>
          <t>archaeology; Sangam</t>
        </is>
      </c>
      <c r="L153" s="11" t="inlineStr">
        <is>
          <t>Yes</t>
        </is>
      </c>
      <c r="M153" s="13" t="n"/>
      <c r="N153" s="14" t="inlineStr">
        <is>
          <t>https://www.his.jfn.ac.lk/index.php/mrs-s-arulanantham/</t>
        </is>
      </c>
    </row>
    <row r="154">
      <c r="A154" s="7" t="inlineStr">
        <is>
          <t>ALL-0153</t>
        </is>
      </c>
      <c r="B154" s="7" t="inlineStr">
        <is>
          <t>Research Papers</t>
        </is>
      </c>
      <c r="C154" s="8" t="inlineStr">
        <is>
          <t>2014</t>
        </is>
      </c>
      <c r="D154" s="7" t="n"/>
      <c r="E154" s="9" t="inlineStr">
        <is>
          <t>The Heritage Monuments of Jaffna Peninsula and their Preservation</t>
        </is>
      </c>
      <c r="F154" s="9" t="inlineStr">
        <is>
          <t>S. Sajitharan</t>
        </is>
      </c>
      <c r="G154" s="9" t="inlineStr">
        <is>
          <t>Proceedings of the National Archaeological Symposium 2014, Department of Archaeology</t>
        </is>
      </c>
      <c r="H154" s="7" t="inlineStr">
        <is>
          <t>Conference paper</t>
        </is>
      </c>
      <c r="I154" s="7" t="inlineStr">
        <is>
          <t>English</t>
        </is>
      </c>
      <c r="J154" s="9" t="inlineStr">
        <is>
          <t>Archaeology / தொல்லியல்</t>
        </is>
      </c>
      <c r="K154" s="9" t="inlineStr">
        <is>
          <t>heritage; monuments</t>
        </is>
      </c>
      <c r="L154" s="7" t="inlineStr">
        <is>
          <t>Yes</t>
        </is>
      </c>
      <c r="M154" s="9" t="n"/>
      <c r="N154" s="10" t="inlineStr">
        <is>
          <t>https://www.his.jfn.ac.lk/?p=791</t>
        </is>
      </c>
    </row>
    <row r="155">
      <c r="A155" s="11" t="inlineStr">
        <is>
          <t>ALL-0154</t>
        </is>
      </c>
      <c r="B155" s="11" t="inlineStr">
        <is>
          <t>Research Papers</t>
        </is>
      </c>
      <c r="C155" s="12" t="inlineStr">
        <is>
          <t>2014</t>
        </is>
      </c>
      <c r="D155" s="11" t="inlineStr">
        <is>
          <t>2014-01-01</t>
        </is>
      </c>
      <c r="E155" s="13" t="inlineStr">
        <is>
          <t>Tamil Brahmi Inscription Belonging to 2200 Years Ago, Discovered by German Archaeological Team in Southern Sri Lanka</t>
        </is>
      </c>
      <c r="F155" s="13" t="inlineStr">
        <is>
          <t>P. Pushparatnam</t>
        </is>
      </c>
      <c r="G155" s="13" t="inlineStr">
        <is>
          <t>Jaffna University International Research Conference (JUICE 2014)</t>
        </is>
      </c>
      <c r="H155" s="11" t="inlineStr">
        <is>
          <t>Conference paper</t>
        </is>
      </c>
      <c r="I155" s="11" t="inlineStr">
        <is>
          <t>English</t>
        </is>
      </c>
      <c r="J155" s="13" t="inlineStr">
        <is>
          <t>Inscriptions / கல்வெட்டு; Brahmi / பிராமி; Archaeology / தொல்லியல்</t>
        </is>
      </c>
      <c r="K155" s="13" t="inlineStr">
        <is>
          <t>Tamil Brahmi; Tissamaharama; potsherd</t>
        </is>
      </c>
      <c r="L155" s="11" t="inlineStr">
        <is>
          <t>Yes</t>
        </is>
      </c>
      <c r="M155" s="13" t="n"/>
      <c r="N155" s="14" t="inlineStr">
        <is>
          <t>https://rer.jfn.ac.lk/items/cf7a95e0-fe51-4ae1-88aa-4842327beb59/full</t>
        </is>
      </c>
    </row>
    <row r="156">
      <c r="A156" s="7" t="inlineStr">
        <is>
          <t>ALL-0155</t>
        </is>
      </c>
      <c r="B156" s="7" t="inlineStr">
        <is>
          <t>Research Papers</t>
        </is>
      </c>
      <c r="C156" s="8" t="inlineStr">
        <is>
          <t>2014</t>
        </is>
      </c>
      <c r="D156" s="7" t="inlineStr">
        <is>
          <t>2014-01-01</t>
        </is>
      </c>
      <c r="E156" s="9" t="inlineStr">
        <is>
          <t>The Views of Tamil Scholars Regarding the Origin of Jaffna Kingdom</t>
        </is>
      </c>
      <c r="F156" s="9" t="inlineStr">
        <is>
          <t>K. Arunthavarajah</t>
        </is>
      </c>
      <c r="G156" s="9" t="inlineStr">
        <is>
          <t>Research on humanities and social sciences</t>
        </is>
      </c>
      <c r="H156" s="7" t="inlineStr">
        <is>
          <t>Article</t>
        </is>
      </c>
      <c r="I156" s="7" t="inlineStr">
        <is>
          <t>English</t>
        </is>
      </c>
      <c r="J156" s="9" t="n"/>
      <c r="K156" s="9" t="n"/>
      <c r="L156" s="7" t="inlineStr">
        <is>
          <t>Yes</t>
        </is>
      </c>
      <c r="M156" s="9" t="inlineStr">
        <is>
          <t>OpenAlex query: Jaffna archaeology. Auto-collected 2026-10-14 (openalex); review.</t>
        </is>
      </c>
      <c r="N156" s="10" t="inlineStr">
        <is>
          <t>https://www.iiste.org/Journals/index.php/RHSS/article/download/13254/13414</t>
        </is>
      </c>
    </row>
    <row r="157">
      <c r="A157" s="11" t="inlineStr">
        <is>
          <t>ALL-0156</t>
        </is>
      </c>
      <c r="B157" s="11" t="inlineStr">
        <is>
          <t>Research Papers</t>
        </is>
      </c>
      <c r="C157" s="12" t="inlineStr">
        <is>
          <t>2014</t>
        </is>
      </c>
      <c r="D157" s="11" t="inlineStr">
        <is>
          <t>2014-11-01</t>
        </is>
      </c>
      <c r="E157" s="13" t="inlineStr">
        <is>
          <t>Heritage representation in culturally diverse societies : a case study of the Colombo National Museum in Sri Lanka</t>
        </is>
      </c>
      <c r="F157" s="13" t="inlineStr">
        <is>
          <t>Metiwala Walawwe Chulani Neranjana Kumari Rambukwella</t>
        </is>
      </c>
      <c r="G157" s="13" t="inlineStr">
        <is>
          <t>Leicester Research Archive (University of Leicester)</t>
        </is>
      </c>
      <c r="H157" s="11" t="inlineStr">
        <is>
          <t>Dissertation</t>
        </is>
      </c>
      <c r="I157" s="11" t="inlineStr">
        <is>
          <t>English</t>
        </is>
      </c>
      <c r="J157" s="13" t="inlineStr">
        <is>
          <t>Archaeology / தொல்லியல்</t>
        </is>
      </c>
      <c r="K157" s="13" t="n"/>
      <c r="L157" s="11" t="inlineStr">
        <is>
          <t>Yes</t>
        </is>
      </c>
      <c r="M157" s="13" t="inlineStr">
        <is>
          <t>OpenAlex query: Tamil Brahmi Sri Lanka. Auto-collected 2026-10-14 (openalex); review.</t>
        </is>
      </c>
      <c r="N157" s="14" t="inlineStr">
        <is>
          <t>http://hdl.handle.net/2381/31401</t>
        </is>
      </c>
    </row>
    <row r="158">
      <c r="A158" s="7" t="inlineStr">
        <is>
          <t>ALL-0157</t>
        </is>
      </c>
      <c r="B158" s="7" t="inlineStr">
        <is>
          <t>Research Papers</t>
        </is>
      </c>
      <c r="C158" s="8" t="inlineStr">
        <is>
          <t>2013</t>
        </is>
      </c>
      <c r="D158" s="7" t="n"/>
      <c r="E158" s="9" t="inlineStr">
        <is>
          <t>Ancient Ports and their Cultural Influences in Northern Sri Lanka</t>
        </is>
      </c>
      <c r="F158" s="9" t="inlineStr">
        <is>
          <t>S. Arulanantham</t>
        </is>
      </c>
      <c r="G158" s="9" t="inlineStr">
        <is>
          <t>2nd Annual Research Conference, South Eastern University</t>
        </is>
      </c>
      <c r="H158" s="7" t="inlineStr">
        <is>
          <t>Conference paper</t>
        </is>
      </c>
      <c r="I158" s="7" t="inlineStr">
        <is>
          <t>English</t>
        </is>
      </c>
      <c r="J158" s="9" t="inlineStr">
        <is>
          <t>Archaeology / தொல்லியல்</t>
        </is>
      </c>
      <c r="K158" s="9" t="inlineStr">
        <is>
          <t>ports; archaeology</t>
        </is>
      </c>
      <c r="L158" s="7" t="inlineStr">
        <is>
          <t>Yes</t>
        </is>
      </c>
      <c r="M158" s="9" t="n"/>
      <c r="N158" s="10" t="inlineStr">
        <is>
          <t>https://www.his.jfn.ac.lk/index.php/mrs-s-arulanantham/</t>
        </is>
      </c>
    </row>
    <row r="159">
      <c r="A159" s="11" t="inlineStr">
        <is>
          <t>ALL-0158</t>
        </is>
      </c>
      <c r="B159" s="11" t="inlineStr">
        <is>
          <t>Research Papers</t>
        </is>
      </c>
      <c r="C159" s="12" t="inlineStr">
        <is>
          <t>2011</t>
        </is>
      </c>
      <c r="D159" s="11" t="n"/>
      <c r="E159" s="13" t="inlineStr">
        <is>
          <t>South India-Sri Lanka Political Relations up to the Chola Period</t>
        </is>
      </c>
      <c r="F159" s="13" t="inlineStr">
        <is>
          <t>K. Arunthavarajah</t>
        </is>
      </c>
      <c r="G159" s="13" t="inlineStr">
        <is>
          <t>International Conference, Manonmaniam Sundaranar University</t>
        </is>
      </c>
      <c r="H159" s="11" t="inlineStr">
        <is>
          <t>Conference paper</t>
        </is>
      </c>
      <c r="I159" s="11" t="inlineStr">
        <is>
          <t>Tamil</t>
        </is>
      </c>
      <c r="J159" s="13" t="n"/>
      <c r="K159" s="13" t="inlineStr">
        <is>
          <t>Chola; relations</t>
        </is>
      </c>
      <c r="L159" s="11" t="inlineStr">
        <is>
          <t>Yes</t>
        </is>
      </c>
      <c r="M159" s="13" t="n"/>
      <c r="N159" s="14" t="inlineStr">
        <is>
          <t>https://www.his.jfn.ac.lk/index.php/profkarunthavarajah/</t>
        </is>
      </c>
    </row>
    <row r="160">
      <c r="A160" s="7" t="inlineStr">
        <is>
          <t>ALL-0159</t>
        </is>
      </c>
      <c r="B160" s="7" t="inlineStr">
        <is>
          <t>Research Papers</t>
        </is>
      </c>
      <c r="C160" s="8" t="inlineStr">
        <is>
          <t>2011</t>
        </is>
      </c>
      <c r="D160" s="7" t="n"/>
      <c r="E160" s="9" t="inlineStr">
        <is>
          <t>The Antiquity of Sri Lankan Tamils</t>
        </is>
      </c>
      <c r="F160" s="9" t="inlineStr">
        <is>
          <t>K. Arunthavarajah</t>
        </is>
      </c>
      <c r="G160" s="9" t="inlineStr">
        <is>
          <t>9th World Conference, Thiruvaiyaru</t>
        </is>
      </c>
      <c r="H160" s="7" t="inlineStr">
        <is>
          <t>Conference paper</t>
        </is>
      </c>
      <c r="I160" s="7" t="inlineStr">
        <is>
          <t>Tamil</t>
        </is>
      </c>
      <c r="J160" s="9" t="n"/>
      <c r="K160" s="9" t="inlineStr">
        <is>
          <t>antiquity; Tamils</t>
        </is>
      </c>
      <c r="L160" s="7" t="inlineStr">
        <is>
          <t>Yes</t>
        </is>
      </c>
      <c r="M160" s="9" t="n"/>
      <c r="N160" s="10" t="inlineStr">
        <is>
          <t>https://www.his.jfn.ac.lk/index.php/profkarunthavarajah/</t>
        </is>
      </c>
    </row>
    <row r="161">
      <c r="A161" s="11" t="inlineStr">
        <is>
          <t>ALL-0160</t>
        </is>
      </c>
      <c r="B161" s="11" t="inlineStr">
        <is>
          <t>Research Papers</t>
        </is>
      </c>
      <c r="C161" s="12" t="inlineStr">
        <is>
          <t>2010</t>
        </is>
      </c>
      <c r="D161" s="11" t="n"/>
      <c r="E161" s="13" t="inlineStr">
        <is>
          <t>Chola Military Expeditions on Sri Lanka</t>
        </is>
      </c>
      <c r="F161" s="13" t="inlineStr">
        <is>
          <t>K. Arunthavarajah</t>
        </is>
      </c>
      <c r="G161" s="13" t="inlineStr">
        <is>
          <t>ICHR National Seminar, Madurai</t>
        </is>
      </c>
      <c r="H161" s="11" t="inlineStr">
        <is>
          <t>Conference paper</t>
        </is>
      </c>
      <c r="I161" s="11" t="inlineStr">
        <is>
          <t>English</t>
        </is>
      </c>
      <c r="J161" s="13" t="n"/>
      <c r="K161" s="13" t="inlineStr">
        <is>
          <t>Chola</t>
        </is>
      </c>
      <c r="L161" s="11" t="inlineStr">
        <is>
          <t>Yes</t>
        </is>
      </c>
      <c r="M161" s="13" t="n"/>
      <c r="N161" s="14" t="inlineStr">
        <is>
          <t>https://www.his.jfn.ac.lk/index.php/profkarunthavarajah/</t>
        </is>
      </c>
    </row>
    <row r="162">
      <c r="A162" s="7" t="inlineStr">
        <is>
          <t>ALL-0161</t>
        </is>
      </c>
      <c r="B162" s="7" t="inlineStr">
        <is>
          <t>Research Papers</t>
        </is>
      </c>
      <c r="C162" s="8" t="inlineStr">
        <is>
          <t>2010</t>
        </is>
      </c>
      <c r="D162" s="7" t="n"/>
      <c r="E162" s="9" t="inlineStr">
        <is>
          <t>Nallur Kandasamy Temple as the Symbol of Traditional Tamil Culture - Historical and Archaeological Perspective</t>
        </is>
      </c>
      <c r="F162" s="9" t="inlineStr">
        <is>
          <t>S. Arulanantham</t>
        </is>
      </c>
      <c r="G162" s="9" t="inlineStr">
        <is>
          <t>Varalarulla, Jaffna</t>
        </is>
      </c>
      <c r="H162" s="7" t="inlineStr">
        <is>
          <t>Book chapter</t>
        </is>
      </c>
      <c r="I162" s="7" t="inlineStr">
        <is>
          <t>Tamil</t>
        </is>
      </c>
      <c r="J162" s="9" t="inlineStr">
        <is>
          <t>Archaeology / தொல்லியல்</t>
        </is>
      </c>
      <c r="K162" s="9" t="inlineStr">
        <is>
          <t>archaeology; Nallur</t>
        </is>
      </c>
      <c r="L162" s="7" t="inlineStr">
        <is>
          <t>Yes</t>
        </is>
      </c>
      <c r="M162" s="9" t="n"/>
      <c r="N162" s="10" t="inlineStr">
        <is>
          <t>https://www.his.jfn.ac.lk/index.php/mrs-s-arulanantham/</t>
        </is>
      </c>
    </row>
    <row r="163">
      <c r="A163" s="11" t="inlineStr">
        <is>
          <t>ALL-0162</t>
        </is>
      </c>
      <c r="B163" s="11" t="inlineStr">
        <is>
          <t>Research Papers</t>
        </is>
      </c>
      <c r="C163" s="12" t="inlineStr">
        <is>
          <t>2010</t>
        </is>
      </c>
      <c r="D163" s="11" t="n"/>
      <c r="E163" s="13" t="inlineStr">
        <is>
          <t>Tamil Inscriptions in the Colombo National Museum</t>
        </is>
      </c>
      <c r="F163" s="13" t="inlineStr">
        <is>
          <t>S. Pathmanathan</t>
        </is>
      </c>
      <c r="G163" s="13" t="inlineStr">
        <is>
          <t>Spolia Zeylanica, Vol. 47, pp. 1-85, Department of National Museums</t>
        </is>
      </c>
      <c r="H163" s="11" t="inlineStr">
        <is>
          <t>Journal article</t>
        </is>
      </c>
      <c r="I163" s="11" t="inlineStr">
        <is>
          <t>English</t>
        </is>
      </c>
      <c r="J163" s="13" t="inlineStr">
        <is>
          <t>Inscriptions / கல்வெட்டு</t>
        </is>
      </c>
      <c r="K163" s="13" t="inlineStr">
        <is>
          <t>கல்வெட்டு; museum</t>
        </is>
      </c>
      <c r="L163" s="11" t="inlineStr">
        <is>
          <t>Yes</t>
        </is>
      </c>
      <c r="M163" s="13" t="inlineStr">
        <is>
          <t>Written 2005, published 2010</t>
        </is>
      </c>
      <c r="N163" s="14" t="inlineStr">
        <is>
          <t>https://www.lankapradeepa.com/2020/04/tamil-inscriptions-in-sri-lanka_16.html</t>
        </is>
      </c>
    </row>
    <row r="164">
      <c r="A164" s="7" t="inlineStr">
        <is>
          <t>ALL-0163</t>
        </is>
      </c>
      <c r="B164" s="7" t="inlineStr">
        <is>
          <t>Research Papers</t>
        </is>
      </c>
      <c r="C164" s="8" t="inlineStr">
        <is>
          <t>2010</t>
        </is>
      </c>
      <c r="D164" s="7" t="n"/>
      <c r="E164" s="9" t="inlineStr">
        <is>
          <t>Was the German reading of the Tissamaharama Brahmi inscription a scholarly misdirection? (in Sinhala)</t>
        </is>
      </c>
      <c r="F164" s="9" t="inlineStr">
        <is>
          <t>R. Somadeva</t>
        </is>
      </c>
      <c r="G164" s="9" t="inlineStr">
        <is>
          <t>Dinithi, Vol. 1, Part IV, pp. 2-5</t>
        </is>
      </c>
      <c r="H164" s="7" t="inlineStr">
        <is>
          <t>Journal article</t>
        </is>
      </c>
      <c r="I164" s="7" t="inlineStr">
        <is>
          <t>Sinhala</t>
        </is>
      </c>
      <c r="J164" s="9" t="inlineStr">
        <is>
          <t>Inscriptions / கல்வெட்டு; Brahmi / பிராமி</t>
        </is>
      </c>
      <c r="K164" s="9" t="inlineStr">
        <is>
          <t>Tissamaharama; Tamil Brahmi debate</t>
        </is>
      </c>
      <c r="L164" s="7" t="inlineStr">
        <is>
          <t>Yes</t>
        </is>
      </c>
      <c r="M164" s="9" t="inlineStr">
        <is>
          <t>ISSN 2012-7189</t>
        </is>
      </c>
      <c r="N164" s="10" t="inlineStr">
        <is>
          <t>https://www.lankapradeepa.com/2020/04/tamil-inscriptions-in-sri-lanka_16.html</t>
        </is>
      </c>
    </row>
    <row r="165">
      <c r="A165" s="11" t="inlineStr">
        <is>
          <t>ALL-0164</t>
        </is>
      </c>
      <c r="B165" s="11" t="inlineStr">
        <is>
          <t>Research Papers</t>
        </is>
      </c>
      <c r="C165" s="12" t="inlineStr">
        <is>
          <t>2009</t>
        </is>
      </c>
      <c r="D165" s="11" t="n"/>
      <c r="E165" s="13" t="inlineStr">
        <is>
          <t>Nationalism, Historiography and Archaeology in Sri Lanka</t>
        </is>
      </c>
      <c r="F165" s="13" t="inlineStr">
        <is>
          <t>S. Sitrampalam</t>
        </is>
      </c>
      <c r="G165" s="13" t="inlineStr">
        <is>
          <t>Pathways of Dissent: Tamil Nationalism in Sri Lanka</t>
        </is>
      </c>
      <c r="H165" s="11" t="inlineStr">
        <is>
          <t>Book chapter</t>
        </is>
      </c>
      <c r="I165" s="11" t="inlineStr">
        <is>
          <t>English</t>
        </is>
      </c>
      <c r="J165" s="13" t="inlineStr">
        <is>
          <t>Archaeology / தொல்லியல்</t>
        </is>
      </c>
      <c r="K165" s="13" t="inlineStr">
        <is>
          <t>archaeology</t>
        </is>
      </c>
      <c r="L165" s="11" t="inlineStr">
        <is>
          <t>Yes</t>
        </is>
      </c>
      <c r="M165" s="13" t="inlineStr">
        <is>
          <t>Crossref query: Tamil inscription Sri Lanka. Auto-collected 2026-10-14 (crossref); review.</t>
        </is>
      </c>
      <c r="N165" s="14" t="inlineStr">
        <is>
          <t>https://doi.org/10.4135/9788132104322.n1</t>
        </is>
      </c>
    </row>
    <row r="166">
      <c r="A166" s="7" t="inlineStr">
        <is>
          <t>ALL-0165</t>
        </is>
      </c>
      <c r="B166" s="7" t="inlineStr">
        <is>
          <t>Research Papers</t>
        </is>
      </c>
      <c r="C166" s="8" t="inlineStr">
        <is>
          <t>2009</t>
        </is>
      </c>
      <c r="D166" s="7" t="inlineStr">
        <is>
          <t>2009-03-01</t>
        </is>
      </c>
      <c r="E166" s="9" t="inlineStr">
        <is>
          <t>Interesting The Rock Art of Sri Lanka</t>
        </is>
      </c>
      <c r="F166" s="9" t="inlineStr">
        <is>
          <t>ジャヤトゥンガ マンガリカ</t>
        </is>
      </c>
      <c r="G166" s="9" t="inlineStr">
        <is>
          <t>Medical Entomology and Zoology</t>
        </is>
      </c>
      <c r="H166" s="7" t="inlineStr">
        <is>
          <t>Article</t>
        </is>
      </c>
      <c r="I166" s="7" t="inlineStr">
        <is>
          <t>English</t>
        </is>
      </c>
      <c r="J166" s="9" t="inlineStr">
        <is>
          <t>Rock art / பாறை ஓவியம்</t>
        </is>
      </c>
      <c r="K166" s="9" t="inlineStr">
        <is>
          <t>rock art</t>
        </is>
      </c>
      <c r="L166" s="7" t="inlineStr">
        <is>
          <t>Yes</t>
        </is>
      </c>
      <c r="M166" s="9" t="inlineStr">
        <is>
          <t>OpenAlex query: rock art Sri Lanka. Auto-collected 2026-10-14 (openalex); review.</t>
        </is>
      </c>
      <c r="N166" s="10" t="inlineStr">
        <is>
          <t>http://ci.nii.ac.jp/naid/110008803030</t>
        </is>
      </c>
    </row>
    <row r="167">
      <c r="A167" s="11" t="inlineStr">
        <is>
          <t>ALL-0166</t>
        </is>
      </c>
      <c r="B167" s="11" t="inlineStr">
        <is>
          <t>Research Papers</t>
        </is>
      </c>
      <c r="C167" s="12" t="inlineStr">
        <is>
          <t>2009</t>
        </is>
      </c>
      <c r="D167" s="11" t="inlineStr">
        <is>
          <t>2009-10-15</t>
        </is>
      </c>
      <c r="E167" s="13" t="inlineStr">
        <is>
          <t>Pathways of Dissent: Tamil Nationalism in Sri Lanka</t>
        </is>
      </c>
      <c r="F167" s="13" t="inlineStr">
        <is>
          <t>Rudhramoorthy Cheran</t>
        </is>
      </c>
      <c r="G167" s="13" t="n"/>
      <c r="H167" s="11" t="inlineStr">
        <is>
          <t>Article</t>
        </is>
      </c>
      <c r="I167" s="11" t="inlineStr">
        <is>
          <t>English</t>
        </is>
      </c>
      <c r="J167" s="13" t="n"/>
      <c r="K167" s="13" t="n"/>
      <c r="L167" s="11" t="inlineStr">
        <is>
          <t>Yes</t>
        </is>
      </c>
      <c r="M167" s="13" t="inlineStr">
        <is>
          <t>OpenAlex query: Jaffna archaeology. Auto-collected 2026-10-14 (openalex); review.</t>
        </is>
      </c>
      <c r="N167" s="14" t="inlineStr">
        <is>
          <t>http://bvbr.bib-bvb.de:8991/F?func=service&amp;doc_library=BVB01&amp;local_base=BVB01&amp;doc_number=018902727&amp;sequence=000001&amp;line_number=0001&amp;func_code=DB_RECORDS&amp;service_type=MEDIA</t>
        </is>
      </c>
    </row>
    <row r="168">
      <c r="A168" s="7" t="inlineStr">
        <is>
          <t>ALL-0167</t>
        </is>
      </c>
      <c r="B168" s="7" t="inlineStr">
        <is>
          <t>Research Papers</t>
        </is>
      </c>
      <c r="C168" s="8" t="inlineStr">
        <is>
          <t>2008</t>
        </is>
      </c>
      <c r="D168" s="7" t="inlineStr">
        <is>
          <t>2008-01-01</t>
        </is>
      </c>
      <c r="E168" s="9" t="inlineStr">
        <is>
          <t>Eloquent bodies: communicating violence in northern Sri Lanka.</t>
        </is>
      </c>
      <c r="F168" s="9" t="inlineStr">
        <is>
          <t>Jane Derges</t>
        </is>
      </c>
      <c r="G168" s="9" t="inlineStr">
        <is>
          <t>OpenGrey (Institut de l'Information Scientifique et Technique)</t>
        </is>
      </c>
      <c r="H168" s="7" t="inlineStr">
        <is>
          <t>Dissertation</t>
        </is>
      </c>
      <c r="I168" s="7" t="inlineStr">
        <is>
          <t>English</t>
        </is>
      </c>
      <c r="J168" s="9" t="n"/>
      <c r="K168" s="9" t="n"/>
      <c r="L168" s="7" t="inlineStr">
        <is>
          <t>Yes</t>
        </is>
      </c>
      <c r="M168" s="9" t="inlineStr">
        <is>
          <t>OpenAlex query: Tamil inscription Sri Lanka. Auto-collected 2026-10-14 (openalex); review.</t>
        </is>
      </c>
      <c r="N168" s="10" t="inlineStr">
        <is>
          <t>http://hdl.handle.net/10068/956236</t>
        </is>
      </c>
    </row>
    <row r="169">
      <c r="A169" s="11" t="inlineStr">
        <is>
          <t>ALL-0168</t>
        </is>
      </c>
      <c r="B169" s="11" t="inlineStr">
        <is>
          <t>Research Papers</t>
        </is>
      </c>
      <c r="C169" s="12" t="inlineStr">
        <is>
          <t>2006</t>
        </is>
      </c>
      <c r="D169" s="11" t="n"/>
      <c r="E169" s="13" t="inlineStr">
        <is>
          <t>Hindu and Buddhist Architecture in Sri Lanka</t>
        </is>
      </c>
      <c r="F169" s="13" t="inlineStr">
        <is>
          <t>S. Pathmanathan</t>
        </is>
      </c>
      <c r="G169" s="13" t="inlineStr">
        <is>
          <t>Sangam: Essays in Honour of Dr R. Krishnamurthy, Chennai</t>
        </is>
      </c>
      <c r="H169" s="11" t="inlineStr">
        <is>
          <t>Book chapter</t>
        </is>
      </c>
      <c r="I169" s="11" t="inlineStr">
        <is>
          <t>English</t>
        </is>
      </c>
      <c r="J169" s="13" t="n"/>
      <c r="K169" s="13" t="inlineStr">
        <is>
          <t>architecture</t>
        </is>
      </c>
      <c r="L169" s="11" t="inlineStr">
        <is>
          <t>Yes</t>
        </is>
      </c>
      <c r="M169" s="13" t="n"/>
      <c r="N169" s="14" t="inlineStr">
        <is>
          <t>https://jfn.ac.lk/prof-s-pathmanathan/</t>
        </is>
      </c>
    </row>
    <row r="170">
      <c r="A170" s="7" t="inlineStr">
        <is>
          <t>ALL-0169</t>
        </is>
      </c>
      <c r="B170" s="7" t="inlineStr">
        <is>
          <t>Research Papers</t>
        </is>
      </c>
      <c r="C170" s="8" t="inlineStr">
        <is>
          <t>2006</t>
        </is>
      </c>
      <c r="D170" s="7" t="inlineStr">
        <is>
          <t>2006-01-01</t>
        </is>
      </c>
      <c r="E170" s="9" t="inlineStr">
        <is>
          <t>The Anuradhapura (Sri Lanka) Project: The Hinterland (phase II), Preliminary Report of the First Season 2005</t>
        </is>
      </c>
      <c r="F170" s="9" t="inlineStr">
        <is>
          <t>Robin A. E. Coningham, Prishanta Gunawardhana, G. Adikari, Mangala Katugampola, Ian A. Simpson, Ruth Young</t>
        </is>
      </c>
      <c r="G170" s="9" t="inlineStr">
        <is>
          <t>South Asian Studies</t>
        </is>
      </c>
      <c r="H170" s="7" t="inlineStr">
        <is>
          <t>Article</t>
        </is>
      </c>
      <c r="I170" s="7" t="inlineStr">
        <is>
          <t>English</t>
        </is>
      </c>
      <c r="J170" s="9" t="n"/>
      <c r="K170" s="9" t="n"/>
      <c r="L170" s="7" t="inlineStr">
        <is>
          <t>Yes</t>
        </is>
      </c>
      <c r="M170" s="9" t="inlineStr">
        <is>
          <t>OpenAlex query: Kantarodai. Auto-collected 2026-10-14 (openalex); review.</t>
        </is>
      </c>
      <c r="N170" s="10" t="inlineStr">
        <is>
          <t>https://doi.org/10.1080/02666030.2006.9628657</t>
        </is>
      </c>
    </row>
    <row r="171">
      <c r="A171" s="11" t="inlineStr">
        <is>
          <t>ALL-0170</t>
        </is>
      </c>
      <c r="B171" s="11" t="inlineStr">
        <is>
          <t>Research Papers</t>
        </is>
      </c>
      <c r="C171" s="12" t="inlineStr">
        <is>
          <t>2005</t>
        </is>
      </c>
      <c r="D171" s="11" t="n"/>
      <c r="E171" s="13" t="inlineStr">
        <is>
          <t>The Kingdom of Jaffna before the Portuguese Conquest</t>
        </is>
      </c>
      <c r="F171" s="13" t="inlineStr">
        <is>
          <t>S. Pathmanathan</t>
        </is>
      </c>
      <c r="G171" s="13" t="inlineStr">
        <is>
          <t>For Such a Time As This, American Ceylon Mission Press</t>
        </is>
      </c>
      <c r="H171" s="11" t="inlineStr">
        <is>
          <t>Book chapter</t>
        </is>
      </c>
      <c r="I171" s="11" t="inlineStr">
        <is>
          <t>English</t>
        </is>
      </c>
      <c r="J171" s="13" t="n"/>
      <c r="K171" s="13" t="inlineStr">
        <is>
          <t>Jaffna kingdom</t>
        </is>
      </c>
      <c r="L171" s="11" t="inlineStr">
        <is>
          <t>Yes</t>
        </is>
      </c>
      <c r="M171" s="13" t="n"/>
      <c r="N171" s="14" t="inlineStr">
        <is>
          <t>https://jfn.ac.lk/prof-s-pathmanathan/</t>
        </is>
      </c>
    </row>
    <row r="172">
      <c r="A172" s="7" t="inlineStr">
        <is>
          <t>ALL-0171</t>
        </is>
      </c>
      <c r="B172" s="7" t="inlineStr">
        <is>
          <t>Research Papers</t>
        </is>
      </c>
      <c r="C172" s="8" t="inlineStr">
        <is>
          <t>2004</t>
        </is>
      </c>
      <c r="D172" s="7" t="n"/>
      <c r="E172" s="9" t="inlineStr">
        <is>
          <t>New Light on the Decline of Polonnaruwa (1196-1215): The Tamil Pillar Inscription from Rankot Vihara</t>
        </is>
      </c>
      <c r="F172" s="9" t="inlineStr">
        <is>
          <t>S. Pathmanathan</t>
        </is>
      </c>
      <c r="G172" s="9" t="inlineStr">
        <is>
          <t>Proceedings of the Peradeniya University Research Sessions, Vol. 9, p. 31</t>
        </is>
      </c>
      <c r="H172" s="7" t="inlineStr">
        <is>
          <t>Journal article</t>
        </is>
      </c>
      <c r="I172" s="7" t="inlineStr">
        <is>
          <t>English</t>
        </is>
      </c>
      <c r="J172" s="9" t="inlineStr">
        <is>
          <t>Inscriptions / கல்வெட்டு</t>
        </is>
      </c>
      <c r="K172" s="9" t="inlineStr">
        <is>
          <t>கல்வெட்டு; Rankot Vihara; Polonnaruwa</t>
        </is>
      </c>
      <c r="L172" s="7" t="inlineStr">
        <is>
          <t>Yes</t>
        </is>
      </c>
      <c r="M172" s="9" t="inlineStr">
        <is>
          <t>Cited in Lanka Pradeepa list</t>
        </is>
      </c>
      <c r="N172" s="10" t="inlineStr">
        <is>
          <t>https://www.lankapradeepa.com/2020/04/tamil-inscriptions-in-sri-lanka_16.html</t>
        </is>
      </c>
    </row>
    <row r="173">
      <c r="A173" s="11" t="inlineStr">
        <is>
          <t>ALL-0172</t>
        </is>
      </c>
      <c r="B173" s="11" t="inlineStr">
        <is>
          <t>Research Papers</t>
        </is>
      </c>
      <c r="C173" s="12" t="inlineStr">
        <is>
          <t>2004</t>
        </is>
      </c>
      <c r="D173" s="11" t="inlineStr">
        <is>
          <t>2004-01-01</t>
        </is>
      </c>
      <c r="E173" s="13" t="inlineStr">
        <is>
          <t>Vedda rock art in Sri Lanka depicting reptiles with special reference to the Golden Gecko, Calodactylodes Illingworthorum (Reptilia : Gekkonidae)</t>
        </is>
      </c>
      <c r="F173" s="13" t="inlineStr">
        <is>
          <t>Indraneil Das, Silva, Aaron M. Bauer, S. Goonewardene</t>
        </is>
      </c>
      <c r="G173" s="13" t="inlineStr">
        <is>
          <t>Unimas Institutional Repository (Universiti Malaysia Sarawak)</t>
        </is>
      </c>
      <c r="H173" s="11" t="inlineStr">
        <is>
          <t>Article</t>
        </is>
      </c>
      <c r="I173" s="11" t="inlineStr">
        <is>
          <t>English</t>
        </is>
      </c>
      <c r="J173" s="13" t="inlineStr">
        <is>
          <t>Rock art / பாறை ஓவியம்</t>
        </is>
      </c>
      <c r="K173" s="13" t="inlineStr">
        <is>
          <t>rock art</t>
        </is>
      </c>
      <c r="L173" s="11" t="inlineStr">
        <is>
          <t>Yes</t>
        </is>
      </c>
      <c r="M173" s="13" t="inlineStr">
        <is>
          <t>OpenAlex query: rock art Sri Lanka. Auto-collected 2026-10-14 (openalex); review.</t>
        </is>
      </c>
      <c r="N173" s="14" t="inlineStr">
        <is>
          <t>http://ir.unimas.my/id/eprint/24938/1/255-%20de%20Silva%20et%20al.%20%28Vedda%20rock%20art%29.pdf</t>
        </is>
      </c>
    </row>
    <row r="174">
      <c r="A174" s="7" t="inlineStr">
        <is>
          <t>ALL-0173</t>
        </is>
      </c>
      <c r="B174" s="7" t="inlineStr">
        <is>
          <t>Research Papers</t>
        </is>
      </c>
      <c r="C174" s="8" t="inlineStr">
        <is>
          <t>2003</t>
        </is>
      </c>
      <c r="D174" s="7" t="n"/>
      <c r="E174" s="9" t="inlineStr">
        <is>
          <t>Hindu Bronzes of the Polonnaruva Period</t>
        </is>
      </c>
      <c r="F174" s="9" t="inlineStr">
        <is>
          <t>S. Pathmanathan</t>
        </is>
      </c>
      <c r="G174" s="9" t="inlineStr">
        <is>
          <t>2nd World Hindu Conference Souvenir</t>
        </is>
      </c>
      <c r="H174" s="7" t="inlineStr">
        <is>
          <t>Book chapter</t>
        </is>
      </c>
      <c r="I174" s="7" t="inlineStr">
        <is>
          <t>English</t>
        </is>
      </c>
      <c r="J174" s="9" t="n"/>
      <c r="K174" s="9" t="inlineStr">
        <is>
          <t>bronzes; Polonnaruwa</t>
        </is>
      </c>
      <c r="L174" s="7" t="inlineStr">
        <is>
          <t>Yes</t>
        </is>
      </c>
      <c r="M174" s="9" t="n"/>
      <c r="N174" s="10" t="inlineStr">
        <is>
          <t>https://jfn.ac.lk/prof-s-pathmanathan/</t>
        </is>
      </c>
    </row>
    <row r="175">
      <c r="A175" s="11" t="inlineStr">
        <is>
          <t>ALL-0174</t>
        </is>
      </c>
      <c r="B175" s="11" t="inlineStr">
        <is>
          <t>Research Papers</t>
        </is>
      </c>
      <c r="C175" s="12" t="inlineStr">
        <is>
          <t>2003</t>
        </is>
      </c>
      <c r="D175" s="11" t="n"/>
      <c r="E175" s="13" t="inlineStr">
        <is>
          <t>Some Bronzes from the Jetavanarama Site</t>
        </is>
      </c>
      <c r="F175" s="13" t="inlineStr">
        <is>
          <t>S. Pathmanathan</t>
        </is>
      </c>
      <c r="G175" s="13" t="inlineStr">
        <is>
          <t>Glimpses of Hindu Heritage</t>
        </is>
      </c>
      <c r="H175" s="11" t="inlineStr">
        <is>
          <t>Book chapter</t>
        </is>
      </c>
      <c r="I175" s="11" t="inlineStr">
        <is>
          <t>English</t>
        </is>
      </c>
      <c r="J175" s="13" t="inlineStr">
        <is>
          <t>Archaeology / தொல்லியல்</t>
        </is>
      </c>
      <c r="K175" s="13" t="inlineStr">
        <is>
          <t>bronzes; archaeology</t>
        </is>
      </c>
      <c r="L175" s="11" t="inlineStr">
        <is>
          <t>Yes</t>
        </is>
      </c>
      <c r="M175" s="13" t="n"/>
      <c r="N175" s="14" t="inlineStr">
        <is>
          <t>https://jfn.ac.lk/prof-s-pathmanathan/</t>
        </is>
      </c>
    </row>
    <row r="176">
      <c r="A176" s="7" t="inlineStr">
        <is>
          <t>ALL-0175</t>
        </is>
      </c>
      <c r="B176" s="7" t="inlineStr">
        <is>
          <t>Research Papers</t>
        </is>
      </c>
      <c r="C176" s="8" t="inlineStr">
        <is>
          <t>2003</t>
        </is>
      </c>
      <c r="D176" s="7" t="inlineStr">
        <is>
          <t>2003-12-27</t>
        </is>
      </c>
      <c r="E176" s="9" t="inlineStr">
        <is>
          <t>An Analysis of World Heritage Sites in Sri Lanka (The Religion, Politics, and Culture of South Asia / 特集：南アジアの宗教・政治・文化 )</t>
        </is>
      </c>
      <c r="F176" s="9" t="inlineStr">
        <is>
          <t>Jahnvi Dameron-Nandan</t>
        </is>
      </c>
      <c r="G176" s="9" t="inlineStr">
        <is>
          <t>Institutional Repositories DataBase (IRDB)</t>
        </is>
      </c>
      <c r="H176" s="7" t="inlineStr">
        <is>
          <t>Article</t>
        </is>
      </c>
      <c r="I176" s="7" t="inlineStr">
        <is>
          <t>ja</t>
        </is>
      </c>
      <c r="J176" s="9" t="inlineStr">
        <is>
          <t>Archaeology / தொல்லியல்</t>
        </is>
      </c>
      <c r="K176" s="9" t="n"/>
      <c r="L176" s="7" t="inlineStr">
        <is>
          <t>Yes</t>
        </is>
      </c>
      <c r="M176" s="9" t="inlineStr">
        <is>
          <t>OpenAlex query: Polonnaruwa Tamil inscription. Auto-collected 2026-10-14 (openalex); review.</t>
        </is>
      </c>
      <c r="N176" s="10" t="inlineStr">
        <is>
          <t>https://doi.org/10.69341/2005222</t>
        </is>
      </c>
    </row>
    <row r="177">
      <c r="A177" s="11" t="inlineStr">
        <is>
          <t>ALL-0176</t>
        </is>
      </c>
      <c r="B177" s="11" t="inlineStr">
        <is>
          <t>Research Papers</t>
        </is>
      </c>
      <c r="C177" s="12" t="inlineStr">
        <is>
          <t>2002</t>
        </is>
      </c>
      <c r="D177" s="11" t="n"/>
      <c r="E177" s="13" t="inlineStr">
        <is>
          <t>Buddhism in Nakapattinam (and related inscription studies)</t>
        </is>
      </c>
      <c r="F177" s="13" t="inlineStr">
        <is>
          <t>S. Pathmanathan</t>
        </is>
      </c>
      <c r="G177" s="13" t="inlineStr">
        <is>
          <t>Buddhism among Tamils in Pre-Colonial Tamilakam and Ilam, Uppsala</t>
        </is>
      </c>
      <c r="H177" s="11" t="inlineStr">
        <is>
          <t>Book chapter</t>
        </is>
      </c>
      <c r="I177" s="11" t="inlineStr">
        <is>
          <t>English</t>
        </is>
      </c>
      <c r="J177" s="13" t="inlineStr">
        <is>
          <t>Inscriptions / கல்வெட்டு</t>
        </is>
      </c>
      <c r="K177" s="13" t="inlineStr">
        <is>
          <t>Buddhism; inscriptions</t>
        </is>
      </c>
      <c r="L177" s="11" t="inlineStr">
        <is>
          <t>Yes</t>
        </is>
      </c>
      <c r="M177" s="13" t="n"/>
      <c r="N177" s="14" t="inlineStr">
        <is>
          <t>https://jfn.ac.lk/prof-s-pathmanathan/</t>
        </is>
      </c>
    </row>
    <row r="178">
      <c r="A178" s="7" t="inlineStr">
        <is>
          <t>ALL-0177</t>
        </is>
      </c>
      <c r="B178" s="7" t="inlineStr">
        <is>
          <t>Research Papers</t>
        </is>
      </c>
      <c r="C178" s="8" t="inlineStr">
        <is>
          <t>2002</t>
        </is>
      </c>
      <c r="D178" s="7" t="n"/>
      <c r="E178" s="9" t="inlineStr">
        <is>
          <t>The Lankatilaka Temple: Inscriptions of a Merchant Community</t>
        </is>
      </c>
      <c r="F178" s="9" t="inlineStr">
        <is>
          <t>S. Pathmanathan</t>
        </is>
      </c>
      <c r="G178" s="9" t="inlineStr">
        <is>
          <t>Taisho University Project Report (ed. N. Karashima)</t>
        </is>
      </c>
      <c r="H178" s="7" t="inlineStr">
        <is>
          <t>Book chapter</t>
        </is>
      </c>
      <c r="I178" s="7" t="inlineStr">
        <is>
          <t>English</t>
        </is>
      </c>
      <c r="J178" s="9" t="inlineStr">
        <is>
          <t>Inscriptions / கல்வெட்டு</t>
        </is>
      </c>
      <c r="K178" s="9" t="inlineStr">
        <is>
          <t>inscriptions; merchant community</t>
        </is>
      </c>
      <c r="L178" s="7" t="inlineStr">
        <is>
          <t>Yes</t>
        </is>
      </c>
      <c r="M178" s="9" t="n"/>
      <c r="N178" s="10" t="inlineStr">
        <is>
          <t>https://jfn.ac.lk/prof-s-pathmanathan/</t>
        </is>
      </c>
    </row>
    <row r="179">
      <c r="A179" s="11" t="inlineStr">
        <is>
          <t>ALL-0178</t>
        </is>
      </c>
      <c r="B179" s="11" t="inlineStr">
        <is>
          <t>Research Papers</t>
        </is>
      </c>
      <c r="C179" s="12" t="inlineStr">
        <is>
          <t>2000</t>
        </is>
      </c>
      <c r="D179" s="11" t="n"/>
      <c r="E179" s="13" t="inlineStr">
        <is>
          <t>The Nakaram of the Nanadesis: The Tanmacakarappattinam at Viharehinna</t>
        </is>
      </c>
      <c r="F179" s="13" t="inlineStr">
        <is>
          <t>S. Pathmanathan</t>
        </is>
      </c>
      <c r="G179" s="13" t="inlineStr">
        <is>
          <t>Sri Lanka Journal of the Humanities, Vols. XXIV-XXV (1998-99)</t>
        </is>
      </c>
      <c r="H179" s="11" t="inlineStr">
        <is>
          <t>Journal article</t>
        </is>
      </c>
      <c r="I179" s="11" t="inlineStr">
        <is>
          <t>English</t>
        </is>
      </c>
      <c r="J179" s="13" t="inlineStr">
        <is>
          <t>Inscriptions / கல்வெட்டு</t>
        </is>
      </c>
      <c r="K179" s="13" t="inlineStr">
        <is>
          <t>merchant guild; inscription; Nanadesi</t>
        </is>
      </c>
      <c r="L179" s="11" t="inlineStr">
        <is>
          <t>Yes</t>
        </is>
      </c>
      <c r="M179" s="13" t="n"/>
      <c r="N179" s="14" t="inlineStr">
        <is>
          <t>https://jfn.ac.lk/prof-s-pathmanathan/</t>
        </is>
      </c>
    </row>
    <row r="180">
      <c r="A180" s="7" t="inlineStr">
        <is>
          <t>ALL-0179</t>
        </is>
      </c>
      <c r="B180" s="7" t="inlineStr">
        <is>
          <t>Research Papers</t>
        </is>
      </c>
      <c r="C180" s="8" t="inlineStr">
        <is>
          <t>2000</t>
        </is>
      </c>
      <c r="D180" s="7" t="n"/>
      <c r="E180" s="9" t="inlineStr">
        <is>
          <t>Trade and Urbanization in Medieval Sri Lanka</t>
        </is>
      </c>
      <c r="F180" s="9" t="inlineStr">
        <is>
          <t>S. Pathmanathan</t>
        </is>
      </c>
      <c r="G180" s="9" t="inlineStr">
        <is>
          <t>Reflections on a Heritage, Central Cultural Fund</t>
        </is>
      </c>
      <c r="H180" s="7" t="inlineStr">
        <is>
          <t>Book chapter</t>
        </is>
      </c>
      <c r="I180" s="7" t="inlineStr">
        <is>
          <t>English</t>
        </is>
      </c>
      <c r="J180" s="9" t="inlineStr">
        <is>
          <t>Inscriptions / கல்வெட்டு</t>
        </is>
      </c>
      <c r="K180" s="9" t="inlineStr">
        <is>
          <t>trade; inscriptions</t>
        </is>
      </c>
      <c r="L180" s="7" t="inlineStr">
        <is>
          <t>Yes</t>
        </is>
      </c>
      <c r="M180" s="9" t="n"/>
      <c r="N180" s="10" t="inlineStr">
        <is>
          <t>https://jfn.ac.lk/prof-s-pathmanathan/</t>
        </is>
      </c>
    </row>
    <row r="181">
      <c r="A181" s="11" t="inlineStr">
        <is>
          <t>ALL-0180</t>
        </is>
      </c>
      <c r="B181" s="11" t="inlineStr">
        <is>
          <t>Research Papers</t>
        </is>
      </c>
      <c r="C181" s="12" t="inlineStr">
        <is>
          <t>1998</t>
        </is>
      </c>
      <c r="D181" s="11" t="n"/>
      <c r="E181" s="13" t="inlineStr">
        <is>
          <t>The Annaikoddai Seal: Beyond the Homelands Approach (in Sinhala)</t>
        </is>
      </c>
      <c r="F181" s="13" t="inlineStr">
        <is>
          <t>R. Somadeva</t>
        </is>
      </c>
      <c r="G181" s="13" t="inlineStr">
        <is>
          <t>In P. Gunawardhana et al. (eds.), Sarasavi, pp. 39-49</t>
        </is>
      </c>
      <c r="H181" s="11" t="inlineStr">
        <is>
          <t>Book chapter</t>
        </is>
      </c>
      <c r="I181" s="11" t="inlineStr">
        <is>
          <t>Sinhala</t>
        </is>
      </c>
      <c r="J181" s="13" t="inlineStr">
        <is>
          <t>Inscriptions / கல்வெட்டு; Brahmi / பிராமி</t>
        </is>
      </c>
      <c r="K181" s="13" t="inlineStr">
        <is>
          <t>Anaikoddai seal; Tamil Brahmi</t>
        </is>
      </c>
      <c r="L181" s="11" t="inlineStr">
        <is>
          <t>Yes</t>
        </is>
      </c>
      <c r="M181" s="13" t="inlineStr">
        <is>
          <t>ISBN 955-96402-0-3</t>
        </is>
      </c>
      <c r="N181" s="14" t="inlineStr">
        <is>
          <t>https://www.lankapradeepa.com/2020/04/tamil-inscriptions-in-sri-lanka_16.html</t>
        </is>
      </c>
    </row>
    <row r="182">
      <c r="A182" s="7" t="inlineStr">
        <is>
          <t>ALL-0181</t>
        </is>
      </c>
      <c r="B182" s="7" t="inlineStr">
        <is>
          <t>Research Papers</t>
        </is>
      </c>
      <c r="C182" s="8" t="inlineStr">
        <is>
          <t>1997</t>
        </is>
      </c>
      <c r="D182" s="7" t="n"/>
      <c r="E182" s="9" t="inlineStr">
        <is>
          <t>The Akkacalaip-perumpalli at Nakapattinam</t>
        </is>
      </c>
      <c r="F182" s="9" t="inlineStr">
        <is>
          <t>S. Pathmanathan</t>
        </is>
      </c>
      <c r="G182" s="9" t="inlineStr">
        <is>
          <t>Sri Lanka Journal of the Humanities, Vol. XXIII</t>
        </is>
      </c>
      <c r="H182" s="7" t="inlineStr">
        <is>
          <t>Journal article</t>
        </is>
      </c>
      <c r="I182" s="7" t="inlineStr">
        <is>
          <t>English</t>
        </is>
      </c>
      <c r="J182" s="9" t="inlineStr">
        <is>
          <t>Inscriptions / கல்வெட்டு</t>
        </is>
      </c>
      <c r="K182" s="9" t="inlineStr">
        <is>
          <t>inscriptions; Buddhism; Tamil</t>
        </is>
      </c>
      <c r="L182" s="7" t="inlineStr">
        <is>
          <t>Yes</t>
        </is>
      </c>
      <c r="M182" s="9" t="n"/>
      <c r="N182" s="10" t="inlineStr">
        <is>
          <t>https://jfn.ac.lk/prof-s-pathmanathan/</t>
        </is>
      </c>
    </row>
    <row r="183">
      <c r="A183" s="11" t="inlineStr">
        <is>
          <t>ALL-0182</t>
        </is>
      </c>
      <c r="B183" s="11" t="inlineStr">
        <is>
          <t>Research Papers</t>
        </is>
      </c>
      <c r="C183" s="12" t="inlineStr">
        <is>
          <t>1995</t>
        </is>
      </c>
      <c r="D183" s="11" t="n"/>
      <c r="E183" s="13" t="inlineStr">
        <is>
          <t>The Tamil Pillar Inscription from Mankanay</t>
        </is>
      </c>
      <c r="F183" s="13" t="inlineStr">
        <is>
          <t>S. Pathmanathan</t>
        </is>
      </c>
      <c r="G183" s="13" t="inlineStr">
        <is>
          <t>The Sri Lanka Journal of the Humanities, Vol. 21, No. 1-2, pp. 31-41 (University of Peradeniya)</t>
        </is>
      </c>
      <c r="H183" s="11" t="inlineStr">
        <is>
          <t>Journal article</t>
        </is>
      </c>
      <c r="I183" s="11" t="inlineStr">
        <is>
          <t>English</t>
        </is>
      </c>
      <c r="J183" s="13" t="inlineStr">
        <is>
          <t>Inscriptions / கல்வெட்டு</t>
        </is>
      </c>
      <c r="K183" s="13" t="inlineStr">
        <is>
          <t>pillar inscription; Mankanay</t>
        </is>
      </c>
      <c r="L183" s="11" t="inlineStr">
        <is>
          <t>No (earlier reference)</t>
        </is>
      </c>
      <c r="M183" s="13" t="inlineStr">
        <is>
          <t>Just before 30-yr window; kept</t>
        </is>
      </c>
      <c r="N183" s="14" t="inlineStr">
        <is>
          <t>https://ir.lib.pdn.ac.lk/handle/20.500.14444/3809</t>
        </is>
      </c>
    </row>
    <row r="184">
      <c r="A184" s="7" t="inlineStr">
        <is>
          <t>ALL-0183</t>
        </is>
      </c>
      <c r="B184" s="7" t="inlineStr">
        <is>
          <t>Research Papers</t>
        </is>
      </c>
      <c r="C184" s="8" t="inlineStr">
        <is>
          <t>1994</t>
        </is>
      </c>
      <c r="D184" s="7" t="n"/>
      <c r="E184" s="9" t="inlineStr">
        <is>
          <t>The Tamil Slab Inscription of the Virakkoti at Budumuttawa, Nikaweratiya</t>
        </is>
      </c>
      <c r="F184" s="9" t="inlineStr">
        <is>
          <t>S. Pathmanathan</t>
        </is>
      </c>
      <c r="G184" s="9" t="inlineStr">
        <is>
          <t>Urbanization at Magala, pp. 15-30</t>
        </is>
      </c>
      <c r="H184" s="7" t="inlineStr">
        <is>
          <t>Book chapter</t>
        </is>
      </c>
      <c r="I184" s="7" t="inlineStr">
        <is>
          <t>English</t>
        </is>
      </c>
      <c r="J184" s="9" t="inlineStr">
        <is>
          <t>Inscriptions / கல்வெட்டு</t>
        </is>
      </c>
      <c r="K184" s="9" t="inlineStr">
        <is>
          <t>கல்வெட்டு; merchant guild</t>
        </is>
      </c>
      <c r="L184" s="7" t="inlineStr">
        <is>
          <t>No (earlier reference)</t>
        </is>
      </c>
      <c r="M184" s="9" t="inlineStr">
        <is>
          <t>Year from Lanka Pradeepa list</t>
        </is>
      </c>
      <c r="N184" s="10" t="inlineStr">
        <is>
          <t>https://ir.lib.pdn.ac.lk/items/583155fd-b49e-4398-8b04-51776c4dbf8f/full</t>
        </is>
      </c>
    </row>
    <row r="185">
      <c r="A185" s="11" t="inlineStr">
        <is>
          <t>ALL-0184</t>
        </is>
      </c>
      <c r="B185" s="11" t="inlineStr">
        <is>
          <t>Research Papers</t>
        </is>
      </c>
      <c r="C185" s="12" t="inlineStr">
        <is>
          <t>1991</t>
        </is>
      </c>
      <c r="D185" s="11" t="n"/>
      <c r="E185" s="13" t="inlineStr">
        <is>
          <t>Inscription No. 2 from Fort Hammenhiel, Kayts</t>
        </is>
      </c>
      <c r="F185" s="13" t="inlineStr">
        <is>
          <t>K. Indrapala</t>
        </is>
      </c>
      <c r="G185" s="13" t="inlineStr">
        <is>
          <t>Epigraphia Zeylanica, Vol. VI, Part II, pp. 154-160</t>
        </is>
      </c>
      <c r="H185" s="11" t="inlineStr">
        <is>
          <t>Journal article</t>
        </is>
      </c>
      <c r="I185" s="11" t="inlineStr">
        <is>
          <t>English</t>
        </is>
      </c>
      <c r="J185" s="13" t="inlineStr">
        <is>
          <t>Inscriptions / கல்வெட்டு</t>
        </is>
      </c>
      <c r="K185" s="13" t="inlineStr">
        <is>
          <t>கல்வெட்டு; Kayts</t>
        </is>
      </c>
      <c r="L185" s="11" t="inlineStr">
        <is>
          <t>No (earlier reference)</t>
        </is>
      </c>
      <c r="M185" s="13" t="inlineStr">
        <is>
          <t>Pre-1996 reference</t>
        </is>
      </c>
      <c r="N185" s="14" t="inlineStr">
        <is>
          <t>https://www.lankapradeepa.com/2020/04/tamil-inscriptions-in-sri-lanka_16.html</t>
        </is>
      </c>
    </row>
    <row r="186">
      <c r="A186" s="7" t="inlineStr">
        <is>
          <t>ALL-0185</t>
        </is>
      </c>
      <c r="B186" s="7" t="inlineStr">
        <is>
          <t>Research Papers</t>
        </is>
      </c>
      <c r="C186" s="8" t="inlineStr">
        <is>
          <t>1990</t>
        </is>
      </c>
      <c r="D186" s="7" t="n"/>
      <c r="E186" s="9" t="inlineStr">
        <is>
          <t>The Bronze Seal of the Nanadesis from Hambantota</t>
        </is>
      </c>
      <c r="F186" s="9" t="inlineStr">
        <is>
          <t>S. Pathmanathan</t>
        </is>
      </c>
      <c r="G186" s="9" t="inlineStr">
        <is>
          <t>Asian Panorama, Satguru Publications</t>
        </is>
      </c>
      <c r="H186" s="7" t="inlineStr">
        <is>
          <t>Book chapter</t>
        </is>
      </c>
      <c r="I186" s="7" t="inlineStr">
        <is>
          <t>English</t>
        </is>
      </c>
      <c r="J186" s="9" t="inlineStr">
        <is>
          <t>Inscriptions / கல்வெட்டு</t>
        </is>
      </c>
      <c r="K186" s="9" t="inlineStr">
        <is>
          <t>seal; merchant guild</t>
        </is>
      </c>
      <c r="L186" s="7" t="inlineStr">
        <is>
          <t>No (earlier reference)</t>
        </is>
      </c>
      <c r="M186" s="9" t="inlineStr">
        <is>
          <t>Pre-1996 reference</t>
        </is>
      </c>
      <c r="N186" s="10" t="inlineStr">
        <is>
          <t>https://jfn.ac.lk/prof-s-pathmanathan/</t>
        </is>
      </c>
    </row>
    <row r="187">
      <c r="A187" s="11" t="inlineStr">
        <is>
          <t>ALL-0186</t>
        </is>
      </c>
      <c r="B187" s="11" t="inlineStr">
        <is>
          <t>Research Papers</t>
        </is>
      </c>
      <c r="C187" s="12" t="inlineStr">
        <is>
          <t>1975</t>
        </is>
      </c>
      <c r="D187" s="11" t="n"/>
      <c r="E187" s="13" t="inlineStr">
        <is>
          <t>A Tamil Slab Inscription at Nilaveli</t>
        </is>
      </c>
      <c r="F187" s="13" t="inlineStr">
        <is>
          <t>S. Gunasingam</t>
        </is>
      </c>
      <c r="G187" s="13" t="inlineStr">
        <is>
          <t>The Ceylon Journal of the Humanities, pp. 61-71</t>
        </is>
      </c>
      <c r="H187" s="11" t="inlineStr">
        <is>
          <t>Journal article</t>
        </is>
      </c>
      <c r="I187" s="11" t="inlineStr">
        <is>
          <t>English</t>
        </is>
      </c>
      <c r="J187" s="13" t="inlineStr">
        <is>
          <t>Inscriptions / கல்வெட்டு</t>
        </is>
      </c>
      <c r="K187" s="13" t="inlineStr">
        <is>
          <t>கல்வெட்டு; Nilaveli</t>
        </is>
      </c>
      <c r="L187" s="11" t="inlineStr">
        <is>
          <t>No (earlier reference)</t>
        </is>
      </c>
      <c r="M187" s="13" t="inlineStr">
        <is>
          <t>Pre-1996 reference</t>
        </is>
      </c>
      <c r="N187" s="14" t="inlineStr">
        <is>
          <t>https://www.lankapradeepa.com/2020/04/tamil-inscriptions-in-sri-lanka_16.html</t>
        </is>
      </c>
    </row>
    <row r="188">
      <c r="A188" s="7" t="inlineStr">
        <is>
          <t>ALL-0187</t>
        </is>
      </c>
      <c r="B188" s="7" t="inlineStr">
        <is>
          <t>Research Papers</t>
        </is>
      </c>
      <c r="C188" s="8" t="inlineStr">
        <is>
          <t>1975</t>
        </is>
      </c>
      <c r="D188" s="7" t="n"/>
      <c r="E188" s="9" t="inlineStr">
        <is>
          <t>The Munnesvaram Inscription of Parakramabahu VI</t>
        </is>
      </c>
      <c r="F188" s="9" t="inlineStr">
        <is>
          <t>S. Pathmanathan</t>
        </is>
      </c>
      <c r="G188" s="9" t="inlineStr">
        <is>
          <t>JRAS Ceylon Branch, Vol. XVIII</t>
        </is>
      </c>
      <c r="H188" s="7" t="inlineStr">
        <is>
          <t>Journal article</t>
        </is>
      </c>
      <c r="I188" s="7" t="inlineStr">
        <is>
          <t>English</t>
        </is>
      </c>
      <c r="J188" s="9" t="inlineStr">
        <is>
          <t>Inscriptions / கல்வெட்டு</t>
        </is>
      </c>
      <c r="K188" s="9" t="inlineStr">
        <is>
          <t>கல்வெட்டு; Munneswaram</t>
        </is>
      </c>
      <c r="L188" s="7" t="inlineStr">
        <is>
          <t>No (earlier reference)</t>
        </is>
      </c>
      <c r="M188" s="9" t="inlineStr">
        <is>
          <t>Pre-1996 reference</t>
        </is>
      </c>
      <c r="N188" s="10" t="inlineStr">
        <is>
          <t>https://jfn.ac.lk/prof-s-pathmanathan/</t>
        </is>
      </c>
    </row>
    <row r="189">
      <c r="A189" s="11" t="inlineStr">
        <is>
          <t>ALL-0188</t>
        </is>
      </c>
      <c r="B189" s="11" t="inlineStr">
        <is>
          <t>Research Papers</t>
        </is>
      </c>
      <c r="C189" s="12" t="inlineStr">
        <is>
          <t>1963</t>
        </is>
      </c>
      <c r="D189" s="11" t="n"/>
      <c r="E189" s="13" t="inlineStr">
        <is>
          <t>The Nainativu Tamil Inscription of Parakramabahu I</t>
        </is>
      </c>
      <c r="F189" s="13" t="inlineStr">
        <is>
          <t>K. Indrapala</t>
        </is>
      </c>
      <c r="G189" s="13" t="inlineStr">
        <is>
          <t>University of Ceylon Review, Vol. XXI, No. 1, pp. 63-70</t>
        </is>
      </c>
      <c r="H189" s="11" t="inlineStr">
        <is>
          <t>Journal article</t>
        </is>
      </c>
      <c r="I189" s="11" t="inlineStr">
        <is>
          <t>English</t>
        </is>
      </c>
      <c r="J189" s="13" t="inlineStr">
        <is>
          <t>Inscriptions / கல்வெட்டு</t>
        </is>
      </c>
      <c r="K189" s="13" t="inlineStr">
        <is>
          <t>கல்வெட்டு; Nainativu</t>
        </is>
      </c>
      <c r="L189" s="11" t="inlineStr">
        <is>
          <t>No (earlier reference)</t>
        </is>
      </c>
      <c r="M189" s="13" t="inlineStr">
        <is>
          <t>Pre-1996 reference</t>
        </is>
      </c>
      <c r="N189" s="14" t="inlineStr">
        <is>
          <t>https://siddham.network/tag/kayts/</t>
        </is>
      </c>
    </row>
    <row r="190">
      <c r="A190" s="7" t="inlineStr">
        <is>
          <t>ALL-0189</t>
        </is>
      </c>
      <c r="B190" s="7" t="inlineStr">
        <is>
          <t>Research Papers</t>
        </is>
      </c>
      <c r="C190" s="8" t="n"/>
      <c r="D190" s="7" t="n"/>
      <c r="E190" s="9" t="inlineStr">
        <is>
          <t>A Study on the Development of the Sinhala Language through Contact with Tamil, Sanskrit, Pali and European Languages</t>
        </is>
      </c>
      <c r="F190" s="9" t="n"/>
      <c r="G190" s="9" t="inlineStr">
        <is>
          <t>South Eastern University of Sri Lanka repository</t>
        </is>
      </c>
      <c r="H190" s="7" t="inlineStr">
        <is>
          <t>Journal article</t>
        </is>
      </c>
      <c r="I190" s="7" t="inlineStr">
        <is>
          <t>English</t>
        </is>
      </c>
      <c r="J190" s="9" t="inlineStr">
        <is>
          <t>Inscriptions / கல்வெட்டு</t>
        </is>
      </c>
      <c r="K190" s="9" t="inlineStr">
        <is>
          <t>language contact; inscriptions</t>
        </is>
      </c>
      <c r="L190" s="7" t="inlineStr">
        <is>
          <t>Unknown</t>
        </is>
      </c>
      <c r="M190" s="9" t="inlineStr">
        <is>
          <t>Peripheral; year to verify</t>
        </is>
      </c>
      <c r="N190" s="10" t="inlineStr">
        <is>
          <t>https://dspace.lib.seu.ac.lk/items/8ac8f95c-23d2-4f5f-832d-598286d6a96f</t>
        </is>
      </c>
    </row>
    <row r="191">
      <c r="A191" s="11" t="inlineStr">
        <is>
          <t>ALL-0190</t>
        </is>
      </c>
      <c r="B191" s="11" t="inlineStr">
        <is>
          <t>Research Papers</t>
        </is>
      </c>
      <c r="C191" s="12" t="n"/>
      <c r="D191" s="11" t="n"/>
      <c r="E191" s="13" t="inlineStr">
        <is>
          <t>Annaikottai Seal: Is it Tamil Brahmi?</t>
        </is>
      </c>
      <c r="F191" s="13" t="n"/>
      <c r="G191" s="13" t="inlineStr">
        <is>
          <t>Academia.edu</t>
        </is>
      </c>
      <c r="H191" s="11" t="inlineStr">
        <is>
          <t>Article</t>
        </is>
      </c>
      <c r="I191" s="11" t="inlineStr">
        <is>
          <t>English</t>
        </is>
      </c>
      <c r="J191" s="13" t="inlineStr">
        <is>
          <t>Inscriptions / கல்வெட்டு; Brahmi / பிராமி</t>
        </is>
      </c>
      <c r="K191" s="13" t="inlineStr">
        <is>
          <t>Anaikoddai seal; Tamil Brahmi</t>
        </is>
      </c>
      <c r="L191" s="11" t="inlineStr">
        <is>
          <t>Unknown</t>
        </is>
      </c>
      <c r="M191" s="13" t="n"/>
      <c r="N191" s="14" t="inlineStr">
        <is>
          <t>https://www.academia.edu/44307643/Annaikottai_Seal_Is_it_Tamil_Brahmi</t>
        </is>
      </c>
    </row>
    <row r="192">
      <c r="A192" s="7" t="inlineStr">
        <is>
          <t>ALL-0191</t>
        </is>
      </c>
      <c r="B192" s="7" t="inlineStr">
        <is>
          <t>Research Papers</t>
        </is>
      </c>
      <c r="C192" s="8" t="n"/>
      <c r="D192" s="7" t="n"/>
      <c r="E192" s="9" t="inlineStr">
        <is>
          <t>Highlights of Archaeological Studies in Jaffna Peninsula since 2010</t>
        </is>
      </c>
      <c r="F192" s="9" t="inlineStr">
        <is>
          <t>P. Pushparatnam</t>
        </is>
      </c>
      <c r="G192" s="9" t="inlineStr">
        <is>
          <t>University of Jaffna repository</t>
        </is>
      </c>
      <c r="H192" s="7" t="inlineStr">
        <is>
          <t>Article</t>
        </is>
      </c>
      <c r="I192" s="7" t="inlineStr">
        <is>
          <t>English</t>
        </is>
      </c>
      <c r="J192" s="9" t="inlineStr">
        <is>
          <t>Archaeology / தொல்லியல்</t>
        </is>
      </c>
      <c r="K192" s="9" t="inlineStr">
        <is>
          <t>archaeology; Jaffna</t>
        </is>
      </c>
      <c r="L192" s="7" t="inlineStr">
        <is>
          <t>Unknown</t>
        </is>
      </c>
      <c r="M192" s="9" t="inlineStr">
        <is>
          <t>Year to verify</t>
        </is>
      </c>
      <c r="N192" s="10" t="inlineStr">
        <is>
          <t>https://rer.jfn.ac.lk/items/69679e68-fe61-4cd9-a9de-ccff08422aac/full</t>
        </is>
      </c>
    </row>
    <row r="193">
      <c r="A193" s="11" t="inlineStr">
        <is>
          <t>ALL-0192</t>
        </is>
      </c>
      <c r="B193" s="11" t="inlineStr">
        <is>
          <t>Research Papers</t>
        </is>
      </c>
      <c r="C193" s="12" t="n"/>
      <c r="D193" s="11" t="n"/>
      <c r="E193" s="13" t="inlineStr">
        <is>
          <t>IN03227 Panduwasnuwara Tamil Slab Inscription of Nissanka Malla</t>
        </is>
      </c>
      <c r="F193" s="13" t="n"/>
      <c r="G193" s="13" t="inlineStr">
        <is>
          <t>Siddham: The Asian Inscription Database (Sri Lanka epigraphy)</t>
        </is>
      </c>
      <c r="H193" s="11" t="inlineStr">
        <is>
          <t>Catalogue entry</t>
        </is>
      </c>
      <c r="I193" s="11" t="inlineStr">
        <is>
          <t>English</t>
        </is>
      </c>
      <c r="J193" s="13" t="inlineStr">
        <is>
          <t>Inscriptions / கல்வெட்டு</t>
        </is>
      </c>
      <c r="K193" s="13" t="inlineStr">
        <is>
          <t>கல்வெட்டு; Panduwasnuwara</t>
        </is>
      </c>
      <c r="L193" s="11" t="inlineStr">
        <is>
          <t>Unknown</t>
        </is>
      </c>
      <c r="M193" s="13" t="n"/>
      <c r="N193" s="14" t="inlineStr">
        <is>
          <t>https://siddham.network/tag/609823/</t>
        </is>
      </c>
    </row>
    <row r="194">
      <c r="A194" s="7" t="inlineStr">
        <is>
          <t>ALL-0193</t>
        </is>
      </c>
      <c r="B194" s="7" t="inlineStr">
        <is>
          <t>Research Papers</t>
        </is>
      </c>
      <c r="C194" s="8" t="n"/>
      <c r="D194" s="7" t="n"/>
      <c r="E194" s="9" t="inlineStr">
        <is>
          <t>Kalinga Maacon - Review</t>
        </is>
      </c>
      <c r="F194" s="9" t="n"/>
      <c r="G194" s="9" t="inlineStr">
        <is>
          <t>Shanlax International Journal of Tamil Research</t>
        </is>
      </c>
      <c r="H194" s="7" t="inlineStr">
        <is>
          <t>Journal article</t>
        </is>
      </c>
      <c r="I194" s="7" t="inlineStr">
        <is>
          <t>Tamil</t>
        </is>
      </c>
      <c r="J194" s="9" t="n"/>
      <c r="K194" s="9" t="inlineStr">
        <is>
          <t>Kalinga Magha</t>
        </is>
      </c>
      <c r="L194" s="7" t="inlineStr">
        <is>
          <t>Unknown</t>
        </is>
      </c>
      <c r="M194" s="9" t="inlineStr">
        <is>
          <t>Year to verify</t>
        </is>
      </c>
      <c r="N194" s="10" t="inlineStr">
        <is>
          <t>https://shanlaxjournals.in/journals/index.php/tamil/article/view/7777</t>
        </is>
      </c>
    </row>
    <row r="195">
      <c r="A195" s="11" t="inlineStr">
        <is>
          <t>ALL-0194</t>
        </is>
      </c>
      <c r="B195" s="11" t="inlineStr">
        <is>
          <t>Research Papers</t>
        </is>
      </c>
      <c r="C195" s="12" t="n"/>
      <c r="D195" s="11" t="n"/>
      <c r="E195" s="13" t="inlineStr">
        <is>
          <t>Making Lanka the Tamil way: a temple history at the crossroads of landscapes &amp; watersheds</t>
        </is>
      </c>
      <c r="F195" s="13" t="n"/>
      <c r="G195" s="13" t="inlineStr">
        <is>
          <t>Academia.edu</t>
        </is>
      </c>
      <c r="H195" s="11" t="inlineStr">
        <is>
          <t>Article</t>
        </is>
      </c>
      <c r="I195" s="11" t="inlineStr">
        <is>
          <t>English</t>
        </is>
      </c>
      <c r="J195" s="13" t="n"/>
      <c r="K195" s="13" t="inlineStr">
        <is>
          <t>temple history; landscape</t>
        </is>
      </c>
      <c r="L195" s="11" t="inlineStr">
        <is>
          <t>Unknown</t>
        </is>
      </c>
      <c r="M195" s="13" t="n"/>
      <c r="N195" s="14" t="inlineStr">
        <is>
          <t>https://www.academia.edu/47759409/Making_Lanka_the_Tamil_way_a_temple_history_at_the_crossroads_of_landscapes_and_watersheds</t>
        </is>
      </c>
    </row>
    <row r="196">
      <c r="A196" s="7" t="inlineStr">
        <is>
          <t>ALL-0195</t>
        </is>
      </c>
      <c r="B196" s="7" t="inlineStr">
        <is>
          <t>Research Papers</t>
        </is>
      </c>
      <c r="C196" s="8" t="n"/>
      <c r="D196" s="7" t="n"/>
      <c r="E196" s="9" t="inlineStr">
        <is>
          <t>OB03160 Vallipuram Gold Plate</t>
        </is>
      </c>
      <c r="F196" s="9" t="n"/>
      <c r="G196" s="9" t="inlineStr">
        <is>
          <t>Siddham: The Asian Inscription Database (Sri Lanka epigraphy)</t>
        </is>
      </c>
      <c r="H196" s="7" t="inlineStr">
        <is>
          <t>Catalogue entry</t>
        </is>
      </c>
      <c r="I196" s="7" t="inlineStr">
        <is>
          <t>English</t>
        </is>
      </c>
      <c r="J196" s="9" t="inlineStr">
        <is>
          <t>Inscriptions / கல்வெட்டு</t>
        </is>
      </c>
      <c r="K196" s="9" t="inlineStr">
        <is>
          <t>Vallipuram gold plate; inscription</t>
        </is>
      </c>
      <c r="L196" s="7" t="inlineStr">
        <is>
          <t>Unknown</t>
        </is>
      </c>
      <c r="M196" s="9" t="n"/>
      <c r="N196" s="10" t="inlineStr">
        <is>
          <t>https://siddham.network/tag/vasabha/</t>
        </is>
      </c>
    </row>
    <row r="197">
      <c r="A197" s="11" t="inlineStr">
        <is>
          <t>ALL-0196</t>
        </is>
      </c>
      <c r="B197" s="11" t="inlineStr">
        <is>
          <t>Research Papers</t>
        </is>
      </c>
      <c r="C197" s="12" t="n"/>
      <c r="D197" s="11" t="n"/>
      <c r="E197" s="13" t="inlineStr">
        <is>
          <t>Recent Excavations and Survey at Jaffna Fort in 2017 and Reflections on the Antiquity of Indian Ocean Trade</t>
        </is>
      </c>
      <c r="F197" s="13" t="inlineStr">
        <is>
          <t>C. Davis et al.</t>
        </is>
      </c>
      <c r="G197" s="13" t="inlineStr">
        <is>
          <t>Durham Research Online</t>
        </is>
      </c>
      <c r="H197" s="11" t="inlineStr">
        <is>
          <t>Journal article</t>
        </is>
      </c>
      <c r="I197" s="11" t="inlineStr">
        <is>
          <t>English</t>
        </is>
      </c>
      <c r="J197" s="13" t="inlineStr">
        <is>
          <t>Archaeology / தொல்லியல்</t>
        </is>
      </c>
      <c r="K197" s="13" t="inlineStr">
        <is>
          <t>excavation; Jaffna Fort; trade</t>
        </is>
      </c>
      <c r="L197" s="11" t="inlineStr">
        <is>
          <t>Unknown</t>
        </is>
      </c>
      <c r="M197" s="13" t="inlineStr">
        <is>
          <t>Year to verify</t>
        </is>
      </c>
      <c r="N197" s="14" t="inlineStr">
        <is>
          <t>https://durham-repository.worktribe.com/output/1656993/recent-excavations-and-survey-at-jaffna-fort-in-2017-and-reflections-on-the-antiquity-of-indian-ocean-trade</t>
        </is>
      </c>
    </row>
    <row r="198">
      <c r="A198" s="7" t="inlineStr">
        <is>
          <t>ALL-0197</t>
        </is>
      </c>
      <c r="B198" s="7" t="inlineStr">
        <is>
          <t>Research Papers</t>
        </is>
      </c>
      <c r="C198" s="8" t="n"/>
      <c r="D198" s="7" t="n"/>
      <c r="E198" s="9" t="inlineStr">
        <is>
          <t>The Archaeological Landscape of the Early Iron Age Burial Site: Ihala Kalawella Ulpatha and its Environs, Anuradhapura District</t>
        </is>
      </c>
      <c r="F198" s="9" t="n"/>
      <c r="G198" s="9" t="inlineStr">
        <is>
          <t>University of Peradeniya repository</t>
        </is>
      </c>
      <c r="H198" s="7" t="inlineStr">
        <is>
          <t>Thesis</t>
        </is>
      </c>
      <c r="I198" s="7" t="inlineStr">
        <is>
          <t>English</t>
        </is>
      </c>
      <c r="J198" s="9" t="inlineStr">
        <is>
          <t>Archaeology / தொல்லியல்</t>
        </is>
      </c>
      <c r="K198" s="9" t="inlineStr">
        <is>
          <t>megalithic; Iron Age burials</t>
        </is>
      </c>
      <c r="L198" s="7" t="inlineStr">
        <is>
          <t>Unknown</t>
        </is>
      </c>
      <c r="M198" s="9" t="inlineStr">
        <is>
          <t>Author/year to verify</t>
        </is>
      </c>
      <c r="N198" s="10" t="inlineStr">
        <is>
          <t>https://ir.lib.pdn.ac.lk/items/66613037-9ae3-4455-81e3-71f3235df265/full</t>
        </is>
      </c>
    </row>
    <row r="199">
      <c r="A199" s="11" t="inlineStr">
        <is>
          <t>ALL-0198</t>
        </is>
      </c>
      <c r="B199" s="11" t="inlineStr">
        <is>
          <t>Research Papers</t>
        </is>
      </c>
      <c r="C199" s="12" t="n"/>
      <c r="D199" s="11" t="n"/>
      <c r="E199" s="13" t="inlineStr">
        <is>
          <t>The Impact of Tamil Language on Sinhala Inscriptions in Ancient Sri Lanka</t>
        </is>
      </c>
      <c r="F199" s="13" t="n"/>
      <c r="G199" s="13" t="inlineStr">
        <is>
          <t>University of Jaffna repository</t>
        </is>
      </c>
      <c r="H199" s="11" t="inlineStr">
        <is>
          <t>Article</t>
        </is>
      </c>
      <c r="I199" s="11" t="inlineStr">
        <is>
          <t>English</t>
        </is>
      </c>
      <c r="J199" s="13" t="inlineStr">
        <is>
          <t>Inscriptions / கல்வெட்டு</t>
        </is>
      </c>
      <c r="K199" s="13" t="inlineStr">
        <is>
          <t>inscriptions; language contact</t>
        </is>
      </c>
      <c r="L199" s="11" t="inlineStr">
        <is>
          <t>Unknown</t>
        </is>
      </c>
      <c r="M199" s="13" t="inlineStr">
        <is>
          <t>Year/author to verify</t>
        </is>
      </c>
      <c r="N199" s="14" t="inlineStr">
        <is>
          <t>https://rer.jfn.ac.lk/items/fc0f248b-470f-449c-a7c6-8b8ec38517f0</t>
        </is>
      </c>
    </row>
    <row r="200">
      <c r="A200" s="7" t="inlineStr">
        <is>
          <t>ALL-0199</t>
        </is>
      </c>
      <c r="B200" s="7" t="inlineStr">
        <is>
          <t>Research Papers</t>
        </is>
      </c>
      <c r="C200" s="8" t="n"/>
      <c r="D200" s="7" t="n"/>
      <c r="E200" s="9" t="inlineStr">
        <is>
          <t>The Peopling of Sri Lanka from Prehistoric to Historic Times: Biological and Archaeological Evidence</t>
        </is>
      </c>
      <c r="F200" s="9" t="n"/>
      <c r="G200" s="9" t="inlineStr">
        <is>
          <t>ResearchGate</t>
        </is>
      </c>
      <c r="H200" s="7" t="inlineStr">
        <is>
          <t>Article</t>
        </is>
      </c>
      <c r="I200" s="7" t="inlineStr">
        <is>
          <t>English</t>
        </is>
      </c>
      <c r="J200" s="9" t="inlineStr">
        <is>
          <t>Archaeology / தொல்லியல்</t>
        </is>
      </c>
      <c r="K200" s="9" t="inlineStr">
        <is>
          <t>prehistory; archaeology</t>
        </is>
      </c>
      <c r="L200" s="7" t="inlineStr">
        <is>
          <t>Unknown</t>
        </is>
      </c>
      <c r="M200" s="9" t="n"/>
      <c r="N200" s="10" t="inlineStr">
        <is>
          <t>https://www.researchgate.net/publication/301336596_The_Peopling_of_Sri_Lanka_from_Prehistoric_to_Historic_Times_Biological_and_Archaeological_Evidence</t>
        </is>
      </c>
    </row>
    <row r="201">
      <c r="A201" s="11" t="inlineStr">
        <is>
          <t>ALL-0200</t>
        </is>
      </c>
      <c r="B201" s="11" t="inlineStr">
        <is>
          <t>Research Papers</t>
        </is>
      </c>
      <c r="C201" s="12" t="n"/>
      <c r="D201" s="11" t="n"/>
      <c r="E201" s="13" t="inlineStr">
        <is>
          <t>ஓலைச்சுவடிகளை எண்ணிமப்படுத்தலும் பாதுகாத்தலுக்குமான செயற்றிட்டம்</t>
        </is>
      </c>
      <c r="F201" s="13" t="n"/>
      <c r="G201" s="13" t="inlineStr">
        <is>
          <t>University of Jaffna Research Repository</t>
        </is>
      </c>
      <c r="H201" s="11" t="inlineStr">
        <is>
          <t>Journal article</t>
        </is>
      </c>
      <c r="I201" s="11" t="inlineStr">
        <is>
          <t>Tamil</t>
        </is>
      </c>
      <c r="J201" s="13" t="inlineStr">
        <is>
          <t>Archaeology / தொல்லியல்</t>
        </is>
      </c>
      <c r="K201" s="13" t="inlineStr">
        <is>
          <t>manuscripts; heritage</t>
        </is>
      </c>
      <c r="L201" s="11" t="inlineStr">
        <is>
          <t>Unknown</t>
        </is>
      </c>
      <c r="M201" s="13" t="inlineStr">
        <is>
          <t>Peripheral; year to verify</t>
        </is>
      </c>
      <c r="N201" s="14" t="inlineStr">
        <is>
          <t>http://repo.lib.jfn.ac.lk/xmlui/handle/123456789/10982</t>
        </is>
      </c>
    </row>
    <row r="202">
      <c r="A202" s="7" t="inlineStr">
        <is>
          <t>ALL-0201</t>
        </is>
      </c>
      <c r="B202" s="7" t="inlineStr">
        <is>
          <t>Research Papers</t>
        </is>
      </c>
      <c r="C202" s="8" t="n"/>
      <c r="D202" s="7" t="n"/>
      <c r="E202" s="9" t="inlineStr">
        <is>
          <t>சிங்கள மன்னராட்சியில் சோழர்கால இந்துக்கோயில்களும், பண்பாடும் : பொலன்னறுவை இராசதானியை அடிப்படையாகக் கொண்ட ஆய்வு</t>
        </is>
      </c>
      <c r="F202" s="9" t="n"/>
      <c r="G202" s="9" t="inlineStr">
        <is>
          <t>South Eastern University of Sri Lanka repository</t>
        </is>
      </c>
      <c r="H202" s="7" t="inlineStr">
        <is>
          <t>Thesis</t>
        </is>
      </c>
      <c r="I202" s="7" t="inlineStr">
        <is>
          <t>Tamil</t>
        </is>
      </c>
      <c r="J202" s="9" t="n"/>
      <c r="K202" s="9" t="inlineStr">
        <is>
          <t>Chola; Polonnaruwa; temples</t>
        </is>
      </c>
      <c r="L202" s="7" t="inlineStr">
        <is>
          <t>Unknown</t>
        </is>
      </c>
      <c r="M202" s="9" t="inlineStr">
        <is>
          <t>Year/author to verify</t>
        </is>
      </c>
      <c r="N202" s="10" t="inlineStr">
        <is>
          <t>https://dspace.lib.seu.ac.lk/items/2bce5ebf-dc84-4b9c-a7ed-ca9bf13f1e7a/full</t>
        </is>
      </c>
    </row>
    <row r="203">
      <c r="A203" s="11" t="inlineStr">
        <is>
          <t>ALL-0202</t>
        </is>
      </c>
      <c r="B203" s="11" t="inlineStr">
        <is>
          <t>Research Papers</t>
        </is>
      </c>
      <c r="C203" s="12" t="n"/>
      <c r="D203" s="11" t="n"/>
      <c r="E203" s="13" t="inlineStr">
        <is>
          <t>பண்டைய இந்துக்களின் போரியல் மரபில் தலைப்பலி</t>
        </is>
      </c>
      <c r="F203" s="13" t="n"/>
      <c r="G203" s="13" t="inlineStr">
        <is>
          <t>University of Jaffna Research Repository</t>
        </is>
      </c>
      <c r="H203" s="11" t="inlineStr">
        <is>
          <t>Journal article</t>
        </is>
      </c>
      <c r="I203" s="11" t="inlineStr">
        <is>
          <t>Tamil</t>
        </is>
      </c>
      <c r="J203" s="13" t="inlineStr">
        <is>
          <t>Hero stones / நடுகல்</t>
        </is>
      </c>
      <c r="K203" s="13" t="inlineStr">
        <is>
          <t>நடுகல்; head offering; war tradition</t>
        </is>
      </c>
      <c r="L203" s="11" t="inlineStr">
        <is>
          <t>Unknown</t>
        </is>
      </c>
      <c r="M203" s="13" t="inlineStr">
        <is>
          <t>Hero-stone related; author/year to verify</t>
        </is>
      </c>
      <c r="N203" s="14" t="inlineStr">
        <is>
          <t>http://repo.lib.jfn.ac.lk/xmlui/handle/123456789/9343</t>
        </is>
      </c>
    </row>
    <row r="204">
      <c r="A204" s="7" t="inlineStr">
        <is>
          <t>ALL-0203</t>
        </is>
      </c>
      <c r="B204" s="7" t="inlineStr">
        <is>
          <t>Research Papers</t>
        </is>
      </c>
      <c r="C204" s="8" t="n"/>
      <c r="D204" s="7" t="n"/>
      <c r="E204" s="9" t="inlineStr">
        <is>
          <t>பேராசிரியர் ஆ. வேலுப்பிள்ளையின் தமிழ்க் கல்வெட்டுப் பணிகள் - ஓர் ஆய்வு</t>
        </is>
      </c>
      <c r="F204" s="9" t="n"/>
      <c r="G204" s="9" t="inlineStr">
        <is>
          <t>University of Jaffna Research Repository</t>
        </is>
      </c>
      <c r="H204" s="7" t="inlineStr">
        <is>
          <t>Journal article</t>
        </is>
      </c>
      <c r="I204" s="7" t="inlineStr">
        <is>
          <t>Tamil</t>
        </is>
      </c>
      <c r="J204" s="9" t="inlineStr">
        <is>
          <t>Inscriptions / கல்வெட்டு</t>
        </is>
      </c>
      <c r="K204" s="9" t="inlineStr">
        <is>
          <t>கல்வெட்டு; Veluppillai; epigraphy</t>
        </is>
      </c>
      <c r="L204" s="7" t="inlineStr">
        <is>
          <t>Unknown</t>
        </is>
      </c>
      <c r="M204" s="9" t="inlineStr">
        <is>
          <t>Author/year to verify</t>
        </is>
      </c>
      <c r="N204" s="10" t="inlineStr">
        <is>
          <t>http://repo.lib.jfn.ac.lk/ujrr/handle/123456789/4870</t>
        </is>
      </c>
    </row>
    <row r="205">
      <c r="A205" s="11" t="inlineStr">
        <is>
          <t>ALL-0204</t>
        </is>
      </c>
      <c r="B205" s="11" t="inlineStr">
        <is>
          <t>Newspaper Articles</t>
        </is>
      </c>
      <c r="C205" s="12" t="inlineStr">
        <is>
          <t>2026</t>
        </is>
      </c>
      <c r="D205" s="11" t="n"/>
      <c r="E205" s="13" t="inlineStr">
        <is>
          <t>Glimpses of an Ancient Civilisation: Society and Culture in Jaffna</t>
        </is>
      </c>
      <c r="F205" s="13" t="n"/>
      <c r="G205" s="13" t="inlineStr">
        <is>
          <t>The Island</t>
        </is>
      </c>
      <c r="H205" s="11" t="inlineStr">
        <is>
          <t>Book review</t>
        </is>
      </c>
      <c r="I205" s="11" t="inlineStr">
        <is>
          <t>English</t>
        </is>
      </c>
      <c r="J205" s="13" t="inlineStr">
        <is>
          <t>Brahmi / பிராமி</t>
        </is>
      </c>
      <c r="K205" s="13" t="inlineStr">
        <is>
          <t>Pathmanathan; book; Tamil-Brahmi</t>
        </is>
      </c>
      <c r="L205" s="11" t="inlineStr">
        <is>
          <t>Yes</t>
        </is>
      </c>
      <c r="M205" s="13" t="n"/>
      <c r="N205" s="14" t="inlineStr">
        <is>
          <t>https://island.lk/glimpses-of-an-ancient-civilisation-society-and-culture-in-jaffna/</t>
        </is>
      </c>
    </row>
    <row r="206">
      <c r="A206" s="7" t="inlineStr">
        <is>
          <t>ALL-0205</t>
        </is>
      </c>
      <c r="B206" s="7" t="inlineStr">
        <is>
          <t>Newspaper Articles</t>
        </is>
      </c>
      <c r="C206" s="8" t="inlineStr">
        <is>
          <t>2026</t>
        </is>
      </c>
      <c r="D206" s="7" t="inlineStr">
        <is>
          <t>2026-01-13</t>
        </is>
      </c>
      <c r="E206" s="9" t="inlineStr">
        <is>
          <t>A Historian In Focus: The Dark Side Of S Pathmanathan</t>
        </is>
      </c>
      <c r="F206" s="9" t="inlineStr">
        <is>
          <t>Darshanie Ratnawalli</t>
        </is>
      </c>
      <c r="G206" s="9" t="inlineStr">
        <is>
          <t>Colombo Telegraph</t>
        </is>
      </c>
      <c r="H206" s="7" t="inlineStr">
        <is>
          <t>Opinion</t>
        </is>
      </c>
      <c r="I206" s="7" t="inlineStr">
        <is>
          <t>English</t>
        </is>
      </c>
      <c r="J206" s="9" t="inlineStr">
        <is>
          <t>Brahmi / பிராமி</t>
        </is>
      </c>
      <c r="K206" s="9" t="inlineStr">
        <is>
          <t>Brahmi; Pathmanathan; debate</t>
        </is>
      </c>
      <c r="L206" s="7" t="inlineStr">
        <is>
          <t>Yes</t>
        </is>
      </c>
      <c r="M206" s="9" t="n"/>
      <c r="N206" s="10" t="inlineStr">
        <is>
          <t>https://www.colombotelegraph.com/index.php/a-historian-in-focus-the-dark-side-of-s-pathmanathan/</t>
        </is>
      </c>
    </row>
    <row r="207">
      <c r="A207" s="11" t="inlineStr">
        <is>
          <t>ALL-0206</t>
        </is>
      </c>
      <c r="B207" s="11" t="inlineStr">
        <is>
          <t>Newspaper Articles</t>
        </is>
      </c>
      <c r="C207" s="12" t="inlineStr">
        <is>
          <t>2026</t>
        </is>
      </c>
      <c r="D207" s="11" t="inlineStr">
        <is>
          <t>2026-01-23</t>
        </is>
      </c>
      <c r="E207" s="13" t="inlineStr">
        <is>
          <t>செங்கலடியில் அனுமதியின்றி நாட்டப்பட்ட தொல்பொருள் அடையாளப் பலகைகளை அகற்ற நடவடிக்கை</t>
        </is>
      </c>
      <c r="F207" s="13" t="n"/>
      <c r="G207" s="13" t="inlineStr">
        <is>
          <t>Tamilwin</t>
        </is>
      </c>
      <c r="H207" s="11" t="inlineStr">
        <is>
          <t>News</t>
        </is>
      </c>
      <c r="I207" s="11" t="inlineStr">
        <is>
          <t>Tamil</t>
        </is>
      </c>
      <c r="J207" s="13" t="inlineStr">
        <is>
          <t>Archaeology / தொல்லியல்</t>
        </is>
      </c>
      <c r="K207" s="13" t="inlineStr">
        <is>
          <t>தொல்லியல்; Chenkalady; signboards</t>
        </is>
      </c>
      <c r="L207" s="11" t="inlineStr">
        <is>
          <t>Yes</t>
        </is>
      </c>
      <c r="M207" s="13" t="inlineStr">
        <is>
          <t>Heritage dispute; date from URL timestamp</t>
        </is>
      </c>
      <c r="N207" s="14" t="inlineStr">
        <is>
          <t>https://tamilwin.com/article/remove-archaeological-permission-in-chengaladi-1769150736</t>
        </is>
      </c>
    </row>
    <row r="208">
      <c r="A208" s="7" t="inlineStr">
        <is>
          <t>ALL-0207</t>
        </is>
      </c>
      <c r="B208" s="7" t="inlineStr">
        <is>
          <t>Newspaper Articles</t>
        </is>
      </c>
      <c r="C208" s="8" t="inlineStr">
        <is>
          <t>2026</t>
        </is>
      </c>
      <c r="D208" s="7" t="inlineStr">
        <is>
          <t>2026-04-18</t>
        </is>
      </c>
      <c r="E208" s="9" t="inlineStr">
        <is>
          <t>New book by Tamil historian re-examines early Jaffna civilisation through inscriptions and archaeology</t>
        </is>
      </c>
      <c r="F208" s="9" t="n"/>
      <c r="G208" s="9" t="inlineStr">
        <is>
          <t>Tamil Guardian</t>
        </is>
      </c>
      <c r="H208" s="7" t="inlineStr">
        <is>
          <t>News</t>
        </is>
      </c>
      <c r="I208" s="7" t="inlineStr">
        <is>
          <t>English</t>
        </is>
      </c>
      <c r="J208" s="9" t="inlineStr">
        <is>
          <t>Inscriptions / கல்வெட்டு; Archaeology / தொல்லியல்</t>
        </is>
      </c>
      <c r="K208" s="9" t="inlineStr">
        <is>
          <t>Pathmanathan; book launch; inscriptions</t>
        </is>
      </c>
      <c r="L208" s="7" t="inlineStr">
        <is>
          <t>Yes</t>
        </is>
      </c>
      <c r="M208" s="9" t="n"/>
      <c r="N208" s="10" t="inlineStr">
        <is>
          <t>https://www.tamilguardian.com/content/prof-pathmanathans-new-book-sheds-light-early-jaffna-civilisation</t>
        </is>
      </c>
    </row>
    <row r="209">
      <c r="A209" s="11" t="inlineStr">
        <is>
          <t>ALL-0208</t>
        </is>
      </c>
      <c r="B209" s="11" t="inlineStr">
        <is>
          <t>Newspaper Articles</t>
        </is>
      </c>
      <c r="C209" s="12" t="inlineStr">
        <is>
          <t>2026</t>
        </is>
      </c>
      <c r="D209" s="11" t="inlineStr">
        <is>
          <t>2026-10-07</t>
        </is>
      </c>
      <c r="E209" s="13" t="inlineStr">
        <is>
          <t>Archaeology Department seeks 260 acres as monk targets second Hindu temple in Vavuniya</t>
        </is>
      </c>
      <c r="F209" s="13" t="n"/>
      <c r="G209" s="13" t="inlineStr">
        <is>
          <t>Tamil Guardian</t>
        </is>
      </c>
      <c r="H209" s="11" t="inlineStr">
        <is>
          <t>News</t>
        </is>
      </c>
      <c r="I209" s="11" t="inlineStr">
        <is>
          <t>English</t>
        </is>
      </c>
      <c r="J209" s="13" t="inlineStr">
        <is>
          <t>Archaeology / தொல்லியல்</t>
        </is>
      </c>
      <c r="K209" s="13" t="inlineStr">
        <is>
          <t>archaeology</t>
        </is>
      </c>
      <c r="L209" s="11" t="inlineStr">
        <is>
          <t>Yes</t>
        </is>
      </c>
      <c r="M209" s="13" t="inlineStr">
        <is>
          <t>Google News query: archaeology Vanni Tamil. Auto-collected 2026-10-14 (news); review.</t>
        </is>
      </c>
      <c r="N209" s="14" t="inlineStr">
        <is>
          <t>https://news.google.com/rss/articles/CBMiyAFBVV95cUxPck1TdFVQcDc3dXR2RzBfNko0V09ZWG44aUZsTWE3WmJIWWRkd3NXRDloS3FNbk9CbjFqNV9oTVo5MzA4MU1kYmU4b0VyZVRsMlNzOWJSSklRcnRySHNzaGRVWXl2VUhEVF9YV3JjVmNndC15STkwUmotOEhSTmNFQ1JZWUtTQktXNThKSzA3d25oWmpXVkxhVUZfaUpaOGpiaEx6enF2dmtmNGZpUXNRR3dEWTVETUdsb3BXY0FlWXFrVWNSMFdjNQ?oc=5</t>
        </is>
      </c>
    </row>
    <row r="210">
      <c r="A210" s="7" t="inlineStr">
        <is>
          <t>ALL-0209</t>
        </is>
      </c>
      <c r="B210" s="7" t="inlineStr">
        <is>
          <t>Newspaper Articles</t>
        </is>
      </c>
      <c r="C210" s="8" t="inlineStr">
        <is>
          <t>2025</t>
        </is>
      </c>
      <c r="D210" s="7" t="inlineStr">
        <is>
          <t>2025-04-19</t>
        </is>
      </c>
      <c r="E210" s="9" t="inlineStr">
        <is>
          <t>UNESCO recognizes Sri Lanka's Trilingual Inscription and 'Panadurawaadaya' documents as World Heritage</t>
        </is>
      </c>
      <c r="F210" s="9" t="n"/>
      <c r="G210" s="9" t="inlineStr">
        <is>
          <t>Daily News (Sri Lanka)</t>
        </is>
      </c>
      <c r="H210" s="7" t="inlineStr">
        <is>
          <t>News</t>
        </is>
      </c>
      <c r="I210" s="7" t="inlineStr">
        <is>
          <t>English</t>
        </is>
      </c>
      <c r="J210" s="9" t="inlineStr">
        <is>
          <t>Inscriptions / கல்வெட்டு; Archaeology / தொல்லியல்</t>
        </is>
      </c>
      <c r="K210" s="9" t="inlineStr">
        <is>
          <t>Galle trilingual inscription; UNESCO</t>
        </is>
      </c>
      <c r="L210" s="7" t="inlineStr">
        <is>
          <t>Yes</t>
        </is>
      </c>
      <c r="M210" s="9" t="n"/>
      <c r="N210" s="10" t="inlineStr">
        <is>
          <t>https://www.dailynews.lk/2025/04/19/admin-catagories/breaking-news/763455/unesco-recognizes-sri-lankas-trilingual-inscription-and-panadurawaadaya-documents-as-world-heritage/</t>
        </is>
      </c>
    </row>
    <row r="211">
      <c r="A211" s="11" t="inlineStr">
        <is>
          <t>ALL-0210</t>
        </is>
      </c>
      <c r="B211" s="11" t="inlineStr">
        <is>
          <t>Newspaper Articles</t>
        </is>
      </c>
      <c r="C211" s="12" t="inlineStr">
        <is>
          <t>2025</t>
        </is>
      </c>
      <c r="D211" s="11" t="inlineStr">
        <is>
          <t>2025-04-22</t>
        </is>
      </c>
      <c r="E211" s="13" t="inlineStr">
        <is>
          <t>Significance of Galle Trilingual Inscription's inclusion in the World Heritage List</t>
        </is>
      </c>
      <c r="F211" s="13" t="n"/>
      <c r="G211" s="13" t="inlineStr">
        <is>
          <t>Daily News (Sri Lanka)</t>
        </is>
      </c>
      <c r="H211" s="11" t="inlineStr">
        <is>
          <t>Feature</t>
        </is>
      </c>
      <c r="I211" s="11" t="inlineStr">
        <is>
          <t>English</t>
        </is>
      </c>
      <c r="J211" s="13" t="inlineStr">
        <is>
          <t>Inscriptions / கல்வெட்டு; Archaeology / தொல்லியல்</t>
        </is>
      </c>
      <c r="K211" s="13" t="inlineStr">
        <is>
          <t>Galle trilingual inscription; Tamil; UNESCO</t>
        </is>
      </c>
      <c r="L211" s="11" t="inlineStr">
        <is>
          <t>Yes</t>
        </is>
      </c>
      <c r="M211" s="13" t="n"/>
      <c r="N211" s="14" t="inlineStr">
        <is>
          <t>https://dailynews.lk/2025/04/22/features/764498/significance-of-galle-trilingual-inscriptions-inclusion-in-the-world-heritage-list/</t>
        </is>
      </c>
    </row>
    <row r="212">
      <c r="A212" s="7" t="inlineStr">
        <is>
          <t>ALL-0211</t>
        </is>
      </c>
      <c r="B212" s="7" t="inlineStr">
        <is>
          <t>Newspaper Articles</t>
        </is>
      </c>
      <c r="C212" s="8" t="inlineStr">
        <is>
          <t>2025</t>
        </is>
      </c>
      <c r="D212" s="7" t="inlineStr">
        <is>
          <t>2025-11-01</t>
        </is>
      </c>
      <c r="E212" s="9" t="inlineStr">
        <is>
          <t>Sinhala Buddhist monk alleges archaeology department official planted 'artefacts' in Kurunthurmalai</t>
        </is>
      </c>
      <c r="F212" s="9" t="n"/>
      <c r="G212" s="9" t="inlineStr">
        <is>
          <t>Tamil Guardian</t>
        </is>
      </c>
      <c r="H212" s="7" t="inlineStr">
        <is>
          <t>News</t>
        </is>
      </c>
      <c r="I212" s="7" t="inlineStr">
        <is>
          <t>English</t>
        </is>
      </c>
      <c r="J212" s="9" t="inlineStr">
        <is>
          <t>Archaeology / தொல்லியல்</t>
        </is>
      </c>
      <c r="K212" s="9" t="inlineStr">
        <is>
          <t>archaeology</t>
        </is>
      </c>
      <c r="L212" s="7" t="inlineStr">
        <is>
          <t>Yes</t>
        </is>
      </c>
      <c r="M212" s="9" t="inlineStr">
        <is>
          <t>Google News query: archaeology Vanni Tamil. Auto-collected 2026-10-14 (news); review.</t>
        </is>
      </c>
      <c r="N212" s="10" t="inlineStr">
        <is>
          <t>https://news.google.com/rss/articles/CBMiqAFBVV95cUxQWTZoOUtnRWRBOE11dkVZMDdERkVIdUt0Z08tbk04b0h6LWFEUHdDQ1ZtdU1QSE83R0pVN0FPZTB6cWVpNC1ISGtGTUkzLWhDRFhtamJXeFo4ZjJpM2RUQWZGb3dTR0RHVzhmZ2ZQQ0RRVjhGMl9LclZOVFhlZlBTQUs3RElIQ3BSYzJlc0lLVGxfYmxhSnZIWldBdTRlMHlqekp0MzNsRGs?oc=5</t>
        </is>
      </c>
    </row>
    <row r="213">
      <c r="A213" s="11" t="inlineStr">
        <is>
          <t>ALL-0212</t>
        </is>
      </c>
      <c r="B213" s="11" t="inlineStr">
        <is>
          <t>Newspaper Articles</t>
        </is>
      </c>
      <c r="C213" s="12" t="inlineStr">
        <is>
          <t>2025</t>
        </is>
      </c>
      <c r="D213" s="11" t="inlineStr">
        <is>
          <t>2025-11-21</t>
        </is>
      </c>
      <c r="E213" s="13" t="inlineStr">
        <is>
          <t>மட்டக்களப்பில் துரத்தியடிக்கப்பட்ட தொல்லியல் திணைக்களத்தினர்</t>
        </is>
      </c>
      <c r="F213" s="13" t="n"/>
      <c r="G213" s="13" t="inlineStr">
        <is>
          <t>IBC Tamil</t>
        </is>
      </c>
      <c r="H213" s="11" t="inlineStr">
        <is>
          <t>News</t>
        </is>
      </c>
      <c r="I213" s="11" t="inlineStr">
        <is>
          <t>Tamil</t>
        </is>
      </c>
      <c r="J213" s="13" t="inlineStr">
        <is>
          <t>Archaeology / தொல்லியல்</t>
        </is>
      </c>
      <c r="K213" s="13" t="inlineStr">
        <is>
          <t>தொல்லியல்; Batticaloa</t>
        </is>
      </c>
      <c r="L213" s="11" t="inlineStr">
        <is>
          <t>Yes</t>
        </is>
      </c>
      <c r="M213" s="13" t="inlineStr">
        <is>
          <t>Heritage dispute; date from URL timestamp</t>
        </is>
      </c>
      <c r="N213" s="14" t="inlineStr">
        <is>
          <t>https://ibctamil.com/article/department-of-archaeology-personnel-chased-away-1763743917</t>
        </is>
      </c>
    </row>
    <row r="214">
      <c r="A214" s="7" t="inlineStr">
        <is>
          <t>ALL-0213</t>
        </is>
      </c>
      <c r="B214" s="7" t="inlineStr">
        <is>
          <t>Newspaper Articles</t>
        </is>
      </c>
      <c r="C214" s="8" t="inlineStr">
        <is>
          <t>2025</t>
        </is>
      </c>
      <c r="D214" s="7" t="inlineStr">
        <is>
          <t>2025-12-27</t>
        </is>
      </c>
      <c r="E214" s="9" t="inlineStr">
        <is>
          <t>வவுனியா கல்லுமலை பிள்ளையார் ஆலய வளாகத்தில் முளைக்கும் விகாரை!</t>
        </is>
      </c>
      <c r="F214" s="9" t="n"/>
      <c r="G214" s="9" t="inlineStr">
        <is>
          <t>IBC Tamil</t>
        </is>
      </c>
      <c r="H214" s="7" t="inlineStr">
        <is>
          <t>News</t>
        </is>
      </c>
      <c r="I214" s="7" t="inlineStr">
        <is>
          <t>Tamil</t>
        </is>
      </c>
      <c r="J214" s="9" t="inlineStr">
        <is>
          <t>Archaeology / தொல்லியல்</t>
        </is>
      </c>
      <c r="K214" s="9" t="inlineStr">
        <is>
          <t>தொல்லியல்; archaeology department; Vavuniya</t>
        </is>
      </c>
      <c r="L214" s="7" t="inlineStr">
        <is>
          <t>Yes</t>
        </is>
      </c>
      <c r="M214" s="9" t="inlineStr">
        <is>
          <t>Heritage dispute; date from URL timestamp</t>
        </is>
      </c>
      <c r="N214" s="10" t="inlineStr">
        <is>
          <t>https://ibctamil.com/article/archaeology-dep-to-construct-a-vihara-in-vavuniya-1766829487</t>
        </is>
      </c>
    </row>
    <row r="215">
      <c r="A215" s="11" t="inlineStr">
        <is>
          <t>ALL-0214</t>
        </is>
      </c>
      <c r="B215" s="11" t="inlineStr">
        <is>
          <t>Newspaper Articles</t>
        </is>
      </c>
      <c r="C215" s="12" t="inlineStr">
        <is>
          <t>2025</t>
        </is>
      </c>
      <c r="D215" s="11" t="inlineStr">
        <is>
          <t>2025-12-27</t>
        </is>
      </c>
      <c r="E215" s="13" t="inlineStr">
        <is>
          <t>வவுனியா பிள்ளையார் ஆலய வளாகத்தில் விகாரை அமைக்கும் தொல்பொருள் திணைக்களம்</t>
        </is>
      </c>
      <c r="F215" s="13" t="n"/>
      <c r="G215" s="13" t="inlineStr">
        <is>
          <t>Tamilwin</t>
        </is>
      </c>
      <c r="H215" s="11" t="inlineStr">
        <is>
          <t>News</t>
        </is>
      </c>
      <c r="I215" s="11" t="inlineStr">
        <is>
          <t>Tamil</t>
        </is>
      </c>
      <c r="J215" s="13" t="inlineStr">
        <is>
          <t>Archaeology / தொல்லியல்</t>
        </is>
      </c>
      <c r="K215" s="13" t="inlineStr">
        <is>
          <t>தொல்லியல்; archaeology department; Vavuniya</t>
        </is>
      </c>
      <c r="L215" s="11" t="inlineStr">
        <is>
          <t>Yes</t>
        </is>
      </c>
      <c r="M215" s="13" t="inlineStr">
        <is>
          <t>Heritage dispute; date from URL timestamp</t>
        </is>
      </c>
      <c r="N215" s="14" t="inlineStr">
        <is>
          <t>https://tamilwin.com/article/viharaya-in-the-pillayar-temple-complex-vavuniya-1766838422</t>
        </is>
      </c>
    </row>
    <row r="216">
      <c r="A216" s="7" t="inlineStr">
        <is>
          <t>ALL-0215</t>
        </is>
      </c>
      <c r="B216" s="7" t="inlineStr">
        <is>
          <t>Newspaper Articles</t>
        </is>
      </c>
      <c r="C216" s="8" t="inlineStr">
        <is>
          <t>2024</t>
        </is>
      </c>
      <c r="D216" s="7" t="inlineStr">
        <is>
          <t>2024-02-24</t>
        </is>
      </c>
      <c r="E216" s="9" t="inlineStr">
        <is>
          <t>இலங்கையில் கண்டுபிடிக்கப்பட்ட நிலக்கீழ் நகரம்</t>
        </is>
      </c>
      <c r="F216" s="9" t="n"/>
      <c r="G216" s="9" t="inlineStr">
        <is>
          <t>IBC Tamil</t>
        </is>
      </c>
      <c r="H216" s="7" t="inlineStr">
        <is>
          <t>News</t>
        </is>
      </c>
      <c r="I216" s="7" t="inlineStr">
        <is>
          <t>Tamil</t>
        </is>
      </c>
      <c r="J216" s="9" t="inlineStr">
        <is>
          <t>Archaeology / தொல்லியல்</t>
        </is>
      </c>
      <c r="K216" s="9" t="inlineStr">
        <is>
          <t>தொல்லியல்; Polonnaruwa</t>
        </is>
      </c>
      <c r="L216" s="7" t="inlineStr">
        <is>
          <t>Yes</t>
        </is>
      </c>
      <c r="M216" s="9" t="inlineStr">
        <is>
          <t>URL timestamp Feb 2024</t>
        </is>
      </c>
      <c r="N216" s="10" t="inlineStr">
        <is>
          <t>https://ibctamil.com/article/an-underground-city-discovered-in-polonnaruwa-sl-1708747886</t>
        </is>
      </c>
    </row>
    <row r="217">
      <c r="A217" s="11" t="inlineStr">
        <is>
          <t>ALL-0216</t>
        </is>
      </c>
      <c r="B217" s="11" t="inlineStr">
        <is>
          <t>Newspaper Articles</t>
        </is>
      </c>
      <c r="C217" s="12" t="inlineStr">
        <is>
          <t>2024</t>
        </is>
      </c>
      <c r="D217" s="11" t="inlineStr">
        <is>
          <t>2024-07-06</t>
        </is>
      </c>
      <c r="E217" s="13" t="inlineStr">
        <is>
          <t>Exploring Sri Lanka's archaeological and cultural treasures</t>
        </is>
      </c>
      <c r="F217" s="13" t="n"/>
      <c r="G217" s="13" t="inlineStr">
        <is>
          <t>Wanderlust Travel Magazine</t>
        </is>
      </c>
      <c r="H217" s="11" t="inlineStr">
        <is>
          <t>News</t>
        </is>
      </c>
      <c r="I217" s="11" t="inlineStr">
        <is>
          <t>English</t>
        </is>
      </c>
      <c r="J217" s="13" t="inlineStr">
        <is>
          <t>Archaeology / தொல்லியல்</t>
        </is>
      </c>
      <c r="K217" s="13" t="inlineStr">
        <is>
          <t>archaeological</t>
        </is>
      </c>
      <c r="L217" s="11" t="inlineStr">
        <is>
          <t>Yes</t>
        </is>
      </c>
      <c r="M217" s="13" t="inlineStr">
        <is>
          <t>Google News query: rock art Sri Lanka. Auto-collected 2026-10-14 (news); review.</t>
        </is>
      </c>
      <c r="N217" s="14" t="inlineStr">
        <is>
          <t>https://news.google.com/rss/articles/CBMiggFBVV95cUxQczl0U3RlM2Y4UjFBSU1ULWtUTEpFaXZIb3pBLTRkTmpoOEh5Nzc4MzlMNVM4MGpEd0FhWFVJTE84ZnZ3ZnVDUWVjUnBOVThrTndsX3gxT0g0ZkxlWDQyLWVRNDdFZ25HXzdlZWZmQ2ZZZFlMUHVHYm1DLWdVZjVuNmdR?oc=5</t>
        </is>
      </c>
    </row>
    <row r="218">
      <c r="A218" s="7" t="inlineStr">
        <is>
          <t>ALL-0217</t>
        </is>
      </c>
      <c r="B218" s="7" t="inlineStr">
        <is>
          <t>Newspaper Articles</t>
        </is>
      </c>
      <c r="C218" s="8" t="inlineStr">
        <is>
          <t>2024</t>
        </is>
      </c>
      <c r="D218" s="7" t="inlineStr">
        <is>
          <t>2024-08-22</t>
        </is>
      </c>
      <c r="E218" s="9" t="inlineStr">
        <is>
          <t>Fact Check: அனுமனின் கதாயுதம் ஒன்று இலங்கையில் தொல்லியல் அகழாய்வின் போது கண்டெடுக்கப்பட்டதா?</t>
        </is>
      </c>
      <c r="F218" s="9" t="n"/>
      <c r="G218" s="9" t="inlineStr">
        <is>
          <t>NewsMeter</t>
        </is>
      </c>
      <c r="H218" s="7" t="inlineStr">
        <is>
          <t>News</t>
        </is>
      </c>
      <c r="I218" s="7" t="inlineStr">
        <is>
          <t>Tamil</t>
        </is>
      </c>
      <c r="J218" s="9" t="inlineStr">
        <is>
          <t>Archaeology / தொல்லியல்</t>
        </is>
      </c>
      <c r="K218" s="9" t="inlineStr">
        <is>
          <t>தொல்லியல்</t>
        </is>
      </c>
      <c r="L218" s="7" t="inlineStr">
        <is>
          <t>Yes</t>
        </is>
      </c>
      <c r="M218" s="9" t="inlineStr">
        <is>
          <t>Google News query: தொல்லியல் இலங்கை தமிழ். Auto-collected 2026-10-14 (news); review.</t>
        </is>
      </c>
      <c r="N218" s="10" t="inlineStr">
        <is>
          <t>https://news.google.com/rss/articles/CBMinAFBVV95cUxPc0xxall2V0toUHFjdEpHdGd3YV9VWTZja0htbkJXNFEyNmVJMlF1WGJsZnlXeXVlemltbDRfMHdYYXlLZ0swRlVVbW1uU0pUc3ppZkc2Qmlnc0Y1WFl3SXpINzJFRUZYVWxNRDV5YUNEanAxZE4tMG9hT0hZQnNXYWNhM1VMRHV6b25iN3ZPZUNzZzJYeVB5VlZlUEY?oc=5</t>
        </is>
      </c>
    </row>
    <row r="219">
      <c r="A219" s="11" t="inlineStr">
        <is>
          <t>ALL-0218</t>
        </is>
      </c>
      <c r="B219" s="11" t="inlineStr">
        <is>
          <t>Newspaper Articles</t>
        </is>
      </c>
      <c r="C219" s="12" t="inlineStr">
        <is>
          <t>2023</t>
        </is>
      </c>
      <c r="D219" s="11" t="inlineStr">
        <is>
          <t>2023-03-27</t>
        </is>
      </c>
      <c r="E219" s="13" t="inlineStr">
        <is>
          <t>வவுனியா - வெடுக்குநாறி மலை விவகாரம்: வன்மையாகக் கண்டிப்பதாகக் கூறும் அனந்தி!</t>
        </is>
      </c>
      <c r="F219" s="13" t="n"/>
      <c r="G219" s="13" t="inlineStr">
        <is>
          <t>Tamilwin</t>
        </is>
      </c>
      <c r="H219" s="11" t="inlineStr">
        <is>
          <t>News</t>
        </is>
      </c>
      <c r="I219" s="11" t="inlineStr">
        <is>
          <t>Tamil</t>
        </is>
      </c>
      <c r="J219" s="13" t="inlineStr">
        <is>
          <t>Archaeology / தொல்லியல்</t>
        </is>
      </c>
      <c r="K219" s="13" t="inlineStr">
        <is>
          <t>Vedukkunari hill; archaeology; heritage</t>
        </is>
      </c>
      <c r="L219" s="11" t="inlineStr">
        <is>
          <t>Yes</t>
        </is>
      </c>
      <c r="M219" s="13" t="inlineStr">
        <is>
          <t>Heritage dispute; date from URL timestamp</t>
        </is>
      </c>
      <c r="N219" s="14" t="inlineStr">
        <is>
          <t>https://tamilwin.com/article/vedukunari-hill-affair-1679899848</t>
        </is>
      </c>
    </row>
    <row r="220">
      <c r="A220" s="7" t="inlineStr">
        <is>
          <t>ALL-0219</t>
        </is>
      </c>
      <c r="B220" s="7" t="inlineStr">
        <is>
          <t>Newspaper Articles</t>
        </is>
      </c>
      <c r="C220" s="8" t="inlineStr">
        <is>
          <t>2023</t>
        </is>
      </c>
      <c r="D220" s="7" t="inlineStr">
        <is>
          <t>2023-03-29</t>
        </is>
      </c>
      <c r="E220" s="9" t="inlineStr">
        <is>
          <t>இலங்கையின் தொல்லியல் சிறப்புமிக்க ஆதிலிங்கேஸ்வரர் ஆலயம் உடைப்பு - அரசாங்கம் என்ன சொல்கிறது?</t>
        </is>
      </c>
      <c r="F220" s="9" t="n"/>
      <c r="G220" s="9" t="inlineStr">
        <is>
          <t>BBC</t>
        </is>
      </c>
      <c r="H220" s="7" t="inlineStr">
        <is>
          <t>News</t>
        </is>
      </c>
      <c r="I220" s="7" t="inlineStr">
        <is>
          <t>Tamil</t>
        </is>
      </c>
      <c r="J220" s="9" t="inlineStr">
        <is>
          <t>Archaeology / தொல்லியல்</t>
        </is>
      </c>
      <c r="K220" s="9" t="inlineStr">
        <is>
          <t>தொல்லியல்</t>
        </is>
      </c>
      <c r="L220" s="7" t="inlineStr">
        <is>
          <t>Yes</t>
        </is>
      </c>
      <c r="M220" s="9" t="inlineStr">
        <is>
          <t>Google News query: தொல்லியல் இலங்கை தமிழ். Auto-collected 2026-10-14 (news); review.</t>
        </is>
      </c>
      <c r="N220" s="10" t="inlineStr">
        <is>
          <t>https://news.google.com/rss/articles/CBMiW0FVX3lxTE02dFpiVWFGNWlFWExhWUxUelI2X0tYY3kxak4tYWx2ZDhrSld0SC11ZzVxZXhLV3lNWEhMeUdaQUZfZWQ2MkNLMk9JMTNUUkVwRzhlUDFvZ3VlWlHSAWBBVV95cUxPOUhPNUd4LXgwN2hvRVJod0pXWnNDbjJ1S1U3U0xRVHpDQzZCYldGY3hBZWtCbGFycEt3N1U4bzNPT0dEeXVkRnc3QVdRLXNuU0l3ZXp3YlZ1dWJZSVRRQ04?oc=5</t>
        </is>
      </c>
    </row>
    <row r="221">
      <c r="A221" s="11" t="inlineStr">
        <is>
          <t>ALL-0220</t>
        </is>
      </c>
      <c r="B221" s="11" t="inlineStr">
        <is>
          <t>Newspaper Articles</t>
        </is>
      </c>
      <c r="C221" s="12" t="inlineStr">
        <is>
          <t>2023</t>
        </is>
      </c>
      <c r="D221" s="11" t="inlineStr">
        <is>
          <t>2023-08-11</t>
        </is>
      </c>
      <c r="E221" s="13" t="inlineStr">
        <is>
          <t>கீரிமலை கேணியையும் தொல்லியல் திணைக்களம் கட்டுப்பாட்டுக்குள் கொண்டுவர முயற்சி - அகில இலங்கை இந்து மாமன்றம்</t>
        </is>
      </c>
      <c r="F221" s="13" t="n"/>
      <c r="G221" s="13" t="inlineStr">
        <is>
          <t>Lanka Truth</t>
        </is>
      </c>
      <c r="H221" s="11" t="inlineStr">
        <is>
          <t>News</t>
        </is>
      </c>
      <c r="I221" s="11" t="inlineStr">
        <is>
          <t>Tamil</t>
        </is>
      </c>
      <c r="J221" s="13" t="inlineStr">
        <is>
          <t>Archaeology / தொல்லியல்</t>
        </is>
      </c>
      <c r="K221" s="13" t="inlineStr">
        <is>
          <t>தொல்லியல்</t>
        </is>
      </c>
      <c r="L221" s="11" t="inlineStr">
        <is>
          <t>Yes</t>
        </is>
      </c>
      <c r="M221" s="13" t="inlineStr">
        <is>
          <t>Google News query: தொல்லியல் இலங்கை தமிழ். Auto-collected 2026-10-14 (news); review.</t>
        </is>
      </c>
      <c r="N221" s="14" t="inlineStr">
        <is>
          <t>https://news.google.com/rss/articles/CBMiSkFVX3lxTE9RWHRpZjlDZE92MEg4bC1VRXFNMjNpSlotREpZclVwU2tncGcyRWFNUnpxQ1ZJTmlRZS1VanBPWl9XNVdjcWhtd29R?oc=5</t>
        </is>
      </c>
    </row>
    <row r="222">
      <c r="A222" s="7" t="inlineStr">
        <is>
          <t>ALL-0221</t>
        </is>
      </c>
      <c r="B222" s="7" t="inlineStr">
        <is>
          <t>Newspaper Articles</t>
        </is>
      </c>
      <c r="C222" s="8" t="inlineStr">
        <is>
          <t>2023</t>
        </is>
      </c>
      <c r="D222" s="7" t="inlineStr">
        <is>
          <t>2023-09-13</t>
        </is>
      </c>
      <c r="E222" s="9" t="inlineStr">
        <is>
          <t>இலங்கை இனவாத குழுக்கள் சர்ச்சைக்குரிய தொல்பொருள் பிரதேசம் தொடர்பாக இனவாத பதட்டங்களை கிளப்பி வருகின்றன</t>
        </is>
      </c>
      <c r="F222" s="9" t="n"/>
      <c r="G222" s="9" t="inlineStr">
        <is>
          <t>World Socialist Web Site</t>
        </is>
      </c>
      <c r="H222" s="7" t="inlineStr">
        <is>
          <t>News</t>
        </is>
      </c>
      <c r="I222" s="7" t="inlineStr">
        <is>
          <t>Tamil</t>
        </is>
      </c>
      <c r="J222" s="9" t="inlineStr">
        <is>
          <t>Archaeology / தொல்லியல்</t>
        </is>
      </c>
      <c r="K222" s="9" t="inlineStr">
        <is>
          <t>தொல்பொருள்</t>
        </is>
      </c>
      <c r="L222" s="7" t="inlineStr">
        <is>
          <t>Yes</t>
        </is>
      </c>
      <c r="M222" s="9" t="inlineStr">
        <is>
          <t>Google News query: தொல்லியல் இலங்கை தமிழ். Auto-collected 2026-10-14 (news); review.</t>
        </is>
      </c>
      <c r="N222" s="10" t="inlineStr">
        <is>
          <t>https://news.google.com/rss/articles/CBMiaEFVX3lxTE9mazdldjk2bWROTF9UYjJKOWhvMk9hQUwwcGdfbjgwYVN4a2phYktJU3RfWHpUSzFxZlpLQmhURWxacjJWYTNFZEFMNlFuWG13S1Rra1ZVZGdPcU40bmZxS2p5M09wT09h?oc=5</t>
        </is>
      </c>
    </row>
    <row r="223">
      <c r="A223" s="11" t="inlineStr">
        <is>
          <t>ALL-0222</t>
        </is>
      </c>
      <c r="B223" s="11" t="inlineStr">
        <is>
          <t>Newspaper Articles</t>
        </is>
      </c>
      <c r="C223" s="12" t="inlineStr">
        <is>
          <t>2023</t>
        </is>
      </c>
      <c r="D223" s="11" t="inlineStr">
        <is>
          <t>2023-09-27</t>
        </is>
      </c>
      <c r="E223" s="13" t="inlineStr">
        <is>
          <t>Shared heritage of archaeological sites in the North and East</t>
        </is>
      </c>
      <c r="F223" s="13" t="n"/>
      <c r="G223" s="13" t="inlineStr">
        <is>
          <t>Daily Mirror - Sri Lanka</t>
        </is>
      </c>
      <c r="H223" s="11" t="inlineStr">
        <is>
          <t>News</t>
        </is>
      </c>
      <c r="I223" s="11" t="inlineStr">
        <is>
          <t>English</t>
        </is>
      </c>
      <c r="J223" s="13" t="inlineStr">
        <is>
          <t>Archaeology / தொல்லியல்</t>
        </is>
      </c>
      <c r="K223" s="13" t="inlineStr">
        <is>
          <t>archaeological</t>
        </is>
      </c>
      <c r="L223" s="11" t="inlineStr">
        <is>
          <t>Yes</t>
        </is>
      </c>
      <c r="M223" s="13" t="inlineStr">
        <is>
          <t>Google News query: Tamil inscription Sri Lanka. Auto-collected 2026-10-14 (news); review.</t>
        </is>
      </c>
      <c r="N223" s="14" t="inlineStr">
        <is>
          <t>https://news.google.com/rss/articles/CBMiqwFBVV95cUxPWG1naE01WFRxUkhWX2kwWWRWTlJaZy1heUNCOG9pcTZ5eUtqbjlPc1BRVHlBQm1ST0hvQmk5TDlMeVZXQlNwUXBWelhMdGNmLVc3ck0yR2MzWUtSS0xQdW5uRjhFa0lPTVZ2Q08yUkg3aXhLeGdtdllzYWZGV2pad2IzbkIwdk54T0tneHl3bzZUU0gyRWRIU2gwX21BUmV1Zm1Vc2pZNkx3cms?oc=5</t>
        </is>
      </c>
    </row>
    <row r="224">
      <c r="A224" s="7" t="inlineStr">
        <is>
          <t>ALL-0223</t>
        </is>
      </c>
      <c r="B224" s="7" t="inlineStr">
        <is>
          <t>Newspaper Articles</t>
        </is>
      </c>
      <c r="C224" s="8" t="inlineStr">
        <is>
          <t>2023</t>
        </is>
      </c>
      <c r="D224" s="7" t="inlineStr">
        <is>
          <t>2023-11-09</t>
        </is>
      </c>
      <c r="E224" s="9" t="inlineStr">
        <is>
          <t>இலங்கையில் மிகப் பெரிய கல்வெட்டு கண்டுபிடிப்பு</t>
        </is>
      </c>
      <c r="F224" s="9" t="n"/>
      <c r="G224" s="9" t="inlineStr">
        <is>
          <t>මුල් පිටුව</t>
        </is>
      </c>
      <c r="H224" s="7" t="inlineStr">
        <is>
          <t>News</t>
        </is>
      </c>
      <c r="I224" s="7" t="inlineStr">
        <is>
          <t>Tamil</t>
        </is>
      </c>
      <c r="J224" s="9" t="inlineStr">
        <is>
          <t>Inscriptions / கல்வெட்டு</t>
        </is>
      </c>
      <c r="K224" s="9" t="inlineStr">
        <is>
          <t>கல்வெட்டு</t>
        </is>
      </c>
      <c r="L224" s="7" t="inlineStr">
        <is>
          <t>Yes</t>
        </is>
      </c>
      <c r="M224" s="9" t="inlineStr">
        <is>
          <t>Google News query: கல்வெட்டு இலங்கை. Auto-collected 2026-10-14 (news); review.</t>
        </is>
      </c>
      <c r="N224" s="10" t="inlineStr">
        <is>
          <t>https://news.google.com/rss/articles/CBMiV0FVX3lxTE0xSVZDa2M2cjhyOFJNVzZ4UEt2TnRyanBkaXBhSmxhTElobUFMNWhic0dWMlloejhDY3NaOGVEMnNnN0liY1B6cjR1OTFMOVowUUp1YzQ1WQ?oc=5</t>
        </is>
      </c>
    </row>
    <row r="225">
      <c r="A225" s="11" t="inlineStr">
        <is>
          <t>ALL-0224</t>
        </is>
      </c>
      <c r="B225" s="11" t="inlineStr">
        <is>
          <t>Newspaper Articles</t>
        </is>
      </c>
      <c r="C225" s="12" t="inlineStr">
        <is>
          <t>2022</t>
        </is>
      </c>
      <c r="D225" s="11" t="inlineStr">
        <is>
          <t>2022-09-23</t>
        </is>
      </c>
      <c r="E225" s="13" t="inlineStr">
        <is>
          <t>குருந்தூர்மலை, திருக்கோணேஸ்வரம் ஆக்கிரமிப்புக்களை உடன் நிறுத்துக! சுமந்திரன்</t>
        </is>
      </c>
      <c r="F225" s="13" t="n"/>
      <c r="G225" s="13" t="inlineStr">
        <is>
          <t>Tamilwin</t>
        </is>
      </c>
      <c r="H225" s="11" t="inlineStr">
        <is>
          <t>News</t>
        </is>
      </c>
      <c r="I225" s="11" t="inlineStr">
        <is>
          <t>Tamil</t>
        </is>
      </c>
      <c r="J225" s="13" t="inlineStr">
        <is>
          <t>Archaeology / தொல்லியல்</t>
        </is>
      </c>
      <c r="K225" s="13" t="inlineStr">
        <is>
          <t>Kurunthurmalai; Koneswaram; archaeology</t>
        </is>
      </c>
      <c r="L225" s="11" t="inlineStr">
        <is>
          <t>Yes</t>
        </is>
      </c>
      <c r="M225" s="13" t="inlineStr">
        <is>
          <t>Heritage dispute; date from URL timestamp</t>
        </is>
      </c>
      <c r="N225" s="14" t="inlineStr">
        <is>
          <t>https://tamilwin.com/article/sri-lanka-parliament-sumanthiran-thirukoneshwaram-1663923669</t>
        </is>
      </c>
    </row>
    <row r="226">
      <c r="A226" s="7" t="inlineStr">
        <is>
          <t>ALL-0225</t>
        </is>
      </c>
      <c r="B226" s="7" t="inlineStr">
        <is>
          <t>Newspaper Articles</t>
        </is>
      </c>
      <c r="C226" s="8" t="inlineStr">
        <is>
          <t>2021</t>
        </is>
      </c>
      <c r="D226" s="7" t="inlineStr">
        <is>
          <t>2021-11-22</t>
        </is>
      </c>
      <c r="E226" s="9" t="inlineStr">
        <is>
          <t>இலங்கை தமிழர் வரலாறு பற்றி இதுவரை அறியப்படாத புதிய கல்வெட்டு திருகோணமலையில் கண்டுபிடிப்பு</t>
        </is>
      </c>
      <c r="F226" s="9" t="n"/>
      <c r="G226" s="9" t="inlineStr">
        <is>
          <t>Virakesari</t>
        </is>
      </c>
      <c r="H226" s="7" t="inlineStr">
        <is>
          <t>News</t>
        </is>
      </c>
      <c r="I226" s="7" t="inlineStr">
        <is>
          <t>Tamil</t>
        </is>
      </c>
      <c r="J226" s="9" t="inlineStr">
        <is>
          <t>Inscriptions / கல்வெட்டு</t>
        </is>
      </c>
      <c r="K226" s="9" t="inlineStr">
        <is>
          <t>கல்வெட்டு; Trincomalee</t>
        </is>
      </c>
      <c r="L226" s="7" t="inlineStr">
        <is>
          <t>Yes</t>
        </is>
      </c>
      <c r="M226" s="9" t="inlineStr">
        <is>
          <t>URL timestamp suggests Nov 2021</t>
        </is>
      </c>
      <c r="N226" s="10" t="inlineStr">
        <is>
          <t>https://www.virakesari.lk/article/117633</t>
        </is>
      </c>
    </row>
    <row r="227">
      <c r="A227" s="11" t="inlineStr">
        <is>
          <t>ALL-0226</t>
        </is>
      </c>
      <c r="B227" s="11" t="inlineStr">
        <is>
          <t>Newspaper Articles</t>
        </is>
      </c>
      <c r="C227" s="12" t="inlineStr">
        <is>
          <t>2021</t>
        </is>
      </c>
      <c r="D227" s="11" t="inlineStr">
        <is>
          <t>2021-11-22</t>
        </is>
      </c>
      <c r="E227" s="13" t="inlineStr">
        <is>
          <t>இலங்கை தமிழர் வரலாறு: புதிய தகவல்களைக் கூறும் 13ஆம் நூற்றாண்டு கல்வெட்டு</t>
        </is>
      </c>
      <c r="F227" s="13" t="n"/>
      <c r="G227" s="13" t="inlineStr">
        <is>
          <t>BBC</t>
        </is>
      </c>
      <c r="H227" s="11" t="inlineStr">
        <is>
          <t>News</t>
        </is>
      </c>
      <c r="I227" s="11" t="inlineStr">
        <is>
          <t>Tamil</t>
        </is>
      </c>
      <c r="J227" s="13" t="inlineStr">
        <is>
          <t>Inscriptions / கல்வெட்டு</t>
        </is>
      </c>
      <c r="K227" s="13" t="inlineStr">
        <is>
          <t>கல்வெட்டு</t>
        </is>
      </c>
      <c r="L227" s="11" t="inlineStr">
        <is>
          <t>Yes</t>
        </is>
      </c>
      <c r="M227" s="13" t="inlineStr">
        <is>
          <t>Google News query: கல்வெட்டு இலங்கை. Auto-collected 2026-10-14 (news); review.</t>
        </is>
      </c>
      <c r="N227" s="14" t="inlineStr">
        <is>
          <t>https://news.google.com/rss/articles/CBMiV0FVX3lxTE9uajJZaVFzTk1NVFFqRDNVVTNHU3dVc0xySDB6Tk9LbmxIeHR4SkozOUxJN2lQTlFMa2hjaXJXakVjaWJmZ0xJcW1EQ0k3bUUyLVpfbVpMUdIBXEFVX3lxTFAtSEZTSzdPd25Oa1FFMFB2NGNHRFVIYjB4NWdIbXl3a0pmNXlRcjItZjhmLWNxbHItLUFUamVkSWpxblA3YUU5SUoxclFVTDhNR1pXaVZTelFLc2N1?oc=5</t>
        </is>
      </c>
    </row>
    <row r="228">
      <c r="A228" s="7" t="inlineStr">
        <is>
          <t>ALL-0227</t>
        </is>
      </c>
      <c r="B228" s="7" t="inlineStr">
        <is>
          <t>Newspaper Articles</t>
        </is>
      </c>
      <c r="C228" s="8" t="inlineStr">
        <is>
          <t>2021</t>
        </is>
      </c>
      <c r="D228" s="7" t="inlineStr">
        <is>
          <t>2023-01-03</t>
        </is>
      </c>
      <c r="E228" s="9" t="inlineStr">
        <is>
          <t>தமிழ் இராச்சியத்தின் தோற்றம் பற்றிய முன்னைய வரலாற்றுப் பார்வையை மீள் வாசிப்பிற்கு உட்படுத்தும் அரிய தமிழ்க் கல்வெட்டு திருகோணமலையில் கண்டுபிடிப்பு!</t>
        </is>
      </c>
      <c r="F228" s="9" t="inlineStr">
        <is>
          <t>பரமு புஷ்பரட்ணம்</t>
        </is>
      </c>
      <c r="G228" s="9" t="inlineStr">
        <is>
          <t>Athavan News</t>
        </is>
      </c>
      <c r="H228" s="7" t="inlineStr">
        <is>
          <t>News</t>
        </is>
      </c>
      <c r="I228" s="7" t="inlineStr">
        <is>
          <t>Tamil</t>
        </is>
      </c>
      <c r="J228" s="9" t="inlineStr">
        <is>
          <t>Inscriptions / கல்வெட்டு</t>
        </is>
      </c>
      <c r="K228" s="9" t="inlineStr">
        <is>
          <t>கல்வெட்டு; Trincomalee; Tamil kingdom</t>
        </is>
      </c>
      <c r="L228" s="7" t="inlineStr">
        <is>
          <t>Yes</t>
        </is>
      </c>
      <c r="M228" s="9" t="n"/>
      <c r="N228" s="10" t="inlineStr">
        <is>
          <t>https://athavannews.com/2021/1251617</t>
        </is>
      </c>
    </row>
    <row r="229">
      <c r="A229" s="11" t="inlineStr">
        <is>
          <t>ALL-0228</t>
        </is>
      </c>
      <c r="B229" s="11" t="inlineStr">
        <is>
          <t>Newspaper Articles</t>
        </is>
      </c>
      <c r="C229" s="12" t="inlineStr">
        <is>
          <t>2020</t>
        </is>
      </c>
      <c r="D229" s="11" t="inlineStr">
        <is>
          <t>2020-12-01</t>
        </is>
      </c>
      <c r="E229" s="13" t="inlineStr">
        <is>
          <t>Sri Lanka’s archaeology department acquires ‘ancient monastery site’ in Jaffna</t>
        </is>
      </c>
      <c r="F229" s="13" t="n"/>
      <c r="G229" s="13" t="inlineStr">
        <is>
          <t>Tamil Guardian</t>
        </is>
      </c>
      <c r="H229" s="11" t="inlineStr">
        <is>
          <t>News</t>
        </is>
      </c>
      <c r="I229" s="11" t="inlineStr">
        <is>
          <t>English</t>
        </is>
      </c>
      <c r="J229" s="13" t="inlineStr">
        <is>
          <t>Archaeology / தொல்லியல்</t>
        </is>
      </c>
      <c r="K229" s="13" t="inlineStr">
        <is>
          <t>archaeology</t>
        </is>
      </c>
      <c r="L229" s="11" t="inlineStr">
        <is>
          <t>Yes</t>
        </is>
      </c>
      <c r="M229" s="13" t="inlineStr">
        <is>
          <t>Google News query: archaeology Jaffna. Auto-collected 2026-10-14 (news); review.</t>
        </is>
      </c>
      <c r="N229" s="14" t="inlineStr">
        <is>
          <t>https://news.google.com/rss/articles/CBMirwFBVV95cUxOcjFjTFg2ZzhVRzlEakRZekNFeXQzR2ZuQUdDcXFNdG9rQ2JoV2RaYzNnOF9La29FX3BnZXRvY3d3SnlCakNhQVg1dVJ3WnVkT3BwYWZYTnlTdTVoOXBlVDJKc3ZMbmo0bEhmM1pkUGRfdHk2NmEwVFpUNkE3c1FOQl9qVXdEa0JiSXQwWmJvek91dVN0Y0M5NGwxQkQtUDQxLXFib25oWkdNWnlNOGJV?oc=5</t>
        </is>
      </c>
    </row>
    <row r="230">
      <c r="A230" s="7" t="inlineStr">
        <is>
          <t>ALL-0229</t>
        </is>
      </c>
      <c r="B230" s="7" t="inlineStr">
        <is>
          <t>Newspaper Articles</t>
        </is>
      </c>
      <c r="C230" s="8" t="inlineStr">
        <is>
          <t>2019</t>
        </is>
      </c>
      <c r="D230" s="7" t="inlineStr">
        <is>
          <t>2019-03-17</t>
        </is>
      </c>
      <c r="E230" s="9" t="inlineStr">
        <is>
          <t>இலங்கையில் பெருங்கற்காலத்தில் தமிழர்கள் வாழ்ந்த இடம்; அழிந்து வருவதாக மக்கள் கவலை</t>
        </is>
      </c>
      <c r="F230" s="9" t="n"/>
      <c r="G230" s="9" t="inlineStr">
        <is>
          <t>BBC</t>
        </is>
      </c>
      <c r="H230" s="7" t="inlineStr">
        <is>
          <t>News</t>
        </is>
      </c>
      <c r="I230" s="7" t="inlineStr">
        <is>
          <t>Tamil</t>
        </is>
      </c>
      <c r="J230" s="9" t="inlineStr">
        <is>
          <t>Archaeology / தொல்லியல்</t>
        </is>
      </c>
      <c r="K230" s="9" t="inlineStr">
        <is>
          <t>பெருங்கற்</t>
        </is>
      </c>
      <c r="L230" s="7" t="inlineStr">
        <is>
          <t>Yes</t>
        </is>
      </c>
      <c r="M230" s="9" t="inlineStr">
        <is>
          <t>Google News query: தொல்லியல் இலங்கை தமிழ். Auto-collected 2026-10-14 (news); review.</t>
        </is>
      </c>
      <c r="N230" s="10" t="inlineStr">
        <is>
          <t>https://news.google.com/rss/articles/CBMiV0FVX3lxTE81SUxqWmhQSjVTVWh3S1VLZGV2MHAyTjNDOHBDeHhXX0pCZVJjakRFSnRZQWtxRXdLS2lwakp5eGNiZC1RbGxRUVFrMWpfRDc1VnNSZUFSc9IBXEFVX3lxTFBNa3dMSUJMS0hJVEhnNXZpTzB3b2RFWWhhNDJhN0JDdTFsOU13bVVJZ2RfdUNPVkItQUlHcm9sTEF6NE4xckhmd3gyZVlQTlFTaTQ5NXBfWUx3MnlH?oc=5</t>
        </is>
      </c>
    </row>
    <row r="231">
      <c r="A231" s="11" t="inlineStr">
        <is>
          <t>ALL-0230</t>
        </is>
      </c>
      <c r="B231" s="11" t="inlineStr">
        <is>
          <t>Newspaper Articles</t>
        </is>
      </c>
      <c r="C231" s="12" t="inlineStr">
        <is>
          <t>2019</t>
        </is>
      </c>
      <c r="D231" s="11" t="inlineStr">
        <is>
          <t>2019-05-30</t>
        </is>
      </c>
      <c r="E231" s="13" t="inlineStr">
        <is>
          <t>30.05.19 SL Archaeology Dept steps up controversial construction work in Trincomalee</t>
        </is>
      </c>
      <c r="F231" s="13" t="n"/>
      <c r="G231" s="13" t="inlineStr">
        <is>
          <t>TamilNet</t>
        </is>
      </c>
      <c r="H231" s="11" t="inlineStr">
        <is>
          <t>News</t>
        </is>
      </c>
      <c r="I231" s="11" t="inlineStr">
        <is>
          <t>English</t>
        </is>
      </c>
      <c r="J231" s="13" t="inlineStr">
        <is>
          <t>Archaeology / தொல்லியல்</t>
        </is>
      </c>
      <c r="K231" s="13" t="inlineStr">
        <is>
          <t>archaeology</t>
        </is>
      </c>
      <c r="L231" s="11" t="inlineStr">
        <is>
          <t>Yes</t>
        </is>
      </c>
      <c r="M231" s="13" t="inlineStr">
        <is>
          <t>Google News query: archaeology Vanni Tamil. Auto-collected 2026-10-14 (news); review.</t>
        </is>
      </c>
      <c r="N231" s="14" t="inlineStr">
        <is>
          <t>https://news.google.com/rss/articles/CBMiZEFVX3lxTFBaOXhuY19ZUk1ySExJdXFObDBJWDEzMmtqZVhLNTNoNVhhZWhvQm1Idy1uUWRiU1h2Nkg4UWRMTmtNLVhOWU0zSzdBWFZjdzEwQnJtX0FLd1FnWXlpYVl0TU9OSG0?oc=5</t>
        </is>
      </c>
    </row>
    <row r="232">
      <c r="A232" s="7" t="inlineStr">
        <is>
          <t>ALL-0231</t>
        </is>
      </c>
      <c r="B232" s="7" t="inlineStr">
        <is>
          <t>Newspaper Articles</t>
        </is>
      </c>
      <c r="C232" s="8" t="inlineStr">
        <is>
          <t>2019</t>
        </is>
      </c>
      <c r="D232" s="7" t="inlineStr">
        <is>
          <t>2019-08-19</t>
        </is>
      </c>
      <c r="E232" s="9" t="inlineStr">
        <is>
          <t>Tamil archaeological site under threat from granite mining</t>
        </is>
      </c>
      <c r="F232" s="9" t="n"/>
      <c r="G232" s="9" t="inlineStr">
        <is>
          <t>Tamil Guardian</t>
        </is>
      </c>
      <c r="H232" s="7" t="inlineStr">
        <is>
          <t>News</t>
        </is>
      </c>
      <c r="I232" s="7" t="inlineStr">
        <is>
          <t>English</t>
        </is>
      </c>
      <c r="J232" s="9" t="inlineStr">
        <is>
          <t>Archaeology / தொல்லியல்</t>
        </is>
      </c>
      <c r="K232" s="9" t="inlineStr">
        <is>
          <t>archaeological</t>
        </is>
      </c>
      <c r="L232" s="7" t="inlineStr">
        <is>
          <t>Yes</t>
        </is>
      </c>
      <c r="M232" s="9" t="inlineStr">
        <is>
          <t>Google News query: archaeology Vanni Tamil. Auto-collected 2026-10-14 (news); review.</t>
        </is>
      </c>
      <c r="N232" s="10" t="inlineStr">
        <is>
          <t>https://news.google.com/rss/articles/CBMilgFBVV95cUxPWjg3MzRjZlBYMTRYN2tEcGc5VXRTM25lZTlxYXl1RnhwLTdRQlRxYURPNE1oSGt0VFMxQ2pvNEg1LURmdF9rZ1NhZUNUU2lmSHIyMFpQTFU4cXAxTjZhN3Jsd2FhajVVdjN1dS1zUmptcFNJU0t1dlREZVRTbHAzV1JsTDM4dk9TLXQ2S0dIa3BBVzNnTnc?oc=5</t>
        </is>
      </c>
    </row>
    <row r="233">
      <c r="A233" s="11" t="inlineStr">
        <is>
          <t>ALL-0232</t>
        </is>
      </c>
      <c r="B233" s="11" t="inlineStr">
        <is>
          <t>Newspaper Articles</t>
        </is>
      </c>
      <c r="C233" s="12" t="inlineStr">
        <is>
          <t>2019</t>
        </is>
      </c>
      <c r="D233" s="11" t="inlineStr">
        <is>
          <t>2019-09-30</t>
        </is>
      </c>
      <c r="E233" s="13" t="inlineStr">
        <is>
          <t>Monument to Tamil king in disrepair as Sri Lanka’s archaeology department ignores destruction</t>
        </is>
      </c>
      <c r="F233" s="13" t="n"/>
      <c r="G233" s="13" t="inlineStr">
        <is>
          <t>Tamil Guardian</t>
        </is>
      </c>
      <c r="H233" s="11" t="inlineStr">
        <is>
          <t>News</t>
        </is>
      </c>
      <c r="I233" s="11" t="inlineStr">
        <is>
          <t>English</t>
        </is>
      </c>
      <c r="J233" s="13" t="inlineStr">
        <is>
          <t>Archaeology / தொல்லியல்</t>
        </is>
      </c>
      <c r="K233" s="13" t="inlineStr">
        <is>
          <t>archaeology</t>
        </is>
      </c>
      <c r="L233" s="11" t="inlineStr">
        <is>
          <t>Yes</t>
        </is>
      </c>
      <c r="M233" s="13" t="inlineStr">
        <is>
          <t>Google News query: archaeology Vanni Tamil. Auto-collected 2026-10-14 (news); review.</t>
        </is>
      </c>
      <c r="N233" s="14" t="inlineStr">
        <is>
          <t>https://news.google.com/rss/articles/CBMivgFBVV95cUxORWRSQ0xORzJLQ2RoNE9KNWhjRnlENktmc2RIZk1VcXIwaWlLZTUwb09YcG1Pc3d2Yk00M0o5cWVsUUV5RmlhajdNeHJaS1dNZmcwUFU1SFh1TEVVbzF4Q0w5R2NvVjZzR1gwbWxIWXNadWlVNHloMUFzdW1yemNIdHE3WWlWbGNUNkpwVUFiTGU3RUJHZ2J1NHFmd2haakE3cGc0T21JMHU2T05TQWkzNWg2NzFkV0hmcWRJVWxn?oc=5</t>
        </is>
      </c>
    </row>
    <row r="234">
      <c r="A234" s="7" t="inlineStr">
        <is>
          <t>ALL-0233</t>
        </is>
      </c>
      <c r="B234" s="7" t="inlineStr">
        <is>
          <t>Newspaper Articles</t>
        </is>
      </c>
      <c r="C234" s="8" t="inlineStr">
        <is>
          <t>2019</t>
        </is>
      </c>
      <c r="D234" s="7" t="inlineStr">
        <is>
          <t>2019-10-01</t>
        </is>
      </c>
      <c r="E234" s="9" t="inlineStr">
        <is>
          <t>பல ஆண்டுகளுக்குப் பின் தம்பலகாமத்தில் கண்டுபிடிக்கப்பட்ட அரிய தமிழ்க்கல்வெட்டு</t>
        </is>
      </c>
      <c r="F234" s="9" t="n"/>
      <c r="G234" s="9" t="inlineStr">
        <is>
          <t>Virakesari</t>
        </is>
      </c>
      <c r="H234" s="7" t="inlineStr">
        <is>
          <t>News</t>
        </is>
      </c>
      <c r="I234" s="7" t="inlineStr">
        <is>
          <t>Tamil</t>
        </is>
      </c>
      <c r="J234" s="9" t="inlineStr">
        <is>
          <t>Inscriptions / கல்வெட்டு</t>
        </is>
      </c>
      <c r="K234" s="9" t="inlineStr">
        <is>
          <t>கல்வெட்டு</t>
        </is>
      </c>
      <c r="L234" s="7" t="inlineStr">
        <is>
          <t>Yes</t>
        </is>
      </c>
      <c r="M234" s="9" t="inlineStr">
        <is>
          <t>Google News query: கல்வெட்டு இலங்கை. Auto-collected 2026-10-14 (news); review.</t>
        </is>
      </c>
      <c r="N234" s="10" t="inlineStr">
        <is>
          <t>https://news.google.com/rss/articles/CBMiUEFVX3lxTFBoclkwMTRjdmdKLWZ2aVE4Tk5VNUd5VlAyeVM4WG5EVHBNUFFfT2lwTkVweC1qLTJNODhBRE1wdUcxdVpvU3NVXzJFeGFKMXFp?oc=5</t>
        </is>
      </c>
    </row>
    <row r="235">
      <c r="A235" s="11" t="inlineStr">
        <is>
          <t>ALL-0234</t>
        </is>
      </c>
      <c r="B235" s="11" t="inlineStr">
        <is>
          <t>Newspaper Articles</t>
        </is>
      </c>
      <c r="C235" s="12" t="inlineStr">
        <is>
          <t>2018</t>
        </is>
      </c>
      <c r="D235" s="11" t="inlineStr">
        <is>
          <t>2018-02-11</t>
        </is>
      </c>
      <c r="E235" s="13" t="inlineStr">
        <is>
          <t>Head to the East for a feast of archaeological sites</t>
        </is>
      </c>
      <c r="F235" s="13" t="n"/>
      <c r="G235" s="13" t="inlineStr">
        <is>
          <t>Sunday Times (Sri Lanka)</t>
        </is>
      </c>
      <c r="H235" s="11" t="inlineStr">
        <is>
          <t>Feature</t>
        </is>
      </c>
      <c r="I235" s="11" t="inlineStr">
        <is>
          <t>English</t>
        </is>
      </c>
      <c r="J235" s="13" t="inlineStr">
        <is>
          <t>Archaeology / தொல்லியல்</t>
        </is>
      </c>
      <c r="K235" s="13" t="inlineStr">
        <is>
          <t>archaeology; Eastern Province</t>
        </is>
      </c>
      <c r="L235" s="11" t="inlineStr">
        <is>
          <t>Yes</t>
        </is>
      </c>
      <c r="M235" s="13" t="n"/>
      <c r="N235" s="14" t="inlineStr">
        <is>
          <t>https://www.sundaytimes.lk/180211/plus/head-to-the-east-for-a-feast-of-archaeological-sites-281129.html</t>
        </is>
      </c>
    </row>
    <row r="236">
      <c r="A236" s="7" t="inlineStr">
        <is>
          <t>ALL-0235</t>
        </is>
      </c>
      <c r="B236" s="7" t="inlineStr">
        <is>
          <t>Newspaper Articles</t>
        </is>
      </c>
      <c r="C236" s="8" t="inlineStr">
        <is>
          <t>2018</t>
        </is>
      </c>
      <c r="D236" s="7" t="inlineStr">
        <is>
          <t>2018-08-16</t>
        </is>
      </c>
      <c r="E236" s="9" t="inlineStr">
        <is>
          <t>New Delhi with ‘cultural presence’ not concerned about Chinese ‘heritage archaeology’ in Kayts</t>
        </is>
      </c>
      <c r="F236" s="9" t="n"/>
      <c r="G236" s="9" t="inlineStr">
        <is>
          <t>TamilNet</t>
        </is>
      </c>
      <c r="H236" s="7" t="inlineStr">
        <is>
          <t>News</t>
        </is>
      </c>
      <c r="I236" s="7" t="inlineStr">
        <is>
          <t>English</t>
        </is>
      </c>
      <c r="J236" s="9" t="inlineStr">
        <is>
          <t>Archaeology / தொல்லியல்</t>
        </is>
      </c>
      <c r="K236" s="9" t="inlineStr">
        <is>
          <t>archaeology</t>
        </is>
      </c>
      <c r="L236" s="7" t="inlineStr">
        <is>
          <t>Yes</t>
        </is>
      </c>
      <c r="M236" s="9" t="inlineStr">
        <is>
          <t>Google News query: archaeology Jaffna. Auto-collected 2026-10-14 (news); review.</t>
        </is>
      </c>
      <c r="N236" s="10" t="inlineStr">
        <is>
          <t>https://news.google.com/rss/articles/CBMiZEFVX3lxTE1OS2ZQSnVTU3JtZVR3Umthby1VWWZYdU1yakJCUExKQ0IzVG56Vm1JRDZDWkF2YV9waVZzWnowWWtkbjFxSWJMVlVSN01SRUtXeTdjNl9YQ0NlZloxUzU0N1ljeVQ?oc=5</t>
        </is>
      </c>
    </row>
    <row r="237">
      <c r="A237" s="11" t="inlineStr">
        <is>
          <t>ALL-0236</t>
        </is>
      </c>
      <c r="B237" s="11" t="inlineStr">
        <is>
          <t>Newspaper Articles</t>
        </is>
      </c>
      <c r="C237" s="12" t="inlineStr">
        <is>
          <t>2018</t>
        </is>
      </c>
      <c r="D237" s="11" t="inlineStr">
        <is>
          <t>2018-09-15</t>
        </is>
      </c>
      <c r="E237" s="13" t="inlineStr">
        <is>
          <t>China and Sri Lanka unite in Maritime Silk Road archaeological research</t>
        </is>
      </c>
      <c r="F237" s="13" t="n"/>
      <c r="G237" s="13" t="inlineStr">
        <is>
          <t>CGTN</t>
        </is>
      </c>
      <c r="H237" s="11" t="inlineStr">
        <is>
          <t>News</t>
        </is>
      </c>
      <c r="I237" s="11" t="inlineStr">
        <is>
          <t>English</t>
        </is>
      </c>
      <c r="J237" s="13" t="inlineStr">
        <is>
          <t>Archaeology / தொல்லியல்</t>
        </is>
      </c>
      <c r="K237" s="13" t="inlineStr">
        <is>
          <t>archaeological</t>
        </is>
      </c>
      <c r="L237" s="11" t="inlineStr">
        <is>
          <t>Yes</t>
        </is>
      </c>
      <c r="M237" s="13" t="inlineStr">
        <is>
          <t>Google News query: archaeology Jaffna. Auto-collected 2026-10-14 (news); review.</t>
        </is>
      </c>
      <c r="N237" s="14" t="inlineStr">
        <is>
          <t>https://news.google.com/rss/articles/CBMiekFVX3lxTE1nWlpPYTI1SEhvalJHYk9hYlBjX09Ib2hFNVlaTWxEcGhjS25hTnZuWm9uaDdic2U0cHZyQ2RITWpkSTBTRHdCZ25jeTFlSkF0WFdCb2dENmgwLXdvRDZKRlB0c1lhQWxvX1VxdTVSSTdvM0E2TW93WllB0gF_QVVfeXFMT1dFYWh0UEZ3NmR3dC04MUpNZGVvaFp4Q2oyZndXaHlEeHVlV3Y4dWJRWEN0WW1nTmpZZ2pnLVM3VXU2dW5SY2NLamNFcUFNZmVsdXk3U2czUzN2bjlfMk9oaUhDUWhvaTVYdmQ3bUxKMll6dWRBRGFHOE9odGgydw?oc=5</t>
        </is>
      </c>
    </row>
    <row r="238">
      <c r="A238" s="7" t="inlineStr">
        <is>
          <t>ALL-0237</t>
        </is>
      </c>
      <c r="B238" s="7" t="inlineStr">
        <is>
          <t>Newspaper Articles</t>
        </is>
      </c>
      <c r="C238" s="8" t="inlineStr">
        <is>
          <t>2017</t>
        </is>
      </c>
      <c r="D238" s="7" t="inlineStr">
        <is>
          <t>2017-01-04</t>
        </is>
      </c>
      <c r="E238" s="9" t="inlineStr">
        <is>
          <t>Standing the test of time</t>
        </is>
      </c>
      <c r="F238" s="9" t="n"/>
      <c r="G238" s="9" t="inlineStr">
        <is>
          <t>Daily News (Sri Lanka)</t>
        </is>
      </c>
      <c r="H238" s="7" t="inlineStr">
        <is>
          <t>Feature</t>
        </is>
      </c>
      <c r="I238" s="7" t="inlineStr">
        <is>
          <t>English</t>
        </is>
      </c>
      <c r="J238" s="9" t="inlineStr">
        <is>
          <t>Archaeology / தொல்லியல்</t>
        </is>
      </c>
      <c r="K238" s="9" t="inlineStr">
        <is>
          <t>archaeology</t>
        </is>
      </c>
      <c r="L238" s="7" t="inlineStr">
        <is>
          <t>Yes</t>
        </is>
      </c>
      <c r="M238" s="9" t="inlineStr">
        <is>
          <t>Relevance to verify</t>
        </is>
      </c>
      <c r="N238" s="10" t="inlineStr">
        <is>
          <t>https://archives1.dailynews.lk/2017/01/04/features/103659</t>
        </is>
      </c>
    </row>
    <row r="239">
      <c r="A239" s="11" t="inlineStr">
        <is>
          <t>ALL-0238</t>
        </is>
      </c>
      <c r="B239" s="11" t="inlineStr">
        <is>
          <t>Newspaper Articles</t>
        </is>
      </c>
      <c r="C239" s="12" t="inlineStr">
        <is>
          <t>2017</t>
        </is>
      </c>
      <c r="D239" s="11" t="inlineStr">
        <is>
          <t>2017-12-20</t>
        </is>
      </c>
      <c r="E239" s="13" t="inlineStr">
        <is>
          <t>Sri Lankan troops in Jaffna lectured on ‘archaeology’</t>
        </is>
      </c>
      <c r="F239" s="13" t="n"/>
      <c r="G239" s="13" t="inlineStr">
        <is>
          <t>Tamil Guardian</t>
        </is>
      </c>
      <c r="H239" s="11" t="inlineStr">
        <is>
          <t>News</t>
        </is>
      </c>
      <c r="I239" s="11" t="inlineStr">
        <is>
          <t>English</t>
        </is>
      </c>
      <c r="J239" s="13" t="inlineStr">
        <is>
          <t>Archaeology / தொல்லியல்</t>
        </is>
      </c>
      <c r="K239" s="13" t="inlineStr">
        <is>
          <t>archaeology</t>
        </is>
      </c>
      <c r="L239" s="11" t="inlineStr">
        <is>
          <t>Yes</t>
        </is>
      </c>
      <c r="M239" s="13" t="inlineStr">
        <is>
          <t>Google News query: archaeology Jaffna. Auto-collected 2026-10-14 (news); review.</t>
        </is>
      </c>
      <c r="N239" s="14" t="inlineStr">
        <is>
          <t>https://news.google.com/rss/articles/CBMiiwFBVV95cUxPcWJrT2RRWFB4dzZmS1RJY0FoOFZoQzY1ZWJsM0kzZGc4ZlNtZDZIVzBFYVdxdlZsbXNVeF9xOGJqLWh3d0xCNnIxRm5TV2d5RFN0QWJ1ZFJCazdrM1hlVmRXNHBub0pCdHd6Wk1LcTFnY3dydi1xd0J0dUxUNThpZVdnTjJGOUZHVXhF?oc=5</t>
        </is>
      </c>
    </row>
    <row r="240">
      <c r="A240" s="7" t="inlineStr">
        <is>
          <t>ALL-0239</t>
        </is>
      </c>
      <c r="B240" s="7" t="inlineStr">
        <is>
          <t>Newspaper Articles</t>
        </is>
      </c>
      <c r="C240" s="8" t="inlineStr">
        <is>
          <t>2014</t>
        </is>
      </c>
      <c r="D240" s="7" t="inlineStr">
        <is>
          <t>2014-06-06</t>
        </is>
      </c>
      <c r="E240" s="9" t="inlineStr">
        <is>
          <t>06.06.14 SL Army conducts ‘archaeology’, The Hindu relays ‘history’</t>
        </is>
      </c>
      <c r="F240" s="9" t="n"/>
      <c r="G240" s="9" t="inlineStr">
        <is>
          <t>TamilNet</t>
        </is>
      </c>
      <c r="H240" s="7" t="inlineStr">
        <is>
          <t>News</t>
        </is>
      </c>
      <c r="I240" s="7" t="inlineStr">
        <is>
          <t>English</t>
        </is>
      </c>
      <c r="J240" s="9" t="inlineStr">
        <is>
          <t>Archaeology / தொல்லியல்</t>
        </is>
      </c>
      <c r="K240" s="9" t="inlineStr">
        <is>
          <t>archaeology</t>
        </is>
      </c>
      <c r="L240" s="7" t="inlineStr">
        <is>
          <t>Yes</t>
        </is>
      </c>
      <c r="M240" s="9" t="inlineStr">
        <is>
          <t>Google News query: archaeology Jaffna. Auto-collected 2026-10-14 (news); review.</t>
        </is>
      </c>
      <c r="N240" s="10" t="inlineStr">
        <is>
          <t>https://news.google.com/rss/articles/CBMiZEFVX3lxTE1LRUlucXZoVEVIaGlNTU1tN3BjNmpYdGQ3eVhfeTJVb1JMTGhWMndLQVhWTl9VOUZrSm92Z3NFak5OQ05rdGdLLTN2SFNaR0tkT21zVHV0NTdncGN2QmVyT1YyVnA?oc=5</t>
        </is>
      </c>
    </row>
    <row r="241">
      <c r="A241" s="11" t="inlineStr">
        <is>
          <t>ALL-0240</t>
        </is>
      </c>
      <c r="B241" s="11" t="inlineStr">
        <is>
          <t>Newspaper Articles</t>
        </is>
      </c>
      <c r="C241" s="12" t="inlineStr">
        <is>
          <t>2014</t>
        </is>
      </c>
      <c r="D241" s="11" t="inlineStr">
        <is>
          <t>2014-09-21</t>
        </is>
      </c>
      <c r="E241" s="13" t="inlineStr">
        <is>
          <t>A visit marked in stone</t>
        </is>
      </c>
      <c r="F241" s="13" t="inlineStr">
        <is>
          <t>Vinusha Paulraj, Purnima Pilapitiya</t>
        </is>
      </c>
      <c r="G241" s="13" t="inlineStr">
        <is>
          <t>Sunday Times (Sri Lanka)</t>
        </is>
      </c>
      <c r="H241" s="11" t="inlineStr">
        <is>
          <t>Feature</t>
        </is>
      </c>
      <c r="I241" s="11" t="inlineStr">
        <is>
          <t>English</t>
        </is>
      </c>
      <c r="J241" s="13" t="inlineStr">
        <is>
          <t>Inscriptions / கல்வெட்டு</t>
        </is>
      </c>
      <c r="K241" s="13" t="inlineStr">
        <is>
          <t>Galle trilingual inscription; Tamil</t>
        </is>
      </c>
      <c r="L241" s="11" t="inlineStr">
        <is>
          <t>Yes</t>
        </is>
      </c>
      <c r="M241" s="13" t="n"/>
      <c r="N241" s="14" t="inlineStr">
        <is>
          <t>https://www.sundaytimes.lk/140921/plus/a-visit-marked-in-stone-118621.html</t>
        </is>
      </c>
    </row>
    <row r="242">
      <c r="A242" s="7" t="inlineStr">
        <is>
          <t>ALL-0241</t>
        </is>
      </c>
      <c r="B242" s="7" t="inlineStr">
        <is>
          <t>Newspaper Articles</t>
        </is>
      </c>
      <c r="C242" s="8" t="inlineStr">
        <is>
          <t>2013</t>
        </is>
      </c>
      <c r="D242" s="7" t="inlineStr">
        <is>
          <t>2013-03-10</t>
        </is>
      </c>
      <c r="E242" s="9" t="inlineStr">
        <is>
          <t>(Rock painting feature)</t>
        </is>
      </c>
      <c r="F242" s="9" t="n"/>
      <c r="G242" s="9" t="inlineStr">
        <is>
          <t>Sunday Observer</t>
        </is>
      </c>
      <c r="H242" s="7" t="inlineStr">
        <is>
          <t>Feature</t>
        </is>
      </c>
      <c r="I242" s="7" t="inlineStr">
        <is>
          <t>English</t>
        </is>
      </c>
      <c r="J242" s="9" t="inlineStr">
        <is>
          <t>Rock art / பாறை ஓவியம்</t>
        </is>
      </c>
      <c r="K242" s="9" t="inlineStr">
        <is>
          <t>rock paintings</t>
        </is>
      </c>
      <c r="L242" s="7" t="inlineStr">
        <is>
          <t>Yes</t>
        </is>
      </c>
      <c r="M242" s="9" t="inlineStr">
        <is>
          <t>Title to verify</t>
        </is>
      </c>
      <c r="N242" s="10" t="inlineStr">
        <is>
          <t>https://archives.sundayobserver.lk/2013/03/10/mon13.asp</t>
        </is>
      </c>
    </row>
    <row r="243">
      <c r="A243" s="11" t="inlineStr">
        <is>
          <t>ALL-0242</t>
        </is>
      </c>
      <c r="B243" s="11" t="inlineStr">
        <is>
          <t>Newspaper Articles</t>
        </is>
      </c>
      <c r="C243" s="12" t="inlineStr">
        <is>
          <t>2013</t>
        </is>
      </c>
      <c r="D243" s="11" t="inlineStr">
        <is>
          <t>2013-07-27</t>
        </is>
      </c>
      <c r="E243" s="13" t="inlineStr">
        <is>
          <t>Sinhala archaeology focuses operation in North-East corridor</t>
        </is>
      </c>
      <c r="F243" s="13" t="n"/>
      <c r="G243" s="13" t="inlineStr">
        <is>
          <t>TamilNet</t>
        </is>
      </c>
      <c r="H243" s="11" t="inlineStr">
        <is>
          <t>News</t>
        </is>
      </c>
      <c r="I243" s="11" t="inlineStr">
        <is>
          <t>English</t>
        </is>
      </c>
      <c r="J243" s="13" t="inlineStr">
        <is>
          <t>Archaeology / தொல்லியல்</t>
        </is>
      </c>
      <c r="K243" s="13" t="inlineStr">
        <is>
          <t>archaeology; North-East</t>
        </is>
      </c>
      <c r="L243" s="11" t="inlineStr">
        <is>
          <t>Yes</t>
        </is>
      </c>
      <c r="M243" s="13" t="n"/>
      <c r="N243" s="14" t="inlineStr">
        <is>
          <t>https://www.tamilnet.com/art.html?artid=36503&amp;catid=79</t>
        </is>
      </c>
    </row>
    <row r="244">
      <c r="A244" s="7" t="inlineStr">
        <is>
          <t>ALL-0243</t>
        </is>
      </c>
      <c r="B244" s="7" t="inlineStr">
        <is>
          <t>Newspaper Articles</t>
        </is>
      </c>
      <c r="C244" s="8" t="inlineStr">
        <is>
          <t>2013</t>
        </is>
      </c>
      <c r="D244" s="7" t="inlineStr">
        <is>
          <t>2013-09-13</t>
        </is>
      </c>
      <c r="E244" s="9" t="inlineStr">
        <is>
          <t>13.09.13 Sri Lanka archaeology claims finding ‘Sinhala Prakrit’ in Delft</t>
        </is>
      </c>
      <c r="F244" s="9" t="n"/>
      <c r="G244" s="9" t="inlineStr">
        <is>
          <t>TamilNet</t>
        </is>
      </c>
      <c r="H244" s="7" t="inlineStr">
        <is>
          <t>News</t>
        </is>
      </c>
      <c r="I244" s="7" t="inlineStr">
        <is>
          <t>English</t>
        </is>
      </c>
      <c r="J244" s="9" t="inlineStr">
        <is>
          <t>Archaeology / தொல்லியல்</t>
        </is>
      </c>
      <c r="K244" s="9" t="inlineStr">
        <is>
          <t>archaeology</t>
        </is>
      </c>
      <c r="L244" s="7" t="inlineStr">
        <is>
          <t>Yes</t>
        </is>
      </c>
      <c r="M244" s="9" t="inlineStr">
        <is>
          <t>Google News query: Tamil inscription Sri Lanka. Auto-collected 2026-10-14 (news); review.</t>
        </is>
      </c>
      <c r="N244" s="10" t="inlineStr">
        <is>
          <t>https://news.google.com/rss/articles/CBMiZEFVX3lxTE9kekJTQWdVczhfMzVmbF9ETVpFUHFGbEw2Mk5LR2JoSXFEelNqZEE5TmJ2VkhubTZJcnJKeE1MLUNTeTdGZFkwbkJQU3dwLTBRSkluenBvbnJraDk3cHN3aER3SW8?oc=5</t>
        </is>
      </c>
    </row>
    <row r="245">
      <c r="A245" s="11" t="inlineStr">
        <is>
          <t>ALL-0244</t>
        </is>
      </c>
      <c r="B245" s="11" t="inlineStr">
        <is>
          <t>Newspaper Articles</t>
        </is>
      </c>
      <c r="C245" s="12" t="inlineStr">
        <is>
          <t>2012</t>
        </is>
      </c>
      <c r="D245" s="11" t="inlineStr">
        <is>
          <t>2012-10-30</t>
        </is>
      </c>
      <c r="E245" s="13" t="inlineStr">
        <is>
          <t>Tamil went to Oman 20 centuries ago</t>
        </is>
      </c>
      <c r="F245" s="13" t="n"/>
      <c r="G245" s="13" t="inlineStr">
        <is>
          <t>TamilNet</t>
        </is>
      </c>
      <c r="H245" s="11" t="inlineStr">
        <is>
          <t>News</t>
        </is>
      </c>
      <c r="I245" s="11" t="inlineStr">
        <is>
          <t>English</t>
        </is>
      </c>
      <c r="J245" s="13" t="inlineStr">
        <is>
          <t>Brahmi / பிராமி</t>
        </is>
      </c>
      <c r="K245" s="13" t="inlineStr">
        <is>
          <t>Tamil Brahmi; overseas</t>
        </is>
      </c>
      <c r="L245" s="11" t="inlineStr">
        <is>
          <t>Yes</t>
        </is>
      </c>
      <c r="M245" s="13" t="n"/>
      <c r="N245" s="14" t="inlineStr">
        <is>
          <t>https://tamilnet.com/art.html?artid=35707&amp;catid=79</t>
        </is>
      </c>
    </row>
    <row r="246">
      <c r="A246" s="7" t="inlineStr">
        <is>
          <t>ALL-0245</t>
        </is>
      </c>
      <c r="B246" s="7" t="inlineStr">
        <is>
          <t>Newspaper Articles</t>
        </is>
      </c>
      <c r="C246" s="8" t="inlineStr">
        <is>
          <t>2011</t>
        </is>
      </c>
      <c r="D246" s="7" t="n"/>
      <c r="E246" s="9" t="inlineStr">
        <is>
          <t>Would the heritage monuments which characterize our culture be considered during road development?</t>
        </is>
      </c>
      <c r="F246" s="9" t="inlineStr">
        <is>
          <t>S. Sajitharan</t>
        </is>
      </c>
      <c r="G246" s="9" t="inlineStr">
        <is>
          <t>Sunday Yarl Thinakkural</t>
        </is>
      </c>
      <c r="H246" s="7" t="inlineStr">
        <is>
          <t>Feature</t>
        </is>
      </c>
      <c r="I246" s="7" t="inlineStr">
        <is>
          <t>Tamil</t>
        </is>
      </c>
      <c r="J246" s="9" t="inlineStr">
        <is>
          <t>Archaeology / தொல்லியல்</t>
        </is>
      </c>
      <c r="K246" s="9" t="inlineStr">
        <is>
          <t>heritage; monuments</t>
        </is>
      </c>
      <c r="L246" s="7" t="inlineStr">
        <is>
          <t>Yes</t>
        </is>
      </c>
      <c r="M246" s="9" t="n"/>
      <c r="N246" s="10" t="inlineStr">
        <is>
          <t>https://www.his.jfn.ac.lk/?p=791</t>
        </is>
      </c>
    </row>
    <row r="247">
      <c r="A247" s="11" t="inlineStr">
        <is>
          <t>ALL-0246</t>
        </is>
      </c>
      <c r="B247" s="11" t="inlineStr">
        <is>
          <t>Newspaper Articles</t>
        </is>
      </c>
      <c r="C247" s="12" t="inlineStr">
        <is>
          <t>2011</t>
        </is>
      </c>
      <c r="D247" s="11" t="inlineStr">
        <is>
          <t>2011-02-15</t>
        </is>
      </c>
      <c r="E247" s="13" t="inlineStr">
        <is>
          <t>அழிந்த சிவன் கோயிலின் எச்சங்கள்</t>
        </is>
      </c>
      <c r="F247" s="13" t="n"/>
      <c r="G247" s="13" t="inlineStr">
        <is>
          <t>Thinakaran</t>
        </is>
      </c>
      <c r="H247" s="11" t="inlineStr">
        <is>
          <t>Feature</t>
        </is>
      </c>
      <c r="I247" s="11" t="inlineStr">
        <is>
          <t>Tamil</t>
        </is>
      </c>
      <c r="J247" s="13" t="inlineStr">
        <is>
          <t>Archaeology / தொல்லியல்</t>
        </is>
      </c>
      <c r="K247" s="13" t="inlineStr">
        <is>
          <t>தொல்லியல்; temple ruins</t>
        </is>
      </c>
      <c r="L247" s="11" t="inlineStr">
        <is>
          <t>Yes</t>
        </is>
      </c>
      <c r="M247" s="13" t="n"/>
      <c r="N247" s="14" t="inlineStr">
        <is>
          <t>https://archives.thinakaran.lk/2011/02/15/?fn=i1102155&amp;p=1</t>
        </is>
      </c>
    </row>
    <row r="248">
      <c r="A248" s="7" t="inlineStr">
        <is>
          <t>ALL-0247</t>
        </is>
      </c>
      <c r="B248" s="7" t="inlineStr">
        <is>
          <t>Newspaper Articles</t>
        </is>
      </c>
      <c r="C248" s="8" t="inlineStr">
        <is>
          <t>2010</t>
        </is>
      </c>
      <c r="D248" s="7" t="inlineStr">
        <is>
          <t>2010-06-27</t>
        </is>
      </c>
      <c r="E248" s="9" t="inlineStr">
        <is>
          <t>Tamil Brahmi inscription found in Tissamaharama</t>
        </is>
      </c>
      <c r="F248" s="9" t="n"/>
      <c r="G248" s="9" t="inlineStr">
        <is>
          <t>TamilNet</t>
        </is>
      </c>
      <c r="H248" s="7" t="inlineStr">
        <is>
          <t>News</t>
        </is>
      </c>
      <c r="I248" s="7" t="inlineStr">
        <is>
          <t>English</t>
        </is>
      </c>
      <c r="J248" s="9" t="inlineStr">
        <is>
          <t>Inscriptions / கல்வெட்டு; Brahmi / பிராமி</t>
        </is>
      </c>
      <c r="K248" s="9" t="inlineStr">
        <is>
          <t>Tamil Brahmi; Tissamaharama</t>
        </is>
      </c>
      <c r="L248" s="7" t="inlineStr">
        <is>
          <t>Yes</t>
        </is>
      </c>
      <c r="M248" s="9" t="n"/>
      <c r="N248" s="10" t="inlineStr">
        <is>
          <t>https://tamilnet.com/art.html?artid=32063&amp;catid=79</t>
        </is>
      </c>
    </row>
    <row r="249">
      <c r="A249" s="11" t="inlineStr">
        <is>
          <t>ALL-0248</t>
        </is>
      </c>
      <c r="B249" s="11" t="inlineStr">
        <is>
          <t>Newspaper Articles</t>
        </is>
      </c>
      <c r="C249" s="12" t="inlineStr">
        <is>
          <t>2010</t>
        </is>
      </c>
      <c r="D249" s="11" t="inlineStr">
        <is>
          <t>2010-07-28</t>
        </is>
      </c>
      <c r="E249" s="13" t="inlineStr">
        <is>
          <t>Tissamaharama potsherd evidences ordinary early Tamils among population</t>
        </is>
      </c>
      <c r="F249" s="13" t="n"/>
      <c r="G249" s="13" t="inlineStr">
        <is>
          <t>TamilNet</t>
        </is>
      </c>
      <c r="H249" s="11" t="inlineStr">
        <is>
          <t>News</t>
        </is>
      </c>
      <c r="I249" s="11" t="inlineStr">
        <is>
          <t>English</t>
        </is>
      </c>
      <c r="J249" s="13" t="inlineStr">
        <is>
          <t>Brahmi / பிராமி</t>
        </is>
      </c>
      <c r="K249" s="13" t="inlineStr">
        <is>
          <t>Tamil Brahmi; potsherd</t>
        </is>
      </c>
      <c r="L249" s="11" t="inlineStr">
        <is>
          <t>Yes</t>
        </is>
      </c>
      <c r="M249" s="13" t="n"/>
      <c r="N249" s="14" t="inlineStr">
        <is>
          <t>https://www.tamilnet.com/art.html?artid=32303&amp;catid=79</t>
        </is>
      </c>
    </row>
    <row r="250">
      <c r="A250" s="7" t="inlineStr">
        <is>
          <t>ALL-0249</t>
        </is>
      </c>
      <c r="B250" s="7" t="inlineStr">
        <is>
          <t>Newspaper Articles</t>
        </is>
      </c>
      <c r="C250" s="8" t="inlineStr">
        <is>
          <t>2010</t>
        </is>
      </c>
      <c r="D250" s="7" t="inlineStr">
        <is>
          <t>2010-09-08</t>
        </is>
      </c>
      <c r="E250" s="9" t="inlineStr">
        <is>
          <t>08.09.10 SL Army, Archaeology dept appropriate lands of uprooted Tamils in Maathakal</t>
        </is>
      </c>
      <c r="F250" s="9" t="n"/>
      <c r="G250" s="9" t="inlineStr">
        <is>
          <t>TamilNet</t>
        </is>
      </c>
      <c r="H250" s="7" t="inlineStr">
        <is>
          <t>News</t>
        </is>
      </c>
      <c r="I250" s="7" t="inlineStr">
        <is>
          <t>English</t>
        </is>
      </c>
      <c r="J250" s="9" t="inlineStr">
        <is>
          <t>Archaeology / தொல்லியல்</t>
        </is>
      </c>
      <c r="K250" s="9" t="inlineStr">
        <is>
          <t>archaeology</t>
        </is>
      </c>
      <c r="L250" s="7" t="inlineStr">
        <is>
          <t>Yes</t>
        </is>
      </c>
      <c r="M250" s="9" t="inlineStr">
        <is>
          <t>Google News query: archaeology Jaffna. Auto-collected 2026-10-14 (news); review.</t>
        </is>
      </c>
      <c r="N250" s="10" t="inlineStr">
        <is>
          <t>https://news.google.com/rss/articles/CBMiZEFVX3lxTFBENjVRODRyaWJQVnFWX19mQTFVTHlJcWZ3Si1fVFdPbHB0WDFZS19OVllKLTU2RGdqRHMyV3dBbVgzQjdSXzQtUW1hcGFMcXBIMTlVTHo2d0lFRVQzaVdDNzFlM0Y?oc=5</t>
        </is>
      </c>
    </row>
    <row r="251">
      <c r="A251" s="11" t="inlineStr">
        <is>
          <t>ALL-0250</t>
        </is>
      </c>
      <c r="B251" s="11" t="inlineStr">
        <is>
          <t>Newspaper Articles</t>
        </is>
      </c>
      <c r="C251" s="12" t="inlineStr">
        <is>
          <t>2010</t>
        </is>
      </c>
      <c r="D251" s="11" t="inlineStr">
        <is>
          <t>2010-10-21</t>
        </is>
      </c>
      <c r="E251" s="13" t="inlineStr">
        <is>
          <t>Tissamaharama Tamil Brahmi inscription missing</t>
        </is>
      </c>
      <c r="F251" s="13" t="n"/>
      <c r="G251" s="13" t="inlineStr">
        <is>
          <t>TamilNet</t>
        </is>
      </c>
      <c r="H251" s="11" t="inlineStr">
        <is>
          <t>News</t>
        </is>
      </c>
      <c r="I251" s="11" t="inlineStr">
        <is>
          <t>English</t>
        </is>
      </c>
      <c r="J251" s="13" t="inlineStr">
        <is>
          <t>Inscriptions / கல்வெட்டு; Brahmi / பிராமி</t>
        </is>
      </c>
      <c r="K251" s="13" t="inlineStr">
        <is>
          <t>Tamil Brahmi; Tissamaharama</t>
        </is>
      </c>
      <c r="L251" s="11" t="inlineStr">
        <is>
          <t>Yes</t>
        </is>
      </c>
      <c r="M251" s="13" t="n"/>
      <c r="N251" s="14" t="inlineStr">
        <is>
          <t>https://tamilnet.com/art.html?artid=32843&amp;catid=79</t>
        </is>
      </c>
    </row>
    <row r="252">
      <c r="A252" s="7" t="inlineStr">
        <is>
          <t>ALL-0251</t>
        </is>
      </c>
      <c r="B252" s="7" t="inlineStr">
        <is>
          <t>Newspaper Articles</t>
        </is>
      </c>
      <c r="C252" s="8" t="inlineStr">
        <is>
          <t>2010</t>
        </is>
      </c>
      <c r="D252" s="7" t="inlineStr">
        <is>
          <t>2010-10-23</t>
        </is>
      </c>
      <c r="E252" s="9" t="inlineStr">
        <is>
          <t>Millennium old Tamil inscription found in Trincomalee</t>
        </is>
      </c>
      <c r="F252" s="9" t="n"/>
      <c r="G252" s="9" t="inlineStr">
        <is>
          <t>TamilNet</t>
        </is>
      </c>
      <c r="H252" s="7" t="inlineStr">
        <is>
          <t>News</t>
        </is>
      </c>
      <c r="I252" s="7" t="inlineStr">
        <is>
          <t>English</t>
        </is>
      </c>
      <c r="J252" s="9" t="inlineStr">
        <is>
          <t>Inscriptions / கல்வெட்டு</t>
        </is>
      </c>
      <c r="K252" s="9" t="inlineStr">
        <is>
          <t>Tamil inscription; Trincomalee</t>
        </is>
      </c>
      <c r="L252" s="7" t="inlineStr">
        <is>
          <t>Yes</t>
        </is>
      </c>
      <c r="M252" s="9" t="n"/>
      <c r="N252" s="10" t="inlineStr">
        <is>
          <t>https://www.tamilnet.com/art.html?artid=32850&amp;catid=13</t>
        </is>
      </c>
    </row>
    <row r="253">
      <c r="A253" s="11" t="inlineStr">
        <is>
          <t>ALL-0252</t>
        </is>
      </c>
      <c r="B253" s="11" t="inlineStr">
        <is>
          <t>Newspaper Articles</t>
        </is>
      </c>
      <c r="C253" s="12" t="inlineStr">
        <is>
          <t>2009</t>
        </is>
      </c>
      <c r="D253" s="11" t="inlineStr">
        <is>
          <t>2009-09-18</t>
        </is>
      </c>
      <c r="E253" s="13" t="inlineStr">
        <is>
          <t>Inscriptions of ancient and medieval Sri Lanka</t>
        </is>
      </c>
      <c r="F253" s="13" t="n"/>
      <c r="G253" s="13" t="inlineStr">
        <is>
          <t>Daily News (Sri Lanka)</t>
        </is>
      </c>
      <c r="H253" s="11" t="inlineStr">
        <is>
          <t>Feature</t>
        </is>
      </c>
      <c r="I253" s="11" t="inlineStr">
        <is>
          <t>English</t>
        </is>
      </c>
      <c r="J253" s="13" t="inlineStr">
        <is>
          <t>Inscriptions / கல்வெட்டு</t>
        </is>
      </c>
      <c r="K253" s="13" t="inlineStr">
        <is>
          <t>inscriptions</t>
        </is>
      </c>
      <c r="L253" s="11" t="inlineStr">
        <is>
          <t>Yes</t>
        </is>
      </c>
      <c r="M253" s="13" t="inlineStr">
        <is>
          <t>Author to verify</t>
        </is>
      </c>
      <c r="N253" s="14" t="inlineStr">
        <is>
          <t>https://archives.dailynews.lk/2009/09/18/fea30.asp</t>
        </is>
      </c>
    </row>
    <row r="254">
      <c r="A254" s="7" t="inlineStr">
        <is>
          <t>ALL-0253</t>
        </is>
      </c>
      <c r="B254" s="7" t="inlineStr">
        <is>
          <t>Newspaper Articles</t>
        </is>
      </c>
      <c r="C254" s="8" t="inlineStr">
        <is>
          <t>2008</t>
        </is>
      </c>
      <c r="D254" s="7" t="inlineStr">
        <is>
          <t>2008-05-04</t>
        </is>
      </c>
      <c r="E254" s="9" t="inlineStr">
        <is>
          <t>A solid work in range and richness (review of Rock and Wall Paintings of Sri Lanka)</t>
        </is>
      </c>
      <c r="F254" s="9" t="inlineStr">
        <is>
          <t>Ashley Halpé</t>
        </is>
      </c>
      <c r="G254" s="9" t="inlineStr">
        <is>
          <t>Sunday Times (Sri Lanka)</t>
        </is>
      </c>
      <c r="H254" s="7" t="inlineStr">
        <is>
          <t>Book review</t>
        </is>
      </c>
      <c r="I254" s="7" t="inlineStr">
        <is>
          <t>English</t>
        </is>
      </c>
      <c r="J254" s="9" t="inlineStr">
        <is>
          <t>Rock art / பாறை ஓவியம்</t>
        </is>
      </c>
      <c r="K254" s="9" t="inlineStr">
        <is>
          <t>rock art; review</t>
        </is>
      </c>
      <c r="L254" s="7" t="inlineStr">
        <is>
          <t>Yes</t>
        </is>
      </c>
      <c r="M254" s="9" t="n"/>
      <c r="N254" s="10" t="inlineStr">
        <is>
          <t>https://www.sundaytimes.lk/080504/Plus/plus000025.html</t>
        </is>
      </c>
    </row>
    <row r="255">
      <c r="A255" s="11" t="inlineStr">
        <is>
          <t>ALL-0254</t>
        </is>
      </c>
      <c r="B255" s="11" t="inlineStr">
        <is>
          <t>Newspaper Articles</t>
        </is>
      </c>
      <c r="C255" s="12" t="inlineStr">
        <is>
          <t>2000</t>
        </is>
      </c>
      <c r="D255" s="11" t="inlineStr">
        <is>
          <t>2000-04-23</t>
        </is>
      </c>
      <c r="E255" s="13" t="inlineStr">
        <is>
          <t>Coins of history</t>
        </is>
      </c>
      <c r="F255" s="13" t="inlineStr">
        <is>
          <t>D. C. Ranatunga</t>
        </is>
      </c>
      <c r="G255" s="13" t="inlineStr">
        <is>
          <t>Sunday Times (Sri Lanka)</t>
        </is>
      </c>
      <c r="H255" s="11" t="inlineStr">
        <is>
          <t>Book review</t>
        </is>
      </c>
      <c r="I255" s="11" t="inlineStr">
        <is>
          <t>English</t>
        </is>
      </c>
      <c r="J255" s="13" t="inlineStr">
        <is>
          <t>Coins / நாணயம்</t>
        </is>
      </c>
      <c r="K255" s="13" t="inlineStr">
        <is>
          <t>coins; Tissamaharama</t>
        </is>
      </c>
      <c r="L255" s="11" t="inlineStr">
        <is>
          <t>Yes</t>
        </is>
      </c>
      <c r="M255" s="13" t="n"/>
      <c r="N255" s="14" t="inlineStr">
        <is>
          <t>https://www.sundaytimes.lk/000423/plus3.html</t>
        </is>
      </c>
    </row>
    <row r="256">
      <c r="A256" s="7" t="inlineStr">
        <is>
          <t>ALL-0255</t>
        </is>
      </c>
      <c r="B256" s="7" t="inlineStr">
        <is>
          <t>Newspaper Articles</t>
        </is>
      </c>
      <c r="C256" s="8" t="n"/>
      <c r="D256" s="7" t="n"/>
      <c r="E256" s="9" t="inlineStr">
        <is>
          <t>2,000-year-old Tamil-Brahmi inscriptions discovered in Egypt's Valley of the Kings</t>
        </is>
      </c>
      <c r="F256" s="9" t="n"/>
      <c r="G256" s="9" t="inlineStr">
        <is>
          <t>Tamil Guardian</t>
        </is>
      </c>
      <c r="H256" s="7" t="inlineStr">
        <is>
          <t>News</t>
        </is>
      </c>
      <c r="I256" s="7" t="inlineStr">
        <is>
          <t>English</t>
        </is>
      </c>
      <c r="J256" s="9" t="inlineStr">
        <is>
          <t>Inscriptions / கல்வெட்டு; Brahmi / பிராமி</t>
        </is>
      </c>
      <c r="K256" s="9" t="inlineStr">
        <is>
          <t>Tamil Brahmi; overseas</t>
        </is>
      </c>
      <c r="L256" s="7" t="inlineStr">
        <is>
          <t>Unknown</t>
        </is>
      </c>
      <c r="M256" s="9" t="inlineStr">
        <is>
          <t>Context item (not Sri Lanka)</t>
        </is>
      </c>
      <c r="N256" s="10" t="inlineStr">
        <is>
          <t>https://www.tamilguardian.com/content/2000-year-old-tamil-brahmi-inscriptions-discovered-egypts-valley-kings</t>
        </is>
      </c>
    </row>
    <row r="257">
      <c r="A257" s="11" t="inlineStr">
        <is>
          <t>ALL-0256</t>
        </is>
      </c>
      <c r="B257" s="11" t="inlineStr">
        <is>
          <t>Newspaper Articles</t>
        </is>
      </c>
      <c r="C257" s="12" t="n"/>
      <c r="D257" s="11" t="n"/>
      <c r="E257" s="13" t="inlineStr">
        <is>
          <t>3,400 year old human remains discovered in Velanai, Jaffna</t>
        </is>
      </c>
      <c r="F257" s="13" t="n"/>
      <c r="G257" s="13" t="inlineStr">
        <is>
          <t>Tamil Guardian</t>
        </is>
      </c>
      <c r="H257" s="11" t="inlineStr">
        <is>
          <t>News</t>
        </is>
      </c>
      <c r="I257" s="11" t="inlineStr">
        <is>
          <t>English</t>
        </is>
      </c>
      <c r="J257" s="13" t="inlineStr">
        <is>
          <t>Archaeology / தொல்லியல்</t>
        </is>
      </c>
      <c r="K257" s="13" t="inlineStr">
        <is>
          <t>archaeology; Velanai; megalithic</t>
        </is>
      </c>
      <c r="L257" s="11" t="inlineStr">
        <is>
          <t>Unknown</t>
        </is>
      </c>
      <c r="M257" s="13" t="n"/>
      <c r="N257" s="14" t="inlineStr">
        <is>
          <t>https://www.tamilguardian.com/content/3400-year-old-human-remains-discovered-velanai-jaffna</t>
        </is>
      </c>
    </row>
    <row r="258">
      <c r="A258" s="7" t="inlineStr">
        <is>
          <t>ALL-0257</t>
        </is>
      </c>
      <c r="B258" s="7" t="inlineStr">
        <is>
          <t>Newspaper Articles</t>
        </is>
      </c>
      <c r="C258" s="8" t="n"/>
      <c r="D258" s="7" t="n"/>
      <c r="E258" s="9" t="inlineStr">
        <is>
          <t>3300-year-old archaeological site discovered in Sri Lanka</t>
        </is>
      </c>
      <c r="F258" s="9" t="n"/>
      <c r="G258" s="9" t="inlineStr">
        <is>
          <t>History News Network</t>
        </is>
      </c>
      <c r="H258" s="7" t="inlineStr">
        <is>
          <t>News</t>
        </is>
      </c>
      <c r="I258" s="7" t="inlineStr">
        <is>
          <t>English</t>
        </is>
      </c>
      <c r="J258" s="9" t="inlineStr">
        <is>
          <t>Archaeology / தொல்லியல்</t>
        </is>
      </c>
      <c r="K258" s="9" t="inlineStr">
        <is>
          <t>archaeology; megalithic</t>
        </is>
      </c>
      <c r="L258" s="7" t="inlineStr">
        <is>
          <t>Unknown</t>
        </is>
      </c>
      <c r="M258" s="9" t="inlineStr">
        <is>
          <t>Year to verify</t>
        </is>
      </c>
      <c r="N258" s="10" t="inlineStr">
        <is>
          <t>https://www.historynewsnetwork.org/article/117404</t>
        </is>
      </c>
    </row>
    <row r="259">
      <c r="A259" s="11" t="inlineStr">
        <is>
          <t>ALL-0258</t>
        </is>
      </c>
      <c r="B259" s="11" t="inlineStr">
        <is>
          <t>Newspaper Articles</t>
        </is>
      </c>
      <c r="C259" s="12" t="n"/>
      <c r="D259" s="11" t="n"/>
      <c r="E259" s="13" t="inlineStr">
        <is>
          <t>Ancient Pandyan coins bring intrigue and dispute in Sri Lanka</t>
        </is>
      </c>
      <c r="F259" s="13" t="n"/>
      <c r="G259" s="13" t="inlineStr">
        <is>
          <t>Tamil Guardian</t>
        </is>
      </c>
      <c r="H259" s="11" t="inlineStr">
        <is>
          <t>News</t>
        </is>
      </c>
      <c r="I259" s="11" t="inlineStr">
        <is>
          <t>English</t>
        </is>
      </c>
      <c r="J259" s="13" t="inlineStr">
        <is>
          <t>Coins / நாணயம்</t>
        </is>
      </c>
      <c r="K259" s="13" t="inlineStr">
        <is>
          <t>coins; Pandya</t>
        </is>
      </c>
      <c r="L259" s="11" t="inlineStr">
        <is>
          <t>Unknown</t>
        </is>
      </c>
      <c r="M259" s="13" t="n"/>
      <c r="N259" s="14" t="inlineStr">
        <is>
          <t>https://www.tamilguardian.com/content/ancient-pandyan-coins-bring-intrigue-and-dispute-sri-lanka</t>
        </is>
      </c>
    </row>
    <row r="260">
      <c r="A260" s="7" t="inlineStr">
        <is>
          <t>ALL-0259</t>
        </is>
      </c>
      <c r="B260" s="7" t="inlineStr">
        <is>
          <t>Newspaper Articles</t>
        </is>
      </c>
      <c r="C260" s="8" t="n"/>
      <c r="D260" s="7" t="n"/>
      <c r="E260" s="9" t="inlineStr">
        <is>
          <t>Book Review: The Historian As Bridge</t>
        </is>
      </c>
      <c r="F260" s="9" t="n"/>
      <c r="G260" s="9" t="inlineStr">
        <is>
          <t>Colombo Telegraph</t>
        </is>
      </c>
      <c r="H260" s="7" t="inlineStr">
        <is>
          <t>Review</t>
        </is>
      </c>
      <c r="I260" s="7" t="inlineStr">
        <is>
          <t>English</t>
        </is>
      </c>
      <c r="J260" s="9" t="n"/>
      <c r="K260" s="9" t="inlineStr">
        <is>
          <t>book review</t>
        </is>
      </c>
      <c r="L260" s="7" t="inlineStr">
        <is>
          <t>Unknown</t>
        </is>
      </c>
      <c r="M260" s="9" t="n"/>
      <c r="N260" s="10" t="inlineStr">
        <is>
          <t>https://www.colombotelegraph.com/index.php/book-review-the-historian-as-bridge/</t>
        </is>
      </c>
    </row>
    <row r="261">
      <c r="A261" s="11" t="inlineStr">
        <is>
          <t>ALL-0260</t>
        </is>
      </c>
      <c r="B261" s="11" t="inlineStr">
        <is>
          <t>Newspaper Articles</t>
        </is>
      </c>
      <c r="C261" s="12" t="n"/>
      <c r="D261" s="11" t="n"/>
      <c r="E261" s="13" t="inlineStr">
        <is>
          <t>C V Wigneswaran on Pathmanathan's book</t>
        </is>
      </c>
      <c r="F261" s="13" t="n"/>
      <c r="G261" s="13" t="inlineStr">
        <is>
          <t>Sunday Observer</t>
        </is>
      </c>
      <c r="H261" s="11" t="inlineStr">
        <is>
          <t>Feature</t>
        </is>
      </c>
      <c r="I261" s="11" t="inlineStr">
        <is>
          <t>English</t>
        </is>
      </c>
      <c r="J261" s="13" t="n"/>
      <c r="K261" s="13" t="inlineStr">
        <is>
          <t>book review; Pathmanathan</t>
        </is>
      </c>
      <c r="L261" s="11" t="inlineStr">
        <is>
          <t>Unknown</t>
        </is>
      </c>
      <c r="M261" s="13" t="n"/>
      <c r="N261" s="14" t="inlineStr">
        <is>
          <t>https://archives1.sundayobserver.lk/node/26758</t>
        </is>
      </c>
    </row>
    <row r="262">
      <c r="A262" s="7" t="inlineStr">
        <is>
          <t>ALL-0261</t>
        </is>
      </c>
      <c r="B262" s="7" t="inlineStr">
        <is>
          <t>Newspaper Articles</t>
        </is>
      </c>
      <c r="C262" s="8" t="n"/>
      <c r="D262" s="7" t="n"/>
      <c r="E262" s="9" t="inlineStr">
        <is>
          <t>Little known facets of Sri Lankan history: a Chola princess and the old name for Jaffna</t>
        </is>
      </c>
      <c r="F262" s="9" t="n"/>
      <c r="G262" s="9" t="inlineStr">
        <is>
          <t>The Island</t>
        </is>
      </c>
      <c r="H262" s="7" t="inlineStr">
        <is>
          <t>Feature</t>
        </is>
      </c>
      <c r="I262" s="7" t="inlineStr">
        <is>
          <t>English</t>
        </is>
      </c>
      <c r="J262" s="9" t="n"/>
      <c r="K262" s="9" t="inlineStr">
        <is>
          <t>Chola; Jaffna</t>
        </is>
      </c>
      <c r="L262" s="7" t="inlineStr">
        <is>
          <t>Unknown</t>
        </is>
      </c>
      <c r="M262" s="9" t="n"/>
      <c r="N262" s="10" t="inlineStr">
        <is>
          <t>https://island.lk/little-known-facets-of-sri-lankan-historya-chola-princess-and-the-old-name-for-jaffna/</t>
        </is>
      </c>
    </row>
    <row r="263">
      <c r="A263" s="11" t="inlineStr">
        <is>
          <t>ALL-0262</t>
        </is>
      </c>
      <c r="B263" s="11" t="inlineStr">
        <is>
          <t>Newspaper Articles</t>
        </is>
      </c>
      <c r="C263" s="12" t="n"/>
      <c r="D263" s="11" t="n"/>
      <c r="E263" s="13" t="inlineStr">
        <is>
          <t>Mandarin and Tamil: a historical perspective</t>
        </is>
      </c>
      <c r="F263" s="13" t="n"/>
      <c r="G263" s="13" t="inlineStr">
        <is>
          <t>The Island</t>
        </is>
      </c>
      <c r="H263" s="11" t="inlineStr">
        <is>
          <t>Feature</t>
        </is>
      </c>
      <c r="I263" s="11" t="inlineStr">
        <is>
          <t>English</t>
        </is>
      </c>
      <c r="J263" s="13" t="inlineStr">
        <is>
          <t>Inscriptions / கல்வெட்டு</t>
        </is>
      </c>
      <c r="K263" s="13" t="inlineStr">
        <is>
          <t>Galle trilingual inscription; Tamil</t>
        </is>
      </c>
      <c r="L263" s="11" t="inlineStr">
        <is>
          <t>Unknown</t>
        </is>
      </c>
      <c r="M263" s="13" t="inlineStr">
        <is>
          <t>Year to verify</t>
        </is>
      </c>
      <c r="N263" s="14" t="inlineStr">
        <is>
          <t>https://island.lk/mandarin-and-tamil-a-historical-perspective/</t>
        </is>
      </c>
    </row>
    <row r="264">
      <c r="A264" s="7" t="inlineStr">
        <is>
          <t>ALL-0263</t>
        </is>
      </c>
      <c r="B264" s="7" t="inlineStr">
        <is>
          <t>Newspaper Articles</t>
        </is>
      </c>
      <c r="C264" s="8" t="n"/>
      <c r="D264" s="7" t="n"/>
      <c r="E264" s="9" t="inlineStr">
        <is>
          <t>Neelagiri Hela Bithusithuwam</t>
        </is>
      </c>
      <c r="F264" s="9" t="n"/>
      <c r="G264" s="9" t="inlineStr">
        <is>
          <t>Sunday Observer</t>
        </is>
      </c>
      <c r="H264" s="7" t="inlineStr">
        <is>
          <t>Feature</t>
        </is>
      </c>
      <c r="I264" s="7" t="inlineStr">
        <is>
          <t>English</t>
        </is>
      </c>
      <c r="J264" s="9" t="inlineStr">
        <is>
          <t>Rock art / பாறை ஓவியம்</t>
        </is>
      </c>
      <c r="K264" s="9" t="inlineStr">
        <is>
          <t>paintings; Neelagiri</t>
        </is>
      </c>
      <c r="L264" s="7" t="inlineStr">
        <is>
          <t>Unknown</t>
        </is>
      </c>
      <c r="M264" s="9" t="n"/>
      <c r="N264" s="10" t="inlineStr">
        <is>
          <t>https://archives1.sundayobserver.lk/node/59637</t>
        </is>
      </c>
    </row>
    <row r="265">
      <c r="A265" s="11" t="inlineStr">
        <is>
          <t>ALL-0264</t>
        </is>
      </c>
      <c r="B265" s="11" t="inlineStr">
        <is>
          <t>Newspaper Articles</t>
        </is>
      </c>
      <c r="C265" s="12" t="n"/>
      <c r="D265" s="11" t="n"/>
      <c r="E265" s="13" t="inlineStr">
        <is>
          <t>Reptiles in rock and time: unveiling Sri Lanka's ancient herpetological art</t>
        </is>
      </c>
      <c r="F265" s="13" t="n"/>
      <c r="G265" s="13" t="inlineStr">
        <is>
          <t>The Island</t>
        </is>
      </c>
      <c r="H265" s="11" t="inlineStr">
        <is>
          <t>News</t>
        </is>
      </c>
      <c r="I265" s="11" t="inlineStr">
        <is>
          <t>English</t>
        </is>
      </c>
      <c r="J265" s="13" t="inlineStr">
        <is>
          <t>Rock art / பாறை ஓவியம்</t>
        </is>
      </c>
      <c r="K265" s="13" t="inlineStr">
        <is>
          <t>rock art; பாறை ஓவியம்</t>
        </is>
      </c>
      <c r="L265" s="11" t="inlineStr">
        <is>
          <t>Unknown</t>
        </is>
      </c>
      <c r="M265" s="13" t="n"/>
      <c r="N265" s="14" t="inlineStr">
        <is>
          <t>https://island.lk/reptiles-in-rock-and-time-unveiling-sri-lankas-ancient-herpetological-art/</t>
        </is>
      </c>
    </row>
    <row r="266">
      <c r="A266" s="7" t="inlineStr">
        <is>
          <t>ALL-0265</t>
        </is>
      </c>
      <c r="B266" s="7" t="inlineStr">
        <is>
          <t>Newspaper Articles</t>
        </is>
      </c>
      <c r="C266" s="8" t="n"/>
      <c r="D266" s="7" t="n"/>
      <c r="E266" s="9" t="inlineStr">
        <is>
          <t>Scripts in ancient Sri Lanka</t>
        </is>
      </c>
      <c r="F266" s="9" t="n"/>
      <c r="G266" s="9" t="inlineStr">
        <is>
          <t>Sunday Observer</t>
        </is>
      </c>
      <c r="H266" s="7" t="inlineStr">
        <is>
          <t>Feature</t>
        </is>
      </c>
      <c r="I266" s="7" t="inlineStr">
        <is>
          <t>English</t>
        </is>
      </c>
      <c r="J266" s="9" t="inlineStr">
        <is>
          <t>Brahmi / பிராமி</t>
        </is>
      </c>
      <c r="K266" s="9" t="inlineStr">
        <is>
          <t>Brahmi; Tamil Brahmi</t>
        </is>
      </c>
      <c r="L266" s="7" t="inlineStr">
        <is>
          <t>Unknown</t>
        </is>
      </c>
      <c r="M266" s="9" t="n"/>
      <c r="N266" s="10" t="inlineStr">
        <is>
          <t>https://archives1.sundayobserver.lk/node/44600</t>
        </is>
      </c>
    </row>
    <row r="267">
      <c r="A267" s="11" t="inlineStr">
        <is>
          <t>ALL-0266</t>
        </is>
      </c>
      <c r="B267" s="11" t="inlineStr">
        <is>
          <t>Newspaper Articles</t>
        </is>
      </c>
      <c r="C267" s="12" t="n"/>
      <c r="D267" s="11" t="n"/>
      <c r="E267" s="13" t="inlineStr">
        <is>
          <t>Sri Lanka threatens legal action over Hindu worship at Kurunthur Malai</t>
        </is>
      </c>
      <c r="F267" s="13" t="n"/>
      <c r="G267" s="13" t="inlineStr">
        <is>
          <t>Tamil Guardian</t>
        </is>
      </c>
      <c r="H267" s="11" t="inlineStr">
        <is>
          <t>News</t>
        </is>
      </c>
      <c r="I267" s="11" t="inlineStr">
        <is>
          <t>English</t>
        </is>
      </c>
      <c r="J267" s="13" t="inlineStr">
        <is>
          <t>Archaeology / தொல்லியல்</t>
        </is>
      </c>
      <c r="K267" s="13" t="inlineStr">
        <is>
          <t>Kurunthurmalai; archaeology department</t>
        </is>
      </c>
      <c r="L267" s="11" t="inlineStr">
        <is>
          <t>Unknown</t>
        </is>
      </c>
      <c r="M267" s="13" t="n"/>
      <c r="N267" s="14" t="inlineStr">
        <is>
          <t>https://www.tamilguardian.com/index.php/node/955066</t>
        </is>
      </c>
    </row>
    <row r="268">
      <c r="A268" s="7" t="inlineStr">
        <is>
          <t>ALL-0267</t>
        </is>
      </c>
      <c r="B268" s="7" t="inlineStr">
        <is>
          <t>Newspaper Articles</t>
        </is>
      </c>
      <c r="C268" s="8" t="n"/>
      <c r="D268" s="7" t="n"/>
      <c r="E268" s="9" t="inlineStr">
        <is>
          <t>Sri Lanka's Role In South Asia's Earliest Writing Controversy</t>
        </is>
      </c>
      <c r="F268" s="9" t="n"/>
      <c r="G268" s="9" t="inlineStr">
        <is>
          <t>Colombo Telegraph</t>
        </is>
      </c>
      <c r="H268" s="7" t="inlineStr">
        <is>
          <t>Opinion</t>
        </is>
      </c>
      <c r="I268" s="7" t="inlineStr">
        <is>
          <t>English</t>
        </is>
      </c>
      <c r="J268" s="9" t="inlineStr">
        <is>
          <t>Brahmi / பிராமி</t>
        </is>
      </c>
      <c r="K268" s="9" t="inlineStr">
        <is>
          <t>Brahmi; early writing</t>
        </is>
      </c>
      <c r="L268" s="7" t="inlineStr">
        <is>
          <t>Unknown</t>
        </is>
      </c>
      <c r="M268" s="9" t="n"/>
      <c r="N268" s="10" t="inlineStr">
        <is>
          <t>https://www.colombotelegraph.com/index.php/sri-lankas-role-in-south-asias-earliest-writing-controversy/</t>
        </is>
      </c>
    </row>
    <row r="269">
      <c r="A269" s="11" t="inlineStr">
        <is>
          <t>ALL-0268</t>
        </is>
      </c>
      <c r="B269" s="11" t="inlineStr">
        <is>
          <t>Newspaper Articles</t>
        </is>
      </c>
      <c r="C269" s="12" t="n"/>
      <c r="D269" s="11" t="n"/>
      <c r="E269" s="13" t="inlineStr">
        <is>
          <t>Tamil civilisation - is it the oldest?</t>
        </is>
      </c>
      <c r="F269" s="13" t="n"/>
      <c r="G269" s="13" t="inlineStr">
        <is>
          <t>Tamil Guardian</t>
        </is>
      </c>
      <c r="H269" s="11" t="inlineStr">
        <is>
          <t>Feature</t>
        </is>
      </c>
      <c r="I269" s="11" t="inlineStr">
        <is>
          <t>English</t>
        </is>
      </c>
      <c r="J269" s="13" t="inlineStr">
        <is>
          <t>Archaeology / தொல்லியல்</t>
        </is>
      </c>
      <c r="K269" s="13" t="inlineStr">
        <is>
          <t>archaeology debate</t>
        </is>
      </c>
      <c r="L269" s="11" t="inlineStr">
        <is>
          <t>Unknown</t>
        </is>
      </c>
      <c r="M269" s="13" t="n"/>
      <c r="N269" s="14" t="inlineStr">
        <is>
          <t>https://www.tamilguardian.com/content/tamil-civilisation-it-oldest</t>
        </is>
      </c>
    </row>
    <row r="270">
      <c r="A270" s="7" t="inlineStr">
        <is>
          <t>ALL-0269</t>
        </is>
      </c>
      <c r="B270" s="7" t="inlineStr">
        <is>
          <t>Newspaper Articles</t>
        </is>
      </c>
      <c r="C270" s="8" t="n"/>
      <c r="D270" s="7" t="n"/>
      <c r="E270" s="9" t="inlineStr">
        <is>
          <t>The Tamils Are The Original Inhabitants Of Sri Lanka</t>
        </is>
      </c>
      <c r="F270" s="9" t="n"/>
      <c r="G270" s="9" t="inlineStr">
        <is>
          <t>Colombo Telegraph</t>
        </is>
      </c>
      <c r="H270" s="7" t="inlineStr">
        <is>
          <t>Opinion</t>
        </is>
      </c>
      <c r="I270" s="7" t="inlineStr">
        <is>
          <t>English</t>
        </is>
      </c>
      <c r="J270" s="9" t="inlineStr">
        <is>
          <t>Archaeology / தொல்லியல்</t>
        </is>
      </c>
      <c r="K270" s="9" t="inlineStr">
        <is>
          <t>archaeology; history debate</t>
        </is>
      </c>
      <c r="L270" s="7" t="inlineStr">
        <is>
          <t>Unknown</t>
        </is>
      </c>
      <c r="M270" s="9" t="n"/>
      <c r="N270" s="10" t="inlineStr">
        <is>
          <t>https://www.colombotelegraph.com/index.php/the-tamils-are-the-original-inhabitants-of-sri-lanka/</t>
        </is>
      </c>
    </row>
    <row r="271">
      <c r="A271" s="11" t="inlineStr">
        <is>
          <t>ALL-0270</t>
        </is>
      </c>
      <c r="B271" s="11" t="inlineStr">
        <is>
          <t>Newspaper Articles</t>
        </is>
      </c>
      <c r="C271" s="12" t="n"/>
      <c r="D271" s="11" t="n"/>
      <c r="E271" s="13" t="inlineStr">
        <is>
          <t>Trilingual inscription in Tamil, Chinese, and Persian recognised by UNESCO</t>
        </is>
      </c>
      <c r="F271" s="13" t="n"/>
      <c r="G271" s="13" t="inlineStr">
        <is>
          <t>Tamil Guardian</t>
        </is>
      </c>
      <c r="H271" s="11" t="inlineStr">
        <is>
          <t>News</t>
        </is>
      </c>
      <c r="I271" s="11" t="inlineStr">
        <is>
          <t>English</t>
        </is>
      </c>
      <c r="J271" s="13" t="inlineStr">
        <is>
          <t>Inscriptions / கல்வெட்டு</t>
        </is>
      </c>
      <c r="K271" s="13" t="inlineStr">
        <is>
          <t>Galle trilingual inscription</t>
        </is>
      </c>
      <c r="L271" s="11" t="inlineStr">
        <is>
          <t>Unknown</t>
        </is>
      </c>
      <c r="M271" s="13" t="n"/>
      <c r="N271" s="14" t="inlineStr">
        <is>
          <t>https://www.tamilguardian.com/index.php/content/trilingual-inscription-tamil-chinese-and-persian-recognised-unesco</t>
        </is>
      </c>
    </row>
    <row r="272">
      <c r="A272" s="7" t="inlineStr">
        <is>
          <t>ALL-0271</t>
        </is>
      </c>
      <c r="B272" s="7" t="inlineStr">
        <is>
          <t>Newspaper Articles</t>
        </is>
      </c>
      <c r="C272" s="8" t="n"/>
      <c r="D272" s="7" t="n"/>
      <c r="E272" s="9" t="inlineStr">
        <is>
          <t>UNESCO and 'Trilingual inscription'</t>
        </is>
      </c>
      <c r="F272" s="9" t="n"/>
      <c r="G272" s="9" t="inlineStr">
        <is>
          <t>The Island</t>
        </is>
      </c>
      <c r="H272" s="7" t="inlineStr">
        <is>
          <t>Opinion</t>
        </is>
      </c>
      <c r="I272" s="7" t="inlineStr">
        <is>
          <t>English</t>
        </is>
      </c>
      <c r="J272" s="9" t="inlineStr">
        <is>
          <t>Inscriptions / கல்வெட்டு</t>
        </is>
      </c>
      <c r="K272" s="9" t="inlineStr">
        <is>
          <t>Galle trilingual inscription</t>
        </is>
      </c>
      <c r="L272" s="7" t="inlineStr">
        <is>
          <t>Unknown</t>
        </is>
      </c>
      <c r="M272" s="9" t="inlineStr">
        <is>
          <t>2025 (to verify)</t>
        </is>
      </c>
      <c r="N272" s="10" t="inlineStr">
        <is>
          <t>https://island.lk/unesco-and-trilingual-inscription/</t>
        </is>
      </c>
    </row>
    <row r="273">
      <c r="A273" s="11" t="inlineStr">
        <is>
          <t>ALL-0272</t>
        </is>
      </c>
      <c r="B273" s="11" t="inlineStr">
        <is>
          <t>Newspaper Articles</t>
        </is>
      </c>
      <c r="C273" s="12" t="n"/>
      <c r="D273" s="11" t="n"/>
      <c r="E273" s="13" t="inlineStr">
        <is>
          <t>இலங்கையில் 2300 ஆண்டுகளுக்கு முன்பு தமிழர்கள் வாழ்ந்தார்கள் என்பதை நிரூபிக்கும் ஐந்து பிராமிக் கல்வெட்டுக்கள்</t>
        </is>
      </c>
      <c r="F273" s="13" t="n"/>
      <c r="G273" s="13" t="inlineStr">
        <is>
          <t>Thinakkural</t>
        </is>
      </c>
      <c r="H273" s="11" t="inlineStr">
        <is>
          <t>Feature</t>
        </is>
      </c>
      <c r="I273" s="11" t="inlineStr">
        <is>
          <t>Tamil</t>
        </is>
      </c>
      <c r="J273" s="13" t="inlineStr">
        <is>
          <t>Inscriptions / கல்வெட்டு; Brahmi / பிராமி</t>
        </is>
      </c>
      <c r="K273" s="13" t="inlineStr">
        <is>
          <t>பிராமி; கல்வெட்டு</t>
        </is>
      </c>
      <c r="L273" s="11" t="inlineStr">
        <is>
          <t>Unknown</t>
        </is>
      </c>
      <c r="M273" s="13" t="n"/>
      <c r="N273" s="14" t="inlineStr">
        <is>
          <t>https://thinakkural.lk/article/45056</t>
        </is>
      </c>
    </row>
    <row r="274">
      <c r="A274" s="7" t="inlineStr">
        <is>
          <t>ALL-0273</t>
        </is>
      </c>
      <c r="B274" s="7" t="inlineStr">
        <is>
          <t>Newspaper Articles</t>
        </is>
      </c>
      <c r="C274" s="8" t="n"/>
      <c r="D274" s="7" t="n"/>
      <c r="E274" s="9" t="inlineStr">
        <is>
          <t>கலிங்கமாகன் பற்றிய முக்கிய கல்வெட்டு: அண்மையில் கண்டறியப்பட்ட தமிழர் வரலாறு</t>
        </is>
      </c>
      <c r="F274" s="9" t="n"/>
      <c r="G274" s="9" t="inlineStr">
        <is>
          <t>Tamil Mirror</t>
        </is>
      </c>
      <c r="H274" s="7" t="inlineStr">
        <is>
          <t>Feature</t>
        </is>
      </c>
      <c r="I274" s="7" t="inlineStr">
        <is>
          <t>Tamil</t>
        </is>
      </c>
      <c r="J274" s="9" t="inlineStr">
        <is>
          <t>Inscriptions / கல்வெட்டு</t>
        </is>
      </c>
      <c r="K274" s="9" t="inlineStr">
        <is>
          <t>கல்வெட்டு; Kalinga Magha</t>
        </is>
      </c>
      <c r="L274" s="7" t="inlineStr">
        <is>
          <t>Unknown</t>
        </is>
      </c>
      <c r="M274" s="9" t="n"/>
      <c r="N274" s="10" t="inlineStr">
        <is>
          <t>https://www.tamilmirror.lk/91-286936</t>
        </is>
      </c>
    </row>
    <row r="275">
      <c r="A275" s="11" t="inlineStr">
        <is>
          <t>ALL-0274</t>
        </is>
      </c>
      <c r="B275" s="11" t="inlineStr">
        <is>
          <t>Newspaper Articles</t>
        </is>
      </c>
      <c r="C275" s="12" t="n"/>
      <c r="D275" s="11" t="n"/>
      <c r="E275" s="13" t="inlineStr">
        <is>
          <t>யாழ்ப்பாண அரசுகால வரலாறு கூறும் சங்கிலியன் தோரண வாசல்</t>
        </is>
      </c>
      <c r="F275" s="13" t="inlineStr">
        <is>
          <t>P. Pushparatnam</t>
        </is>
      </c>
      <c r="G275" s="13" t="inlineStr">
        <is>
          <t>Virakesari</t>
        </is>
      </c>
      <c r="H275" s="11" t="inlineStr">
        <is>
          <t>Feature</t>
        </is>
      </c>
      <c r="I275" s="11" t="inlineStr">
        <is>
          <t>Tamil</t>
        </is>
      </c>
      <c r="J275" s="13" t="inlineStr">
        <is>
          <t>Archaeology / தொல்லியல்</t>
        </is>
      </c>
      <c r="K275" s="13" t="inlineStr">
        <is>
          <t>Jaffna kingdom; Sangiliyan; தொல்லியல்</t>
        </is>
      </c>
      <c r="L275" s="11" t="inlineStr">
        <is>
          <t>Unknown</t>
        </is>
      </c>
      <c r="M275" s="13" t="n"/>
      <c r="N275" s="14" t="inlineStr">
        <is>
          <t>https://www.virakesari.lk/article/160191</t>
        </is>
      </c>
    </row>
    <row r="276">
      <c r="A276" s="7" t="inlineStr">
        <is>
          <t>ALL-0275</t>
        </is>
      </c>
      <c r="B276" s="7" t="inlineStr">
        <is>
          <t>Magazines/Journals</t>
        </is>
      </c>
      <c r="C276" s="8" t="inlineStr">
        <is>
          <t>2026</t>
        </is>
      </c>
      <c r="D276" s="7" t="inlineStr">
        <is>
          <t>2026-01-09</t>
        </is>
      </c>
      <c r="E276" s="9" t="inlineStr">
        <is>
          <t>மாந்தை: பண்டைய இலங்கையின் நெடுங்கடல் வர்த்தகத் துறைநகர்</t>
        </is>
      </c>
      <c r="F276" s="9" t="inlineStr">
        <is>
          <t>Siva Thiagarajah</t>
        </is>
      </c>
      <c r="G276" s="9" t="inlineStr">
        <is>
          <t>Ezhuna (எழுநா)</t>
        </is>
      </c>
      <c r="H276" s="7" t="inlineStr">
        <is>
          <t>Online magazine article</t>
        </is>
      </c>
      <c r="I276" s="7" t="inlineStr">
        <is>
          <t>Tamil</t>
        </is>
      </c>
      <c r="J276" s="9" t="inlineStr">
        <is>
          <t>Archaeology / தொல்லியல்</t>
        </is>
      </c>
      <c r="K276" s="9" t="inlineStr">
        <is>
          <t>தொல்லியல்; Mantai; port</t>
        </is>
      </c>
      <c r="L276" s="7" t="inlineStr">
        <is>
          <t>Yes</t>
        </is>
      </c>
      <c r="M276" s="9" t="inlineStr">
        <is>
          <t>Series: Kantarodai civilization of ancient Jaffna</t>
        </is>
      </c>
      <c r="N276" s="10" t="inlineStr">
        <is>
          <t>https://www.ezhunaonline.com/manthai-the-seafaring-trading-center-of-ancient-sri-lanka/</t>
        </is>
      </c>
    </row>
    <row r="277">
      <c r="A277" s="11" t="inlineStr">
        <is>
          <t>ALL-0276</t>
        </is>
      </c>
      <c r="B277" s="11" t="inlineStr">
        <is>
          <t>Magazines/Journals</t>
        </is>
      </c>
      <c r="C277" s="12" t="inlineStr">
        <is>
          <t>2026</t>
        </is>
      </c>
      <c r="D277" s="11" t="inlineStr">
        <is>
          <t>2026-02-09</t>
        </is>
      </c>
      <c r="E277" s="13" t="inlineStr">
        <is>
          <t>மரபிலிருந்து மாறி மரபாகுதல்: யாழ்ப்பாணத்துத் தென்மோடிக் கூத்து</t>
        </is>
      </c>
      <c r="F277" s="13" t="inlineStr">
        <is>
          <t>சின்னையா மௌனகுரு</t>
        </is>
      </c>
      <c r="G277" s="13" t="inlineStr">
        <is>
          <t>Ezhuna (எழுநா)</t>
        </is>
      </c>
      <c r="H277" s="11" t="inlineStr">
        <is>
          <t>Online magazine article</t>
        </is>
      </c>
      <c r="I277" s="11" t="inlineStr">
        <is>
          <t>Tamil</t>
        </is>
      </c>
      <c r="J277" s="13" t="n"/>
      <c r="K277" s="13" t="n"/>
      <c r="L277" s="11" t="inlineStr">
        <is>
          <t>Yes</t>
        </is>
      </c>
      <c r="M277" s="13" t="inlineStr">
        <is>
          <t>Auto-collected 2026-10-14 (ezhuna); review.</t>
        </is>
      </c>
      <c r="N277" s="14" t="inlineStr">
        <is>
          <t>https://www.ezhunaonline.com/from-tradition-to-tradition-the-southern-modic-koothu-of-jaffna/</t>
        </is>
      </c>
    </row>
    <row r="278">
      <c r="A278" s="7" t="inlineStr">
        <is>
          <t>ALL-0277</t>
        </is>
      </c>
      <c r="B278" s="7" t="inlineStr">
        <is>
          <t>Magazines/Journals</t>
        </is>
      </c>
      <c r="C278" s="8" t="inlineStr">
        <is>
          <t>2026</t>
        </is>
      </c>
      <c r="D278" s="7" t="inlineStr">
        <is>
          <t>2026-02-12</t>
        </is>
      </c>
      <c r="E278" s="9" t="inlineStr">
        <is>
          <t>பண்டைய யாழ்ப்பாணத்தில் புராதன சமய நடைமுறைகள் – பகுதி 2</t>
        </is>
      </c>
      <c r="F278" s="9" t="inlineStr">
        <is>
          <t>Siva Thiagarajah</t>
        </is>
      </c>
      <c r="G278" s="9" t="inlineStr">
        <is>
          <t>Ezhuna (எழுநா)</t>
        </is>
      </c>
      <c r="H278" s="7" t="inlineStr">
        <is>
          <t>Online magazine article</t>
        </is>
      </c>
      <c r="I278" s="7" t="inlineStr">
        <is>
          <t>Tamil</t>
        </is>
      </c>
      <c r="J278" s="9" t="n"/>
      <c r="K278" s="9" t="inlineStr">
        <is>
          <t>religion; Jaffna</t>
        </is>
      </c>
      <c r="L278" s="7" t="inlineStr">
        <is>
          <t>Yes</t>
        </is>
      </c>
      <c r="M278" s="9" t="inlineStr">
        <is>
          <t>Series: Kantarodai civilization of ancient Jaffna</t>
        </is>
      </c>
      <c r="N278" s="10" t="inlineStr">
        <is>
          <t>https://www.ezhunaonline.com/ancient-religious-practices-in-ancient-jaffna-part-2/</t>
        </is>
      </c>
    </row>
    <row r="279">
      <c r="A279" s="11" t="inlineStr">
        <is>
          <t>ALL-0278</t>
        </is>
      </c>
      <c r="B279" s="11" t="inlineStr">
        <is>
          <t>Magazines/Journals</t>
        </is>
      </c>
      <c r="C279" s="12" t="inlineStr">
        <is>
          <t>2026</t>
        </is>
      </c>
      <c r="D279" s="11" t="inlineStr">
        <is>
          <t>2026-03-13</t>
        </is>
      </c>
      <c r="E279" s="13" t="inlineStr">
        <is>
          <t>யாழ்ப்பாண பௌத்தம் கி.மு. 100 – கி.பி. 1200 – பகுதி 2</t>
        </is>
      </c>
      <c r="F279" s="13" t="inlineStr">
        <is>
          <t>Siva Thiagarajah</t>
        </is>
      </c>
      <c r="G279" s="13" t="inlineStr">
        <is>
          <t>Ezhuna (எழுநா)</t>
        </is>
      </c>
      <c r="H279" s="11" t="inlineStr">
        <is>
          <t>Online magazine article</t>
        </is>
      </c>
      <c r="I279" s="11" t="inlineStr">
        <is>
          <t>Tamil</t>
        </is>
      </c>
      <c r="J279" s="13" t="inlineStr">
        <is>
          <t>Archaeology / தொல்லியல்</t>
        </is>
      </c>
      <c r="K279" s="13" t="inlineStr">
        <is>
          <t>Buddhism; Jaffna; archaeology</t>
        </is>
      </c>
      <c r="L279" s="11" t="inlineStr">
        <is>
          <t>Yes</t>
        </is>
      </c>
      <c r="M279" s="13" t="inlineStr">
        <is>
          <t>Series: Kantarodai civilization of ancient Jaffna</t>
        </is>
      </c>
      <c r="N279" s="14" t="inlineStr">
        <is>
          <t>https://www.ezhunaonline.com/jaffna-buddhism-100-bc-1200-ad-part-2/</t>
        </is>
      </c>
    </row>
    <row r="280">
      <c r="A280" s="7" t="inlineStr">
        <is>
          <t>ALL-0279</t>
        </is>
      </c>
      <c r="B280" s="7" t="inlineStr">
        <is>
          <t>Magazines/Journals</t>
        </is>
      </c>
      <c r="C280" s="8" t="inlineStr">
        <is>
          <t>2026</t>
        </is>
      </c>
      <c r="D280" s="7" t="inlineStr">
        <is>
          <t>2026-04-06</t>
        </is>
      </c>
      <c r="E280" s="9" t="inlineStr">
        <is>
          <t>கந்தரோடையிலும் வடஇலங்கையின் பிற இடங்களிலும் கண்ட ஆதிகால நாணயங்கள் – பகுதி 1</t>
        </is>
      </c>
      <c r="F280" s="9" t="inlineStr">
        <is>
          <t>Siva Thiagarajah</t>
        </is>
      </c>
      <c r="G280" s="9" t="inlineStr">
        <is>
          <t>Ezhuna (எழுநா)</t>
        </is>
      </c>
      <c r="H280" s="7" t="inlineStr">
        <is>
          <t>Online magazine article</t>
        </is>
      </c>
      <c r="I280" s="7" t="inlineStr">
        <is>
          <t>Tamil</t>
        </is>
      </c>
      <c r="J280" s="9" t="inlineStr">
        <is>
          <t>Coins / நாணயம்</t>
        </is>
      </c>
      <c r="K280" s="9" t="inlineStr">
        <is>
          <t>coins; Kantarodai</t>
        </is>
      </c>
      <c r="L280" s="7" t="inlineStr">
        <is>
          <t>Yes</t>
        </is>
      </c>
      <c r="M280" s="9" t="inlineStr">
        <is>
          <t>Series: Kantarodai civilization of ancient Jaffna</t>
        </is>
      </c>
      <c r="N280" s="10" t="inlineStr">
        <is>
          <t>https://www.ezhunaonline.com/ancient-coins-found-in-kandy-and-northern-sri-lanka-part-1/</t>
        </is>
      </c>
    </row>
    <row r="281">
      <c r="A281" s="11" t="inlineStr">
        <is>
          <t>ALL-0280</t>
        </is>
      </c>
      <c r="B281" s="11" t="inlineStr">
        <is>
          <t>Magazines/Journals</t>
        </is>
      </c>
      <c r="C281" s="12" t="inlineStr">
        <is>
          <t>2026</t>
        </is>
      </c>
      <c r="D281" s="11" t="inlineStr">
        <is>
          <t>2026-04-09</t>
        </is>
      </c>
      <c r="E281" s="13" t="inlineStr">
        <is>
          <t>கந்தரோடையிலும் வடஇலங்கையின் பிற இடங்களிலும் கண்ட ஆதிகால நாணயங்கள் – பகுதி 2</t>
        </is>
      </c>
      <c r="F281" s="13" t="inlineStr">
        <is>
          <t>Siva Thiagarajah</t>
        </is>
      </c>
      <c r="G281" s="13" t="inlineStr">
        <is>
          <t>Ezhuna (எழுநா)</t>
        </is>
      </c>
      <c r="H281" s="11" t="inlineStr">
        <is>
          <t>Online magazine article</t>
        </is>
      </c>
      <c r="I281" s="11" t="inlineStr">
        <is>
          <t>Tamil</t>
        </is>
      </c>
      <c r="J281" s="13" t="inlineStr">
        <is>
          <t>Coins / நாணயம்</t>
        </is>
      </c>
      <c r="K281" s="13" t="inlineStr">
        <is>
          <t>coins; Kantarodai</t>
        </is>
      </c>
      <c r="L281" s="11" t="inlineStr">
        <is>
          <t>Yes</t>
        </is>
      </c>
      <c r="M281" s="13" t="inlineStr">
        <is>
          <t>Series: Kantarodai civilization of ancient Jaffna</t>
        </is>
      </c>
      <c r="N281" s="14" t="inlineStr">
        <is>
          <t>https://www.ezhunaonline.com/ancient-coins-found-in-kandy-and-northern-sri-lanka-part-2/</t>
        </is>
      </c>
    </row>
    <row r="282">
      <c r="A282" s="7" t="inlineStr">
        <is>
          <t>ALL-0281</t>
        </is>
      </c>
      <c r="B282" s="7" t="inlineStr">
        <is>
          <t>Magazines/Journals</t>
        </is>
      </c>
      <c r="C282" s="8" t="inlineStr">
        <is>
          <t>2026</t>
        </is>
      </c>
      <c r="D282" s="7" t="inlineStr">
        <is>
          <t>2026-05-19</t>
        </is>
      </c>
      <c r="E282" s="9" t="inlineStr">
        <is>
          <t>கந்தரோடை நாகரிகத்தின் தோற்றமும் படிமுறை வளர்ச்சியும் – பகுதி 4</t>
        </is>
      </c>
      <c r="F282" s="9" t="inlineStr">
        <is>
          <t>Siva Thiagarajah</t>
        </is>
      </c>
      <c r="G282" s="9" t="inlineStr">
        <is>
          <t>Ezhuna (எழுநா)</t>
        </is>
      </c>
      <c r="H282" s="7" t="inlineStr">
        <is>
          <t>Online magazine article</t>
        </is>
      </c>
      <c r="I282" s="7" t="inlineStr">
        <is>
          <t>Tamil</t>
        </is>
      </c>
      <c r="J282" s="9" t="inlineStr">
        <is>
          <t>Archaeology / தொல்லியல்</t>
        </is>
      </c>
      <c r="K282" s="9" t="inlineStr">
        <is>
          <t>தொல்லியல்; Kantarodai</t>
        </is>
      </c>
      <c r="L282" s="7" t="inlineStr">
        <is>
          <t>Yes</t>
        </is>
      </c>
      <c r="M282" s="9" t="inlineStr">
        <is>
          <t>Series: Kantarodai civilization of ancient Jaffna</t>
        </is>
      </c>
      <c r="N282" s="10" t="inlineStr">
        <is>
          <t>https://www.ezhunaonline.com/origin-and-gradual-development-of-the-gandharoda-civilization-part-4/</t>
        </is>
      </c>
    </row>
    <row r="283">
      <c r="A283" s="11" t="inlineStr">
        <is>
          <t>ALL-0282</t>
        </is>
      </c>
      <c r="B283" s="11" t="inlineStr">
        <is>
          <t>Magazines/Journals</t>
        </is>
      </c>
      <c r="C283" s="12" t="inlineStr">
        <is>
          <t>2026</t>
        </is>
      </c>
      <c r="D283" s="11" t="inlineStr">
        <is>
          <t>2026-06-22</t>
        </is>
      </c>
      <c r="E283" s="13" t="inlineStr">
        <is>
          <t>இலங்கையின் மகாவம்ச வரலாற்றைப் புரட்டிப்போட்ட கந்தரோடைத் தொல்லியலும் ஆதி இரும்புக்காலம் பற்றிய அறிவியல் ஆய்வுகளும் – பகுதி 5</t>
        </is>
      </c>
      <c r="F283" s="13" t="inlineStr">
        <is>
          <t>Siva Thiagarajah</t>
        </is>
      </c>
      <c r="G283" s="13" t="inlineStr">
        <is>
          <t>Ezhuna (எழுநா)</t>
        </is>
      </c>
      <c r="H283" s="11" t="inlineStr">
        <is>
          <t>Online magazine article</t>
        </is>
      </c>
      <c r="I283" s="11" t="inlineStr">
        <is>
          <t>Tamil</t>
        </is>
      </c>
      <c r="J283" s="13" t="inlineStr">
        <is>
          <t>Archaeology / தொல்லியல்</t>
        </is>
      </c>
      <c r="K283" s="13" t="inlineStr">
        <is>
          <t>தொல்லியல்; Kantarodai; Iron Age</t>
        </is>
      </c>
      <c r="L283" s="11" t="inlineStr">
        <is>
          <t>Yes</t>
        </is>
      </c>
      <c r="M283" s="13" t="inlineStr">
        <is>
          <t>Series: Kantarodai civilization of ancient Jaffna</t>
        </is>
      </c>
      <c r="N283" s="14" t="inlineStr">
        <is>
          <t>https://www.ezhunaonline.com/the-gandarodai-archaeological-site-and-scientific-studies-on-the-early-iron-age-that-overturned-the-mahavamsa-history-of-sri-lanka-part-5/</t>
        </is>
      </c>
    </row>
    <row r="284">
      <c r="A284" s="7" t="inlineStr">
        <is>
          <t>ALL-0283</t>
        </is>
      </c>
      <c r="B284" s="7" t="inlineStr">
        <is>
          <t>Magazines/Journals</t>
        </is>
      </c>
      <c r="C284" s="8" t="inlineStr">
        <is>
          <t>2026</t>
        </is>
      </c>
      <c r="D284" s="7" t="inlineStr">
        <is>
          <t>2026-06-30</t>
        </is>
      </c>
      <c r="E284" s="9" t="inlineStr">
        <is>
          <t>தொல்லியலும் கடந்த காலத்தை ஆயுதமாக்குதலும் – பகுதி 2</t>
        </is>
      </c>
      <c r="F284" s="9" t="inlineStr">
        <is>
          <t>மீநிலங்கோ தெய்வேந்திரன்</t>
        </is>
      </c>
      <c r="G284" s="9" t="inlineStr">
        <is>
          <t>Ezhuna (எழுநா)</t>
        </is>
      </c>
      <c r="H284" s="7" t="inlineStr">
        <is>
          <t>Online magazine article</t>
        </is>
      </c>
      <c r="I284" s="7" t="inlineStr">
        <is>
          <t>Tamil</t>
        </is>
      </c>
      <c r="J284" s="9" t="n"/>
      <c r="K284" s="9" t="n"/>
      <c r="L284" s="7" t="inlineStr">
        <is>
          <t>Yes</t>
        </is>
      </c>
      <c r="M284" s="9" t="inlineStr">
        <is>
          <t>Auto-collected 2026-10-14 (ezhuna); review.</t>
        </is>
      </c>
      <c r="N284" s="10" t="inlineStr">
        <is>
          <t>https://www.ezhunaonline.com/archaeology-and-weaponizing-the-past-part-2/</t>
        </is>
      </c>
    </row>
    <row r="285">
      <c r="A285" s="11" t="inlineStr">
        <is>
          <t>ALL-0284</t>
        </is>
      </c>
      <c r="B285" s="11" t="inlineStr">
        <is>
          <t>Magazines/Journals</t>
        </is>
      </c>
      <c r="C285" s="12" t="inlineStr">
        <is>
          <t>2026</t>
        </is>
      </c>
      <c r="D285" s="11" t="inlineStr">
        <is>
          <t>2026-07-15</t>
        </is>
      </c>
      <c r="E285" s="13" t="inlineStr">
        <is>
          <t>திராவிட மக்களின் மரபணு மூலங்களும் தமிழ்மொழியின் படிமுறைத் தோற்றமும் – அறிமுகம்</t>
        </is>
      </c>
      <c r="F285" s="13" t="inlineStr">
        <is>
          <t>சிவ தியாகராஜா</t>
        </is>
      </c>
      <c r="G285" s="13" t="inlineStr">
        <is>
          <t>Ezhuna (எழுநா)</t>
        </is>
      </c>
      <c r="H285" s="11" t="inlineStr">
        <is>
          <t>Online magazine article</t>
        </is>
      </c>
      <c r="I285" s="11" t="inlineStr">
        <is>
          <t>Tamil</t>
        </is>
      </c>
      <c r="J285" s="13" t="n"/>
      <c r="K285" s="13" t="n"/>
      <c r="L285" s="11" t="inlineStr">
        <is>
          <t>Yes</t>
        </is>
      </c>
      <c r="M285" s="13" t="inlineStr">
        <is>
          <t>Auto-collected 2026-10-14 (ezhuna); review.</t>
        </is>
      </c>
      <c r="N285" s="14" t="inlineStr">
        <is>
          <t>https://www.ezhunaonline.com/the-genetic-origins-of-the-dravidian-people-and-the-evolutionary-emergence-of-the-tamil-language-an-introduction/</t>
        </is>
      </c>
    </row>
    <row r="286">
      <c r="A286" s="7" t="inlineStr">
        <is>
          <t>ALL-0285</t>
        </is>
      </c>
      <c r="B286" s="7" t="inlineStr">
        <is>
          <t>Magazines/Journals</t>
        </is>
      </c>
      <c r="C286" s="8" t="inlineStr">
        <is>
          <t>2026</t>
        </is>
      </c>
      <c r="D286" s="7" t="inlineStr">
        <is>
          <t>2026-09-15</t>
        </is>
      </c>
      <c r="E286" s="9" t="inlineStr">
        <is>
          <t>2500 ஆண்டுகளுக்கு முற்பட்ட யாழ்ப்பாணத்து மக்களின் உணவுப் பழக்கவழக்கங்கள்: ஆனைக்கோட்டை அகழ்வாய்வில் வெளிச்சத்திற்கு வந்திருக்கும் உண்மைகள்</t>
        </is>
      </c>
      <c r="F286" s="9" t="inlineStr">
        <is>
          <t>பரமு புஷ்பரட்ணம்</t>
        </is>
      </c>
      <c r="G286" s="9" t="inlineStr">
        <is>
          <t>Ezhuna (எழுநா)</t>
        </is>
      </c>
      <c r="H286" s="7" t="inlineStr">
        <is>
          <t>Online magazine article</t>
        </is>
      </c>
      <c r="I286" s="7" t="inlineStr">
        <is>
          <t>Tamil</t>
        </is>
      </c>
      <c r="J286" s="9" t="inlineStr">
        <is>
          <t>Archaeology / தொல்லியல்</t>
        </is>
      </c>
      <c r="K286" s="9" t="n"/>
      <c r="L286" s="7" t="inlineStr">
        <is>
          <t>Yes</t>
        </is>
      </c>
      <c r="M286" s="9" t="inlineStr">
        <is>
          <t>Auto-collected 2026-10-14 (ezhuna); review.</t>
        </is>
      </c>
      <c r="N286" s="10" t="inlineStr">
        <is>
          <t>https://www.ezhunaonline.com/dietary-habits-of-the-people-of-jaffna-2500-years-ago-facts-revealed-by-the-anaicottai-excavation/</t>
        </is>
      </c>
    </row>
    <row r="287">
      <c r="A287" s="11" t="inlineStr">
        <is>
          <t>ALL-0286</t>
        </is>
      </c>
      <c r="B287" s="11" t="inlineStr">
        <is>
          <t>Magazines/Journals</t>
        </is>
      </c>
      <c r="C287" s="12" t="inlineStr">
        <is>
          <t>2025</t>
        </is>
      </c>
      <c r="D287" s="11" t="inlineStr">
        <is>
          <t>2025-01-11</t>
        </is>
      </c>
      <c r="E287" s="13" t="inlineStr">
        <is>
          <t>ஒச்சாப்பு கல்லு எனும் பண்டைய நாகர் குடியிருப்பு</t>
        </is>
      </c>
      <c r="F287" s="13" t="inlineStr">
        <is>
          <t>N. K. S. Thiruchelvam</t>
        </is>
      </c>
      <c r="G287" s="13" t="inlineStr">
        <is>
          <t>Ezhuna (எழுநா)</t>
        </is>
      </c>
      <c r="H287" s="11" t="inlineStr">
        <is>
          <t>Online magazine article</t>
        </is>
      </c>
      <c r="I287" s="11" t="inlineStr">
        <is>
          <t>Tamil</t>
        </is>
      </c>
      <c r="J287" s="13" t="inlineStr">
        <is>
          <t>Archaeology / தொல்லியல்</t>
        </is>
      </c>
      <c r="K287" s="13" t="inlineStr">
        <is>
          <t>தொல்லியல்; Naga settlement; Ochappu Kallu</t>
        </is>
      </c>
      <c r="L287" s="11" t="inlineStr">
        <is>
          <t>Yes</t>
        </is>
      </c>
      <c r="M287" s="13" t="inlineStr">
        <is>
          <t>Series: Naga people in Sri Lankan Brahmi inscriptions</t>
        </is>
      </c>
      <c r="N287" s="14" t="inlineStr">
        <is>
          <t>https://www.ezhunaonline.com/ochapu-kallu-is-an-ancient-nagar-settlement/</t>
        </is>
      </c>
    </row>
    <row r="288">
      <c r="A288" s="7" t="inlineStr">
        <is>
          <t>ALL-0287</t>
        </is>
      </c>
      <c r="B288" s="7" t="inlineStr">
        <is>
          <t>Magazines/Journals</t>
        </is>
      </c>
      <c r="C288" s="8" t="inlineStr">
        <is>
          <t>2025</t>
        </is>
      </c>
      <c r="D288" s="7" t="inlineStr">
        <is>
          <t>2025-01-24</t>
        </is>
      </c>
      <c r="E288" s="9" t="inlineStr">
        <is>
          <t>பிராமணன் திவக்கனின் தங்கத் திருமலையில் நாகர் பற்றிய கல்வெட்டு</t>
        </is>
      </c>
      <c r="F288" s="9" t="inlineStr">
        <is>
          <t>N. K. S. Thiruchelvam</t>
        </is>
      </c>
      <c r="G288" s="9" t="inlineStr">
        <is>
          <t>Ezhuna (எழுநா)</t>
        </is>
      </c>
      <c r="H288" s="7" t="inlineStr">
        <is>
          <t>Online magazine article</t>
        </is>
      </c>
      <c r="I288" s="7" t="inlineStr">
        <is>
          <t>Tamil</t>
        </is>
      </c>
      <c r="J288" s="9" t="inlineStr">
        <is>
          <t>Inscriptions / கல்வெட்டு</t>
        </is>
      </c>
      <c r="K288" s="9" t="inlineStr">
        <is>
          <t>கல்வெட்டு; Naga</t>
        </is>
      </c>
      <c r="L288" s="7" t="inlineStr">
        <is>
          <t>Yes</t>
        </is>
      </c>
      <c r="M288" s="9" t="inlineStr">
        <is>
          <t>Series: Naga people in Sri Lankan Brahmi inscriptions</t>
        </is>
      </c>
      <c r="N288" s="10" t="inlineStr">
        <is>
          <t>https://www.ezhunaonline.com/inscription-about-nagar-on-thanga-tirumala-by-brahmin-divakan/</t>
        </is>
      </c>
    </row>
    <row r="289">
      <c r="A289" s="11" t="inlineStr">
        <is>
          <t>ALL-0288</t>
        </is>
      </c>
      <c r="B289" s="11" t="inlineStr">
        <is>
          <t>Magazines/Journals</t>
        </is>
      </c>
      <c r="C289" s="12" t="inlineStr">
        <is>
          <t>2025</t>
        </is>
      </c>
      <c r="D289" s="11" t="inlineStr">
        <is>
          <t>2025-01-30</t>
        </is>
      </c>
      <c r="E289" s="13" t="inlineStr">
        <is>
          <t>கழிகாமமலையின் எல்லையில்</t>
        </is>
      </c>
      <c r="F289" s="13" t="inlineStr">
        <is>
          <t>Vivekanantharaja Thulanchanan</t>
        </is>
      </c>
      <c r="G289" s="13" t="inlineStr">
        <is>
          <t>Ezhuna (எழுநா)</t>
        </is>
      </c>
      <c r="H289" s="11" t="inlineStr">
        <is>
          <t>Online magazine article</t>
        </is>
      </c>
      <c r="I289" s="11" t="inlineStr">
        <is>
          <t>Tamil</t>
        </is>
      </c>
      <c r="J289" s="13" t="n"/>
      <c r="K289" s="13" t="inlineStr">
        <is>
          <t>East coast; history</t>
        </is>
      </c>
      <c r="L289" s="11" t="inlineStr">
        <is>
          <t>Yes</t>
        </is>
      </c>
      <c r="M289" s="13" t="inlineStr">
        <is>
          <t>Series: East coast of Sri Lanka - a historical perspective</t>
        </is>
      </c>
      <c r="N289" s="14" t="inlineStr">
        <is>
          <t>https://www.ezhunaonline.com/on-the-border-of-ghazigamalai/</t>
        </is>
      </c>
    </row>
    <row r="290">
      <c r="A290" s="7" t="inlineStr">
        <is>
          <t>ALL-0289</t>
        </is>
      </c>
      <c r="B290" s="7" t="inlineStr">
        <is>
          <t>Magazines/Journals</t>
        </is>
      </c>
      <c r="C290" s="8" t="inlineStr">
        <is>
          <t>2025</t>
        </is>
      </c>
      <c r="D290" s="7" t="inlineStr">
        <is>
          <t>2025-02-09</t>
        </is>
      </c>
      <c r="E290" s="9" t="inlineStr">
        <is>
          <t>அரிட்ட பர்வத மலை எனும் ரிட்டிகல மலையில் காணப்படும் நாகர் பற்றிய கல்வெட்டுகள்</t>
        </is>
      </c>
      <c r="F290" s="9" t="inlineStr">
        <is>
          <t>N. K. S. Thiruchelvam</t>
        </is>
      </c>
      <c r="G290" s="9" t="inlineStr">
        <is>
          <t>Ezhuna (எழுநா)</t>
        </is>
      </c>
      <c r="H290" s="7" t="inlineStr">
        <is>
          <t>Online magazine article</t>
        </is>
      </c>
      <c r="I290" s="7" t="inlineStr">
        <is>
          <t>Tamil</t>
        </is>
      </c>
      <c r="J290" s="9" t="inlineStr">
        <is>
          <t>Inscriptions / கல்வெட்டு</t>
        </is>
      </c>
      <c r="K290" s="9" t="inlineStr">
        <is>
          <t>கல்வெட்டு; Naga; Ritigala</t>
        </is>
      </c>
      <c r="L290" s="7" t="inlineStr">
        <is>
          <t>Yes</t>
        </is>
      </c>
      <c r="M290" s="9" t="inlineStr">
        <is>
          <t>Series: Naga people in Sri Lankan Brahmi inscriptions</t>
        </is>
      </c>
      <c r="N290" s="10" t="inlineStr">
        <is>
          <t>https://www.ezhunaonline.com/inscriptions-about-nagar-found-on-rittikala-hill-arita-parvata-hill/</t>
        </is>
      </c>
    </row>
    <row r="291">
      <c r="A291" s="11" t="inlineStr">
        <is>
          <t>ALL-0290</t>
        </is>
      </c>
      <c r="B291" s="11" t="inlineStr">
        <is>
          <t>Magazines/Journals</t>
        </is>
      </c>
      <c r="C291" s="12" t="inlineStr">
        <is>
          <t>2025</t>
        </is>
      </c>
      <c r="D291" s="11" t="inlineStr">
        <is>
          <t>2025-02-22</t>
        </is>
      </c>
      <c r="E291" s="13" t="inlineStr">
        <is>
          <t>ரிதி விகாரை மலையில் நாக மகாராஜன் பற்றிய கல்வெட்டு</t>
        </is>
      </c>
      <c r="F291" s="13" t="inlineStr">
        <is>
          <t>N. K. S. Thiruchelvam</t>
        </is>
      </c>
      <c r="G291" s="13" t="inlineStr">
        <is>
          <t>Ezhuna (எழுநா)</t>
        </is>
      </c>
      <c r="H291" s="11" t="inlineStr">
        <is>
          <t>Online magazine article</t>
        </is>
      </c>
      <c r="I291" s="11" t="inlineStr">
        <is>
          <t>Tamil</t>
        </is>
      </c>
      <c r="J291" s="13" t="inlineStr">
        <is>
          <t>Inscriptions / கல்வெட்டு</t>
        </is>
      </c>
      <c r="K291" s="13" t="inlineStr">
        <is>
          <t>கல்வெட்டு; Naga; Ritigala</t>
        </is>
      </c>
      <c r="L291" s="11" t="inlineStr">
        <is>
          <t>Yes</t>
        </is>
      </c>
      <c r="M291" s="13" t="inlineStr">
        <is>
          <t>Series: Naga people in Sri Lankan Brahmi inscriptions</t>
        </is>
      </c>
      <c r="N291" s="14" t="inlineStr">
        <is>
          <t>https://www.ezhunaonline.com/inscription-of-naga-maharaja-on-rithi-viharai-hill/</t>
        </is>
      </c>
    </row>
    <row r="292">
      <c r="A292" s="7" t="inlineStr">
        <is>
          <t>ALL-0291</t>
        </is>
      </c>
      <c r="B292" s="7" t="inlineStr">
        <is>
          <t>Magazines/Journals</t>
        </is>
      </c>
      <c r="C292" s="8" t="inlineStr">
        <is>
          <t>2025</t>
        </is>
      </c>
      <c r="D292" s="7" t="inlineStr">
        <is>
          <t>2025-02-25</t>
        </is>
      </c>
      <c r="E292" s="9" t="inlineStr">
        <is>
          <t>பண்டைய யாழ்ப்பாணத்தின் கந்தரோடை நாகரிகம்</t>
        </is>
      </c>
      <c r="F292" s="9" t="inlineStr">
        <is>
          <t>Siva Thiagarajah</t>
        </is>
      </c>
      <c r="G292" s="9" t="inlineStr">
        <is>
          <t>Ezhuna (எழுநா)</t>
        </is>
      </c>
      <c r="H292" s="7" t="inlineStr">
        <is>
          <t>Online magazine article</t>
        </is>
      </c>
      <c r="I292" s="7" t="inlineStr">
        <is>
          <t>Tamil</t>
        </is>
      </c>
      <c r="J292" s="9" t="inlineStr">
        <is>
          <t>Archaeology / தொல்லியல்</t>
        </is>
      </c>
      <c r="K292" s="9" t="inlineStr">
        <is>
          <t>தொல்லியல்; Kantarodai</t>
        </is>
      </c>
      <c r="L292" s="7" t="inlineStr">
        <is>
          <t>Yes</t>
        </is>
      </c>
      <c r="M292" s="9" t="inlineStr">
        <is>
          <t>Series: Kantarodai civilization of ancient Jaffna</t>
        </is>
      </c>
      <c r="N292" s="10" t="inlineStr">
        <is>
          <t>https://www.ezhunaonline.com/gandharoda-civilization-of-ancient-jaffna/</t>
        </is>
      </c>
    </row>
    <row r="293">
      <c r="A293" s="11" t="inlineStr">
        <is>
          <t>ALL-0292</t>
        </is>
      </c>
      <c r="B293" s="11" t="inlineStr">
        <is>
          <t>Magazines/Journals</t>
        </is>
      </c>
      <c r="C293" s="12" t="inlineStr">
        <is>
          <t>2025</t>
        </is>
      </c>
      <c r="D293" s="11" t="inlineStr">
        <is>
          <t>2025-03-05</t>
        </is>
      </c>
      <c r="E293" s="13" t="inlineStr">
        <is>
          <t>யாழ்ப்பாணத்தின் நிலவியல், நில அமைப்பியல், ஆதிக் குடியிருப்புகள்</t>
        </is>
      </c>
      <c r="F293" s="13" t="inlineStr">
        <is>
          <t>Siva Thiagarajah</t>
        </is>
      </c>
      <c r="G293" s="13" t="inlineStr">
        <is>
          <t>Ezhuna (எழுநா)</t>
        </is>
      </c>
      <c r="H293" s="11" t="inlineStr">
        <is>
          <t>Online magazine article</t>
        </is>
      </c>
      <c r="I293" s="11" t="inlineStr">
        <is>
          <t>Tamil</t>
        </is>
      </c>
      <c r="J293" s="13" t="inlineStr">
        <is>
          <t>Archaeology / தொல்லியல்</t>
        </is>
      </c>
      <c r="K293" s="13" t="inlineStr">
        <is>
          <t>settlements; Jaffna</t>
        </is>
      </c>
      <c r="L293" s="11" t="inlineStr">
        <is>
          <t>Yes</t>
        </is>
      </c>
      <c r="M293" s="13" t="inlineStr">
        <is>
          <t>Series: Kantarodai civilization of ancient Jaffna</t>
        </is>
      </c>
      <c r="N293" s="14" t="inlineStr">
        <is>
          <t>https://www.ezhunaonline.com/geology-topography-and-ancient-settlements-of-jaffna/</t>
        </is>
      </c>
    </row>
    <row r="294">
      <c r="A294" s="7" t="inlineStr">
        <is>
          <t>ALL-0293</t>
        </is>
      </c>
      <c r="B294" s="7" t="inlineStr">
        <is>
          <t>Magazines/Journals</t>
        </is>
      </c>
      <c r="C294" s="8" t="inlineStr">
        <is>
          <t>2025</t>
        </is>
      </c>
      <c r="D294" s="7" t="inlineStr">
        <is>
          <t>2025-03-11</t>
        </is>
      </c>
      <c r="E294" s="9" t="inlineStr">
        <is>
          <t>2000 ஆண்டுகளுக்கு முன்பு சித்தர்கள் வாழ்ந்த ஆண்டியாகல மலைக் கல்வெட்டு</t>
        </is>
      </c>
      <c r="F294" s="9" t="inlineStr">
        <is>
          <t>N. K. S. Thiruchelvam</t>
        </is>
      </c>
      <c r="G294" s="9" t="inlineStr">
        <is>
          <t>Ezhuna (எழுநா)</t>
        </is>
      </c>
      <c r="H294" s="7" t="inlineStr">
        <is>
          <t>Online magazine article</t>
        </is>
      </c>
      <c r="I294" s="7" t="inlineStr">
        <is>
          <t>Tamil</t>
        </is>
      </c>
      <c r="J294" s="9" t="inlineStr">
        <is>
          <t>Inscriptions / கல்வெட்டு</t>
        </is>
      </c>
      <c r="K294" s="9" t="inlineStr">
        <is>
          <t>கல்வெட்டு; Andiyagala</t>
        </is>
      </c>
      <c r="L294" s="7" t="inlineStr">
        <is>
          <t>Yes</t>
        </is>
      </c>
      <c r="M294" s="9" t="inlineStr">
        <is>
          <t>Series: Naga people in Sri Lankan Brahmi inscriptions</t>
        </is>
      </c>
      <c r="N294" s="10" t="inlineStr">
        <is>
          <t>https://www.ezhunaonline.com/andiyagala-hill-inscription-where-siddhas-lived-2000-years-ago/</t>
        </is>
      </c>
    </row>
    <row r="295">
      <c r="A295" s="11" t="inlineStr">
        <is>
          <t>ALL-0294</t>
        </is>
      </c>
      <c r="B295" s="11" t="inlineStr">
        <is>
          <t>Magazines/Journals</t>
        </is>
      </c>
      <c r="C295" s="12" t="inlineStr">
        <is>
          <t>2025</t>
        </is>
      </c>
      <c r="D295" s="11" t="inlineStr">
        <is>
          <t>2025-03-30</t>
        </is>
      </c>
      <c r="E295" s="13" t="inlineStr">
        <is>
          <t>நாக குலத்தவர் பற்றிக் கூறும் ஹிபவுவ கல்வெட்டு</t>
        </is>
      </c>
      <c r="F295" s="13" t="inlineStr">
        <is>
          <t>N. K. S. Thiruchelvam</t>
        </is>
      </c>
      <c r="G295" s="13" t="inlineStr">
        <is>
          <t>Ezhuna (எழுநா)</t>
        </is>
      </c>
      <c r="H295" s="11" t="inlineStr">
        <is>
          <t>Online magazine article</t>
        </is>
      </c>
      <c r="I295" s="11" t="inlineStr">
        <is>
          <t>Tamil</t>
        </is>
      </c>
      <c r="J295" s="13" t="inlineStr">
        <is>
          <t>Inscriptions / கல்வெட்டு</t>
        </is>
      </c>
      <c r="K295" s="13" t="inlineStr">
        <is>
          <t>கல்வெட்டு; Naga; Hibauwa</t>
        </is>
      </c>
      <c r="L295" s="11" t="inlineStr">
        <is>
          <t>Yes</t>
        </is>
      </c>
      <c r="M295" s="13" t="inlineStr">
        <is>
          <t>Series: Naga people in Sri Lankan Brahmi inscriptions</t>
        </is>
      </c>
      <c r="N295" s="14" t="inlineStr">
        <is>
          <t>https://www.ezhunaonline.com/hibauwa-inscription-about-the-naga-clan/</t>
        </is>
      </c>
    </row>
    <row r="296">
      <c r="A296" s="7" t="inlineStr">
        <is>
          <t>ALL-0295</t>
        </is>
      </c>
      <c r="B296" s="7" t="inlineStr">
        <is>
          <t>Magazines/Journals</t>
        </is>
      </c>
      <c r="C296" s="8" t="inlineStr">
        <is>
          <t>2025</t>
        </is>
      </c>
      <c r="D296" s="7" t="inlineStr">
        <is>
          <t>2025-04-10</t>
        </is>
      </c>
      <c r="E296" s="9" t="inlineStr">
        <is>
          <t>வரலாறு மற்றும் இலக்கியப் பதிவுகளில் நாகநாடும் நாகர்களும் – பகுதி 2</t>
        </is>
      </c>
      <c r="F296" s="9" t="inlineStr">
        <is>
          <t>Siva Thiagarajah</t>
        </is>
      </c>
      <c r="G296" s="9" t="inlineStr">
        <is>
          <t>Ezhuna (எழுநா)</t>
        </is>
      </c>
      <c r="H296" s="7" t="inlineStr">
        <is>
          <t>Online magazine article</t>
        </is>
      </c>
      <c r="I296" s="7" t="inlineStr">
        <is>
          <t>Tamil</t>
        </is>
      </c>
      <c r="J296" s="9" t="n"/>
      <c r="K296" s="9" t="inlineStr">
        <is>
          <t>Naga; Naganadu</t>
        </is>
      </c>
      <c r="L296" s="7" t="inlineStr">
        <is>
          <t>Yes</t>
        </is>
      </c>
      <c r="M296" s="9" t="inlineStr">
        <is>
          <t>Series: Kantarodai civilization of ancient Jaffna</t>
        </is>
      </c>
      <c r="N296" s="10" t="inlineStr">
        <is>
          <t>https://www.ezhunaonline.com/nagaland-and-the-nagas-in-history-and-literary-records-part-2/</t>
        </is>
      </c>
    </row>
    <row r="297">
      <c r="A297" s="11" t="inlineStr">
        <is>
          <t>ALL-0296</t>
        </is>
      </c>
      <c r="B297" s="11" t="inlineStr">
        <is>
          <t>Magazines/Journals</t>
        </is>
      </c>
      <c r="C297" s="12" t="inlineStr">
        <is>
          <t>2025</t>
        </is>
      </c>
      <c r="D297" s="11" t="inlineStr">
        <is>
          <t>2025-05-05</t>
        </is>
      </c>
      <c r="E297" s="13" t="inlineStr">
        <is>
          <t>தொல்பொருட்களின் தேதிக்கணிப்புகள் (The Dating of Archaeological Artefacts)</t>
        </is>
      </c>
      <c r="F297" s="13" t="inlineStr">
        <is>
          <t>Siva Thiagarajah</t>
        </is>
      </c>
      <c r="G297" s="13" t="inlineStr">
        <is>
          <t>Ezhuna (எழுநா)</t>
        </is>
      </c>
      <c r="H297" s="11" t="inlineStr">
        <is>
          <t>Online magazine article</t>
        </is>
      </c>
      <c r="I297" s="11" t="inlineStr">
        <is>
          <t>Tamil</t>
        </is>
      </c>
      <c r="J297" s="13" t="inlineStr">
        <is>
          <t>Archaeology / தொல்லியல்</t>
        </is>
      </c>
      <c r="K297" s="13" t="inlineStr">
        <is>
          <t>தொல்லியல்; dating</t>
        </is>
      </c>
      <c r="L297" s="11" t="inlineStr">
        <is>
          <t>Yes</t>
        </is>
      </c>
      <c r="M297" s="13" t="inlineStr">
        <is>
          <t>Series: Kantarodai civilization of ancient Jaffna</t>
        </is>
      </c>
      <c r="N297" s="14" t="inlineStr">
        <is>
          <t>https://www.ezhunaonline.com/the-dating-of-archaeological-artefacts/</t>
        </is>
      </c>
    </row>
    <row r="298">
      <c r="A298" s="7" t="inlineStr">
        <is>
          <t>ALL-0297</t>
        </is>
      </c>
      <c r="B298" s="7" t="inlineStr">
        <is>
          <t>Magazines/Journals</t>
        </is>
      </c>
      <c r="C298" s="8" t="inlineStr">
        <is>
          <t>2025</t>
        </is>
      </c>
      <c r="D298" s="7" t="inlineStr">
        <is>
          <t>2025-06-13</t>
        </is>
      </c>
      <c r="E298" s="9" t="inlineStr">
        <is>
          <t>கந்தரோடைத் தொல்லியல் (Archaeology of Kantarodai) – பகுதி 3</t>
        </is>
      </c>
      <c r="F298" s="9" t="inlineStr">
        <is>
          <t>Siva Thiagarajah</t>
        </is>
      </c>
      <c r="G298" s="9" t="inlineStr">
        <is>
          <t>Ezhuna (எழுநா)</t>
        </is>
      </c>
      <c r="H298" s="7" t="inlineStr">
        <is>
          <t>Online magazine article</t>
        </is>
      </c>
      <c r="I298" s="7" t="inlineStr">
        <is>
          <t>Tamil</t>
        </is>
      </c>
      <c r="J298" s="9" t="inlineStr">
        <is>
          <t>Archaeology / தொல்லியல்</t>
        </is>
      </c>
      <c r="K298" s="9" t="inlineStr">
        <is>
          <t>தொல்லியல்; Kantarodai</t>
        </is>
      </c>
      <c r="L298" s="7" t="inlineStr">
        <is>
          <t>Yes</t>
        </is>
      </c>
      <c r="M298" s="9" t="inlineStr">
        <is>
          <t>Series: Kantarodai civilization of ancient Jaffna</t>
        </is>
      </c>
      <c r="N298" s="10" t="inlineStr">
        <is>
          <t>https://www.ezhunaonline.com/archaeology-of-kantarodai-part-3/</t>
        </is>
      </c>
    </row>
    <row r="299">
      <c r="A299" s="11" t="inlineStr">
        <is>
          <t>ALL-0298</t>
        </is>
      </c>
      <c r="B299" s="11" t="inlineStr">
        <is>
          <t>Magazines/Journals</t>
        </is>
      </c>
      <c r="C299" s="12" t="inlineStr">
        <is>
          <t>2025</t>
        </is>
      </c>
      <c r="D299" s="11" t="inlineStr">
        <is>
          <t>2025-07-11</t>
        </is>
      </c>
      <c r="E299" s="13" t="inlineStr">
        <is>
          <t>ஆனைக்கோட்டைத் தொல்லியலாய்வு</t>
        </is>
      </c>
      <c r="F299" s="13" t="inlineStr">
        <is>
          <t>Siva Thiagarajah</t>
        </is>
      </c>
      <c r="G299" s="13" t="inlineStr">
        <is>
          <t>Ezhuna (எழுநா)</t>
        </is>
      </c>
      <c r="H299" s="11" t="inlineStr">
        <is>
          <t>Online magazine article</t>
        </is>
      </c>
      <c r="I299" s="11" t="inlineStr">
        <is>
          <t>Tamil</t>
        </is>
      </c>
      <c r="J299" s="13" t="inlineStr">
        <is>
          <t>Inscriptions / கல்வெட்டு; Archaeology / தொல்லியல்</t>
        </is>
      </c>
      <c r="K299" s="13" t="inlineStr">
        <is>
          <t>தொல்லியல்; Anaikoddai; seal</t>
        </is>
      </c>
      <c r="L299" s="11" t="inlineStr">
        <is>
          <t>Yes</t>
        </is>
      </c>
      <c r="M299" s="13" t="inlineStr">
        <is>
          <t>Series: Kantarodai civilization of ancient Jaffna</t>
        </is>
      </c>
      <c r="N299" s="14" t="inlineStr">
        <is>
          <t>https://www.ezhunaonline.com/anaikottai-archaeological-survey/</t>
        </is>
      </c>
    </row>
    <row r="300">
      <c r="A300" s="7" t="inlineStr">
        <is>
          <t>ALL-0299</t>
        </is>
      </c>
      <c r="B300" s="7" t="inlineStr">
        <is>
          <t>Magazines/Journals</t>
        </is>
      </c>
      <c r="C300" s="8" t="inlineStr">
        <is>
          <t>2025</t>
        </is>
      </c>
      <c r="D300" s="7" t="inlineStr">
        <is>
          <t>2025-07-14</t>
        </is>
      </c>
      <c r="E300" s="9" t="inlineStr">
        <is>
          <t>மன்னன் நாகன் பற்றிக் கூறும் கள்ளஞ்சிய பாறைக் கல்வெட்டு</t>
        </is>
      </c>
      <c r="F300" s="9" t="inlineStr">
        <is>
          <t>N. K. S. Thiruchelvam</t>
        </is>
      </c>
      <c r="G300" s="9" t="inlineStr">
        <is>
          <t>Ezhuna (எழுநா)</t>
        </is>
      </c>
      <c r="H300" s="7" t="inlineStr">
        <is>
          <t>Online magazine article</t>
        </is>
      </c>
      <c r="I300" s="7" t="inlineStr">
        <is>
          <t>Tamil</t>
        </is>
      </c>
      <c r="J300" s="9" t="inlineStr">
        <is>
          <t>Inscriptions / கல்வெட்டு</t>
        </is>
      </c>
      <c r="K300" s="9" t="inlineStr">
        <is>
          <t>கல்வெட்டு; Naga; Kallanchiya</t>
        </is>
      </c>
      <c r="L300" s="7" t="inlineStr">
        <is>
          <t>Yes</t>
        </is>
      </c>
      <c r="M300" s="9" t="inlineStr">
        <is>
          <t>Series: Naga people in Sri Lankan Brahmi inscriptions</t>
        </is>
      </c>
      <c r="N300" s="10" t="inlineStr">
        <is>
          <t>https://www.ezhunaonline.com/the-kallanchiya-rock-inscription-tells-of-king-nagan/</t>
        </is>
      </c>
    </row>
    <row r="301">
      <c r="A301" s="11" t="inlineStr">
        <is>
          <t>ALL-0300</t>
        </is>
      </c>
      <c r="B301" s="11" t="inlineStr">
        <is>
          <t>Magazines/Journals</t>
        </is>
      </c>
      <c r="C301" s="12" t="inlineStr">
        <is>
          <t>2025</t>
        </is>
      </c>
      <c r="D301" s="11" t="inlineStr">
        <is>
          <t>2025-08-25</t>
        </is>
      </c>
      <c r="E301" s="13" t="inlineStr">
        <is>
          <t>யாழ்ப்பாணப் பட்டினம்: பொங்கொலிநீர்ச் சிங்கைநகர் – பகுதி 2</t>
        </is>
      </c>
      <c r="F301" s="13" t="inlineStr">
        <is>
          <t>Siva Thiagarajah</t>
        </is>
      </c>
      <c r="G301" s="13" t="inlineStr">
        <is>
          <t>Ezhuna (எழுநா)</t>
        </is>
      </c>
      <c r="H301" s="11" t="inlineStr">
        <is>
          <t>Online magazine article</t>
        </is>
      </c>
      <c r="I301" s="11" t="inlineStr">
        <is>
          <t>Tamil</t>
        </is>
      </c>
      <c r="J301" s="13" t="n"/>
      <c r="K301" s="13" t="inlineStr">
        <is>
          <t>Singai Nagar; Jaffna</t>
        </is>
      </c>
      <c r="L301" s="11" t="inlineStr">
        <is>
          <t>Yes</t>
        </is>
      </c>
      <c r="M301" s="13" t="inlineStr">
        <is>
          <t>Series: Kantarodai civilization of ancient Jaffna</t>
        </is>
      </c>
      <c r="N301" s="14" t="inlineStr">
        <is>
          <t>https://www.ezhunaonline.com/jaffna-city-pongoli-water-lion-city-part-2/</t>
        </is>
      </c>
    </row>
    <row r="302">
      <c r="A302" s="7" t="inlineStr">
        <is>
          <t>ALL-0301</t>
        </is>
      </c>
      <c r="B302" s="7" t="inlineStr">
        <is>
          <t>Magazines/Journals</t>
        </is>
      </c>
      <c r="C302" s="8" t="inlineStr">
        <is>
          <t>2025</t>
        </is>
      </c>
      <c r="D302" s="7" t="inlineStr">
        <is>
          <t>2025-09-04</t>
        </is>
      </c>
      <c r="E302" s="9" t="inlineStr">
        <is>
          <t>வல்லிபுரமும் நாகர்கோயிலும்</t>
        </is>
      </c>
      <c r="F302" s="9" t="inlineStr">
        <is>
          <t>Siva Thiagarajah</t>
        </is>
      </c>
      <c r="G302" s="9" t="inlineStr">
        <is>
          <t>Ezhuna (எழுநா)</t>
        </is>
      </c>
      <c r="H302" s="7" t="inlineStr">
        <is>
          <t>Online magazine article</t>
        </is>
      </c>
      <c r="I302" s="7" t="inlineStr">
        <is>
          <t>Tamil</t>
        </is>
      </c>
      <c r="J302" s="9" t="inlineStr">
        <is>
          <t>Archaeology / தொல்லியல்</t>
        </is>
      </c>
      <c r="K302" s="9" t="inlineStr">
        <is>
          <t>தொல்லியல்; Vallipuram</t>
        </is>
      </c>
      <c r="L302" s="7" t="inlineStr">
        <is>
          <t>Yes</t>
        </is>
      </c>
      <c r="M302" s="9" t="inlineStr">
        <is>
          <t>Series: Kantarodai civilization of ancient Jaffna</t>
        </is>
      </c>
      <c r="N302" s="10" t="inlineStr">
        <is>
          <t>https://www.ezhunaonline.com/vallipuram-and-nagercoil/</t>
        </is>
      </c>
    </row>
    <row r="303">
      <c r="A303" s="11" t="inlineStr">
        <is>
          <t>ALL-0302</t>
        </is>
      </c>
      <c r="B303" s="11" t="inlineStr">
        <is>
          <t>Magazines/Journals</t>
        </is>
      </c>
      <c r="C303" s="12" t="inlineStr">
        <is>
          <t>2025</t>
        </is>
      </c>
      <c r="D303" s="11" t="inlineStr">
        <is>
          <t>2025-10-10</t>
        </is>
      </c>
      <c r="E303" s="13" t="inlineStr">
        <is>
          <t>யாழ்ப்பாணத் தீபகற்பத்திற்குச் சமீபத்திலுள்ள ஆதிக்குடியேற்றங்கள்</t>
        </is>
      </c>
      <c r="F303" s="13" t="inlineStr">
        <is>
          <t>Siva Thiagarajah</t>
        </is>
      </c>
      <c r="G303" s="13" t="inlineStr">
        <is>
          <t>Ezhuna (எழுநா)</t>
        </is>
      </c>
      <c r="H303" s="11" t="inlineStr">
        <is>
          <t>Online magazine article</t>
        </is>
      </c>
      <c r="I303" s="11" t="inlineStr">
        <is>
          <t>Tamil</t>
        </is>
      </c>
      <c r="J303" s="13" t="inlineStr">
        <is>
          <t>Archaeology / தொல்லியல்</t>
        </is>
      </c>
      <c r="K303" s="13" t="inlineStr">
        <is>
          <t>தொல்லியல்; settlements</t>
        </is>
      </c>
      <c r="L303" s="11" t="inlineStr">
        <is>
          <t>Yes</t>
        </is>
      </c>
      <c r="M303" s="13" t="inlineStr">
        <is>
          <t>Series: Kantarodai civilization of ancient Jaffna</t>
        </is>
      </c>
      <c r="N303" s="14" t="inlineStr">
        <is>
          <t>https://www.ezhunaonline.com/early-settlements-near-the-jaffna-peninsula/</t>
        </is>
      </c>
    </row>
    <row r="304">
      <c r="A304" s="7" t="inlineStr">
        <is>
          <t>ALL-0303</t>
        </is>
      </c>
      <c r="B304" s="7" t="inlineStr">
        <is>
          <t>Magazines/Journals</t>
        </is>
      </c>
      <c r="C304" s="8" t="inlineStr">
        <is>
          <t>2025</t>
        </is>
      </c>
      <c r="D304" s="7" t="inlineStr">
        <is>
          <t>2025-11-06</t>
        </is>
      </c>
      <c r="E304" s="9" t="inlineStr">
        <is>
          <t>வட இலங்கைப் பெருநிலத்தில் ஆதிமனிதக் குடியேற்றங்கள்</t>
        </is>
      </c>
      <c r="F304" s="9" t="inlineStr">
        <is>
          <t>Siva Thiagarajah</t>
        </is>
      </c>
      <c r="G304" s="9" t="inlineStr">
        <is>
          <t>Ezhuna (எழுநா)</t>
        </is>
      </c>
      <c r="H304" s="7" t="inlineStr">
        <is>
          <t>Online magazine article</t>
        </is>
      </c>
      <c r="I304" s="7" t="inlineStr">
        <is>
          <t>Tamil</t>
        </is>
      </c>
      <c r="J304" s="9" t="inlineStr">
        <is>
          <t>Archaeology / தொல்லியல்</t>
        </is>
      </c>
      <c r="K304" s="9" t="inlineStr">
        <is>
          <t>தொல்லியல்; prehistoric settlements</t>
        </is>
      </c>
      <c r="L304" s="7" t="inlineStr">
        <is>
          <t>Yes</t>
        </is>
      </c>
      <c r="M304" s="9" t="inlineStr">
        <is>
          <t>Series: Kantarodai civilization of ancient Jaffna</t>
        </is>
      </c>
      <c r="N304" s="10" t="inlineStr">
        <is>
          <t>https://www.ezhunaonline.com/primitive-settlements-in-the-northern-mainland-of-sri-lanka/</t>
        </is>
      </c>
    </row>
    <row r="305">
      <c r="A305" s="11" t="inlineStr">
        <is>
          <t>ALL-0304</t>
        </is>
      </c>
      <c r="B305" s="11" t="inlineStr">
        <is>
          <t>Magazines/Journals</t>
        </is>
      </c>
      <c r="C305" s="12" t="inlineStr">
        <is>
          <t>2025</t>
        </is>
      </c>
      <c r="D305" s="11" t="inlineStr">
        <is>
          <t>2025-12-18</t>
        </is>
      </c>
      <c r="E305" s="13" t="inlineStr">
        <is>
          <t>இலங்கையில் ஆதி இரும்புக்காலமும் பெருங்கற் பண்பாடும் – பகுதி 3</t>
        </is>
      </c>
      <c r="F305" s="13" t="inlineStr">
        <is>
          <t>Siva Thiagarajah</t>
        </is>
      </c>
      <c r="G305" s="13" t="inlineStr">
        <is>
          <t>Ezhuna (எழுநா)</t>
        </is>
      </c>
      <c r="H305" s="11" t="inlineStr">
        <is>
          <t>Online magazine article</t>
        </is>
      </c>
      <c r="I305" s="11" t="inlineStr">
        <is>
          <t>Tamil</t>
        </is>
      </c>
      <c r="J305" s="13" t="inlineStr">
        <is>
          <t>Archaeology / தொல்லியல்</t>
        </is>
      </c>
      <c r="K305" s="13" t="inlineStr">
        <is>
          <t>megalithic; Iron Age</t>
        </is>
      </c>
      <c r="L305" s="11" t="inlineStr">
        <is>
          <t>Yes</t>
        </is>
      </c>
      <c r="M305" s="13" t="inlineStr">
        <is>
          <t>Series: Kantarodai civilization of ancient Jaffna</t>
        </is>
      </c>
      <c r="N305" s="14" t="inlineStr">
        <is>
          <t>https://www.ezhunaonline.com/early-iron-age-and-neolithic-culture-in-sri-lanka-part-3/</t>
        </is>
      </c>
    </row>
    <row r="306">
      <c r="A306" s="7" t="inlineStr">
        <is>
          <t>ALL-0305</t>
        </is>
      </c>
      <c r="B306" s="7" t="inlineStr">
        <is>
          <t>Magazines/Journals</t>
        </is>
      </c>
      <c r="C306" s="8" t="inlineStr">
        <is>
          <t>2024</t>
        </is>
      </c>
      <c r="D306" s="7" t="inlineStr">
        <is>
          <t>2024-01-26</t>
        </is>
      </c>
      <c r="E306" s="9" t="inlineStr">
        <is>
          <t>கீழைக்கரையில் நாகரும் அனுரை அரசரும்</t>
        </is>
      </c>
      <c r="F306" s="9" t="inlineStr">
        <is>
          <t>Vivekanantharaja Thulanchanan</t>
        </is>
      </c>
      <c r="G306" s="9" t="inlineStr">
        <is>
          <t>Ezhuna (எழுநா)</t>
        </is>
      </c>
      <c r="H306" s="7" t="inlineStr">
        <is>
          <t>Online magazine article</t>
        </is>
      </c>
      <c r="I306" s="7" t="inlineStr">
        <is>
          <t>Tamil</t>
        </is>
      </c>
      <c r="J306" s="9" t="n"/>
      <c r="K306" s="9" t="inlineStr">
        <is>
          <t>Naga; East coast</t>
        </is>
      </c>
      <c r="L306" s="7" t="inlineStr">
        <is>
          <t>Yes</t>
        </is>
      </c>
      <c r="M306" s="9" t="inlineStr">
        <is>
          <t>Series: East coast of Sri Lanka - a historical perspective</t>
        </is>
      </c>
      <c r="N306" s="10" t="inlineStr">
        <is>
          <t>https://www.ezhunaonline.com/history-of-naga-and-anuradhapura-kings-in-eastern-srilanka/</t>
        </is>
      </c>
    </row>
    <row r="307">
      <c r="A307" s="11" t="inlineStr">
        <is>
          <t>ALL-0306</t>
        </is>
      </c>
      <c r="B307" s="11" t="inlineStr">
        <is>
          <t>Magazines/Journals</t>
        </is>
      </c>
      <c r="C307" s="12" t="inlineStr">
        <is>
          <t>2024</t>
        </is>
      </c>
      <c r="D307" s="11" t="inlineStr">
        <is>
          <t>2024-02-21</t>
        </is>
      </c>
      <c r="E307" s="13" t="inlineStr">
        <is>
          <t>கீழைக்கரையின் முதல் அரசு : பத்து உடன்பிறந்தோர் குலம்!</t>
        </is>
      </c>
      <c r="F307" s="13" t="inlineStr">
        <is>
          <t>Vivekanantharaja Thulanchanan</t>
        </is>
      </c>
      <c r="G307" s="13" t="inlineStr">
        <is>
          <t>Ezhuna (எழுநா)</t>
        </is>
      </c>
      <c r="H307" s="11" t="inlineStr">
        <is>
          <t>Online magazine article</t>
        </is>
      </c>
      <c r="I307" s="11" t="inlineStr">
        <is>
          <t>Tamil</t>
        </is>
      </c>
      <c r="J307" s="13" t="inlineStr">
        <is>
          <t>Inscriptions / கல்வெட்டு; Brahmi / பிராமி</t>
        </is>
      </c>
      <c r="K307" s="13" t="inlineStr">
        <is>
          <t>East coast; Brahmi inscriptions</t>
        </is>
      </c>
      <c r="L307" s="11" t="inlineStr">
        <is>
          <t>Yes</t>
        </is>
      </c>
      <c r="M307" s="13" t="inlineStr">
        <is>
          <t>Series: East coast of Sri Lanka - a historical perspective</t>
        </is>
      </c>
      <c r="N307" s="14" t="inlineStr">
        <is>
          <t>https://www.ezhunaonline.com/the-first-ten-clans-of-eastern-sri-lanka/</t>
        </is>
      </c>
    </row>
    <row r="308">
      <c r="A308" s="7" t="inlineStr">
        <is>
          <t>ALL-0307</t>
        </is>
      </c>
      <c r="B308" s="7" t="inlineStr">
        <is>
          <t>Magazines/Journals</t>
        </is>
      </c>
      <c r="C308" s="8" t="inlineStr">
        <is>
          <t>2024</t>
        </is>
      </c>
      <c r="D308" s="7" t="inlineStr">
        <is>
          <t>2024-02-28</t>
        </is>
      </c>
      <c r="E308" s="9" t="inlineStr">
        <is>
          <t>2000 ஆண்டுகளுக்கு முற்பட்ட பிராமிக் கல்வெட்டுகள் : ஓர் அறிமுகம் – பகுதி 1</t>
        </is>
      </c>
      <c r="F308" s="9" t="inlineStr">
        <is>
          <t>N. K. S. Thiruchelvam</t>
        </is>
      </c>
      <c r="G308" s="9" t="inlineStr">
        <is>
          <t>Ezhuna (எழுநா)</t>
        </is>
      </c>
      <c r="H308" s="7" t="inlineStr">
        <is>
          <t>Online magazine article</t>
        </is>
      </c>
      <c r="I308" s="7" t="inlineStr">
        <is>
          <t>Tamil</t>
        </is>
      </c>
      <c r="J308" s="9" t="inlineStr">
        <is>
          <t>Inscriptions / கல்வெட்டு; Brahmi / பிராமி</t>
        </is>
      </c>
      <c r="K308" s="9" t="inlineStr">
        <is>
          <t>பிராமி; introduction</t>
        </is>
      </c>
      <c r="L308" s="7" t="inlineStr">
        <is>
          <t>Yes</t>
        </is>
      </c>
      <c r="M308" s="9" t="inlineStr">
        <is>
          <t>Series: Naga people in Sri Lankan Brahmi inscriptions</t>
        </is>
      </c>
      <c r="N308" s="10" t="inlineStr">
        <is>
          <t>https://www.ezhunaonline.com/an-introduction-to-brahmi-inscriptions-in-sri-lanka/</t>
        </is>
      </c>
    </row>
    <row r="309">
      <c r="A309" s="11" t="inlineStr">
        <is>
          <t>ALL-0308</t>
        </is>
      </c>
      <c r="B309" s="11" t="inlineStr">
        <is>
          <t>Magazines/Journals</t>
        </is>
      </c>
      <c r="C309" s="12" t="inlineStr">
        <is>
          <t>2024</t>
        </is>
      </c>
      <c r="D309" s="11" t="inlineStr">
        <is>
          <t>2024-03-19</t>
        </is>
      </c>
      <c r="E309" s="13" t="inlineStr">
        <is>
          <t>நாகசேனன் பற்றிக் குறிப்பிடும் சித்துள்பவ்வ கல்வெட்டுகள்</t>
        </is>
      </c>
      <c r="F309" s="13" t="inlineStr">
        <is>
          <t>N. K. S. Thiruchelvam</t>
        </is>
      </c>
      <c r="G309" s="13" t="inlineStr">
        <is>
          <t>Ezhuna (எழுநா)</t>
        </is>
      </c>
      <c r="H309" s="11" t="inlineStr">
        <is>
          <t>Online magazine article</t>
        </is>
      </c>
      <c r="I309" s="11" t="inlineStr">
        <is>
          <t>Tamil</t>
        </is>
      </c>
      <c r="J309" s="13" t="inlineStr">
        <is>
          <t>Inscriptions / கல்வெட்டு</t>
        </is>
      </c>
      <c r="K309" s="13" t="inlineStr">
        <is>
          <t>கல்வெட்டு; Situlpahuwa</t>
        </is>
      </c>
      <c r="L309" s="11" t="inlineStr">
        <is>
          <t>Yes</t>
        </is>
      </c>
      <c r="M309" s="13" t="inlineStr">
        <is>
          <t>Series: Naga people in Sri Lankan Brahmi inscriptions</t>
        </is>
      </c>
      <c r="N309" s="14" t="inlineStr">
        <is>
          <t>https://www.ezhunaonline.com/tamil-brahmi-inscription-in-ambanthotta-2/</t>
        </is>
      </c>
    </row>
    <row r="310">
      <c r="A310" s="7" t="inlineStr">
        <is>
          <t>ALL-0309</t>
        </is>
      </c>
      <c r="B310" s="7" t="inlineStr">
        <is>
          <t>Magazines/Journals</t>
        </is>
      </c>
      <c r="C310" s="8" t="inlineStr">
        <is>
          <t>2024</t>
        </is>
      </c>
      <c r="D310" s="7" t="inlineStr">
        <is>
          <t>2024-03-22</t>
        </is>
      </c>
      <c r="E310" s="9" t="inlineStr">
        <is>
          <t>கீழைக்கரை : துட்டகாமணி முதல் வட்டகாமணி வரை</t>
        </is>
      </c>
      <c r="F310" s="9" t="inlineStr">
        <is>
          <t>Vivekanantharaja Thulanchanan</t>
        </is>
      </c>
      <c r="G310" s="9" t="inlineStr">
        <is>
          <t>Ezhuna (எழுநா)</t>
        </is>
      </c>
      <c r="H310" s="7" t="inlineStr">
        <is>
          <t>Online magazine article</t>
        </is>
      </c>
      <c r="I310" s="7" t="inlineStr">
        <is>
          <t>Tamil</t>
        </is>
      </c>
      <c r="J310" s="9" t="n"/>
      <c r="K310" s="9" t="inlineStr">
        <is>
          <t>East coast; history</t>
        </is>
      </c>
      <c r="L310" s="7" t="inlineStr">
        <is>
          <t>Yes</t>
        </is>
      </c>
      <c r="M310" s="9" t="inlineStr">
        <is>
          <t>Series: East coast of Sri Lanka - a historical perspective</t>
        </is>
      </c>
      <c r="N310" s="10" t="inlineStr">
        <is>
          <t>https://www.ezhunaonline.com/from-vattagamini-to-vattagamini/</t>
        </is>
      </c>
    </row>
    <row r="311">
      <c r="A311" s="11" t="inlineStr">
        <is>
          <t>ALL-0310</t>
        </is>
      </c>
      <c r="B311" s="11" t="inlineStr">
        <is>
          <t>Magazines/Journals</t>
        </is>
      </c>
      <c r="C311" s="12" t="inlineStr">
        <is>
          <t>2024</t>
        </is>
      </c>
      <c r="D311" s="11" t="inlineStr">
        <is>
          <t>2024-04-12</t>
        </is>
      </c>
      <c r="E311" s="13" t="inlineStr">
        <is>
          <t>வடக்கு மாகாணத்தில் நாகர்</t>
        </is>
      </c>
      <c r="F311" s="13" t="inlineStr">
        <is>
          <t>N. K. S. Thiruchelvam</t>
        </is>
      </c>
      <c r="G311" s="13" t="inlineStr">
        <is>
          <t>Ezhuna (எழுநா)</t>
        </is>
      </c>
      <c r="H311" s="11" t="inlineStr">
        <is>
          <t>Online magazine article</t>
        </is>
      </c>
      <c r="I311" s="11" t="inlineStr">
        <is>
          <t>Tamil</t>
        </is>
      </c>
      <c r="J311" s="13" t="n"/>
      <c r="K311" s="13" t="inlineStr">
        <is>
          <t>Naga; Northern Province</t>
        </is>
      </c>
      <c r="L311" s="11" t="inlineStr">
        <is>
          <t>Yes</t>
        </is>
      </c>
      <c r="M311" s="13" t="inlineStr">
        <is>
          <t>Series: Naga people in Sri Lankan Brahmi inscriptions</t>
        </is>
      </c>
      <c r="N311" s="14" t="inlineStr">
        <is>
          <t>https://www.ezhunaonline.com/history-of-nagar-in-northern-sri-lanka/</t>
        </is>
      </c>
    </row>
    <row r="312">
      <c r="A312" s="7" t="inlineStr">
        <is>
          <t>ALL-0311</t>
        </is>
      </c>
      <c r="B312" s="7" t="inlineStr">
        <is>
          <t>Magazines/Journals</t>
        </is>
      </c>
      <c r="C312" s="8" t="inlineStr">
        <is>
          <t>2024</t>
        </is>
      </c>
      <c r="D312" s="7" t="inlineStr">
        <is>
          <t>2024-04-15</t>
        </is>
      </c>
      <c r="E312" s="9" t="inlineStr">
        <is>
          <t>மகாசேனன் காலம் வரை கிழக்கு உரோகணம்</t>
        </is>
      </c>
      <c r="F312" s="9" t="inlineStr">
        <is>
          <t>Vivekanantharaja Thulanchanan</t>
        </is>
      </c>
      <c r="G312" s="9" t="inlineStr">
        <is>
          <t>Ezhuna (எழுநா)</t>
        </is>
      </c>
      <c r="H312" s="7" t="inlineStr">
        <is>
          <t>Online magazine article</t>
        </is>
      </c>
      <c r="I312" s="7" t="inlineStr">
        <is>
          <t>Tamil</t>
        </is>
      </c>
      <c r="J312" s="9" t="n"/>
      <c r="K312" s="9" t="inlineStr">
        <is>
          <t>East coast; Ruhuna</t>
        </is>
      </c>
      <c r="L312" s="7" t="inlineStr">
        <is>
          <t>Yes</t>
        </is>
      </c>
      <c r="M312" s="9" t="inlineStr">
        <is>
          <t>Series: East coast of Sri Lanka - a historical perspective</t>
        </is>
      </c>
      <c r="N312" s="10" t="inlineStr">
        <is>
          <t>https://www.ezhunaonline.com/eastern-ruhunu-until-the-period-of-mahasenan/</t>
        </is>
      </c>
    </row>
    <row r="313">
      <c r="A313" s="11" t="inlineStr">
        <is>
          <t>ALL-0312</t>
        </is>
      </c>
      <c r="B313" s="11" t="inlineStr">
        <is>
          <t>Magazines/Journals</t>
        </is>
      </c>
      <c r="C313" s="12" t="inlineStr">
        <is>
          <t>2024</t>
        </is>
      </c>
      <c r="D313" s="11" t="inlineStr">
        <is>
          <t>2024-04-25</t>
        </is>
      </c>
      <c r="E313" s="13" t="inlineStr">
        <is>
          <t>மிகுந்தலையில் நாக வழிபாடும், நாகர் பற்றிய பிராமிக் கல்வெட்டுகளும்</t>
        </is>
      </c>
      <c r="F313" s="13" t="inlineStr">
        <is>
          <t>N. K. S. Thiruchelvam</t>
        </is>
      </c>
      <c r="G313" s="13" t="inlineStr">
        <is>
          <t>Ezhuna (எழுநா)</t>
        </is>
      </c>
      <c r="H313" s="11" t="inlineStr">
        <is>
          <t>Online magazine article</t>
        </is>
      </c>
      <c r="I313" s="11" t="inlineStr">
        <is>
          <t>Tamil</t>
        </is>
      </c>
      <c r="J313" s="13" t="inlineStr">
        <is>
          <t>Inscriptions / கல்வெட்டு; Brahmi / பிராமி</t>
        </is>
      </c>
      <c r="K313" s="13" t="inlineStr">
        <is>
          <t>பிராமி; Mihintale</t>
        </is>
      </c>
      <c r="L313" s="11" t="inlineStr">
        <is>
          <t>Yes</t>
        </is>
      </c>
      <c r="M313" s="13" t="inlineStr">
        <is>
          <t>Series: Naga people in Sri Lankan Brahmi inscriptions</t>
        </is>
      </c>
      <c r="N313" s="14" t="inlineStr">
        <is>
          <t>https://www.ezhunaonline.com/naga-culture-in-mihintala-anuradhapura/</t>
        </is>
      </c>
    </row>
    <row r="314">
      <c r="A314" s="7" t="inlineStr">
        <is>
          <t>ALL-0313</t>
        </is>
      </c>
      <c r="B314" s="7" t="inlineStr">
        <is>
          <t>Magazines/Journals</t>
        </is>
      </c>
      <c r="C314" s="8" t="inlineStr">
        <is>
          <t>2024</t>
        </is>
      </c>
      <c r="D314" s="7" t="inlineStr">
        <is>
          <t>2024-05-09</t>
        </is>
      </c>
      <c r="E314" s="9" t="inlineStr">
        <is>
          <t>நாக யுவராஜனின் தவறான சமய நம்பிக்கை பற்றிக் குறிப்பிடும் திஸ்ஸமகராம கல்வெட்டு</t>
        </is>
      </c>
      <c r="F314" s="9" t="inlineStr">
        <is>
          <t>N. K. S. Thiruchelvam</t>
        </is>
      </c>
      <c r="G314" s="9" t="inlineStr">
        <is>
          <t>Ezhuna (எழுநா)</t>
        </is>
      </c>
      <c r="H314" s="7" t="inlineStr">
        <is>
          <t>Online magazine article</t>
        </is>
      </c>
      <c r="I314" s="7" t="inlineStr">
        <is>
          <t>Tamil</t>
        </is>
      </c>
      <c r="J314" s="9" t="inlineStr">
        <is>
          <t>Inscriptions / கல்வெட்டு</t>
        </is>
      </c>
      <c r="K314" s="9" t="inlineStr">
        <is>
          <t>கல்வெட்டு; Tissamaharama</t>
        </is>
      </c>
      <c r="L314" s="7" t="inlineStr">
        <is>
          <t>Yes</t>
        </is>
      </c>
      <c r="M314" s="9" t="inlineStr">
        <is>
          <t>Series: Naga people in Sri Lankan Brahmi inscriptions</t>
        </is>
      </c>
      <c r="N314" s="10" t="inlineStr">
        <is>
          <t>https://www.ezhunaonline.com/thissamaharama-inscription/</t>
        </is>
      </c>
    </row>
    <row r="315">
      <c r="A315" s="11" t="inlineStr">
        <is>
          <t>ALL-0314</t>
        </is>
      </c>
      <c r="B315" s="11" t="inlineStr">
        <is>
          <t>Magazines/Journals</t>
        </is>
      </c>
      <c r="C315" s="12" t="inlineStr">
        <is>
          <t>2024</t>
        </is>
      </c>
      <c r="D315" s="11" t="inlineStr">
        <is>
          <t>2024-05-11</t>
        </is>
      </c>
      <c r="E315" s="13" t="inlineStr">
        <is>
          <t>நாக இனக் குழுவும் இலங்கைத் தமிழரும் : அண்மைக்காலத் தொல்லியல் ஆய்வுகளை அடிப்படையாகக் கொண்ட ஆய்வு – பகுதி 1</t>
        </is>
      </c>
      <c r="F315" s="13" t="inlineStr">
        <is>
          <t>பரமு புஷ்பரட்ணம்</t>
        </is>
      </c>
      <c r="G315" s="13" t="inlineStr">
        <is>
          <t>Ezhuna (எழுநா)</t>
        </is>
      </c>
      <c r="H315" s="11" t="inlineStr">
        <is>
          <t>Online magazine article</t>
        </is>
      </c>
      <c r="I315" s="11" t="inlineStr">
        <is>
          <t>Tamil</t>
        </is>
      </c>
      <c r="J315" s="13" t="inlineStr">
        <is>
          <t>Archaeology / தொல்லியல்</t>
        </is>
      </c>
      <c r="K315" s="13" t="inlineStr">
        <is>
          <t>தொல்லியல்</t>
        </is>
      </c>
      <c r="L315" s="11" t="inlineStr">
        <is>
          <t>Yes</t>
        </is>
      </c>
      <c r="M315" s="13" t="inlineStr">
        <is>
          <t>Auto-collected 2026-10-14 (ezhuna); review.</t>
        </is>
      </c>
      <c r="N315" s="14" t="inlineStr">
        <is>
          <t>https://www.ezhunaonline.com/archaeological-reseachers-of-nagar-in-sri-lanka/</t>
        </is>
      </c>
    </row>
    <row r="316">
      <c r="A316" s="7" t="inlineStr">
        <is>
          <t>ALL-0315</t>
        </is>
      </c>
      <c r="B316" s="7" t="inlineStr">
        <is>
          <t>Magazines/Journals</t>
        </is>
      </c>
      <c r="C316" s="8" t="inlineStr">
        <is>
          <t>2024</t>
        </is>
      </c>
      <c r="D316" s="7" t="inlineStr">
        <is>
          <t>2024-05-16</t>
        </is>
      </c>
      <c r="E316" s="9" t="inlineStr">
        <is>
          <t>நாக இனக் குழுவும் இலங்கைத் தமிழரும் – பகுதி 2</t>
        </is>
      </c>
      <c r="F316" s="9" t="inlineStr">
        <is>
          <t>பரமு புஷ்பரட்ணம்</t>
        </is>
      </c>
      <c r="G316" s="9" t="inlineStr">
        <is>
          <t>Ezhuna (எழுநா)</t>
        </is>
      </c>
      <c r="H316" s="7" t="inlineStr">
        <is>
          <t>Online magazine article</t>
        </is>
      </c>
      <c r="I316" s="7" t="inlineStr">
        <is>
          <t>Tamil</t>
        </is>
      </c>
      <c r="J316" s="9" t="n"/>
      <c r="K316" s="9" t="n"/>
      <c r="L316" s="7" t="inlineStr">
        <is>
          <t>Yes</t>
        </is>
      </c>
      <c r="M316" s="9" t="inlineStr">
        <is>
          <t>Auto-collected 2026-10-14 (ezhuna); review.</t>
        </is>
      </c>
      <c r="N316" s="10" t="inlineStr">
        <is>
          <t>https://www.ezhunaonline.com/nagar-culture-in-sri-lankan-history-part-2/</t>
        </is>
      </c>
    </row>
    <row r="317">
      <c r="A317" s="11" t="inlineStr">
        <is>
          <t>ALL-0316</t>
        </is>
      </c>
      <c r="B317" s="11" t="inlineStr">
        <is>
          <t>Magazines/Journals</t>
        </is>
      </c>
      <c r="C317" s="12" t="inlineStr">
        <is>
          <t>2024</t>
        </is>
      </c>
      <c r="D317" s="11" t="inlineStr">
        <is>
          <t>2024-05-28</t>
        </is>
      </c>
      <c r="E317" s="13" t="inlineStr">
        <is>
          <t>பிதுரங்கல பிராமிக் கல்வெட்டுகளில் நாகர்</t>
        </is>
      </c>
      <c r="F317" s="13" t="inlineStr">
        <is>
          <t>N. K. S. Thiruchelvam</t>
        </is>
      </c>
      <c r="G317" s="13" t="inlineStr">
        <is>
          <t>Ezhuna (எழுநா)</t>
        </is>
      </c>
      <c r="H317" s="11" t="inlineStr">
        <is>
          <t>Online magazine article</t>
        </is>
      </c>
      <c r="I317" s="11" t="inlineStr">
        <is>
          <t>Tamil</t>
        </is>
      </c>
      <c r="J317" s="13" t="inlineStr">
        <is>
          <t>Inscriptions / கல்வெட்டு; Brahmi / பிராமி</t>
        </is>
      </c>
      <c r="K317" s="13" t="inlineStr">
        <is>
          <t>பிராமி; Pidurangala</t>
        </is>
      </c>
      <c r="L317" s="11" t="inlineStr">
        <is>
          <t>Yes</t>
        </is>
      </c>
      <c r="M317" s="13" t="inlineStr">
        <is>
          <t>Series: Naga people in Sri Lankan Brahmi inscriptions</t>
        </is>
      </c>
      <c r="N317" s="14" t="inlineStr">
        <is>
          <t>https://www.ezhunaonline.com/pidurangala-bhirami-inscription/</t>
        </is>
      </c>
    </row>
    <row r="318">
      <c r="A318" s="7" t="inlineStr">
        <is>
          <t>ALL-0317</t>
        </is>
      </c>
      <c r="B318" s="7" t="inlineStr">
        <is>
          <t>Magazines/Journals</t>
        </is>
      </c>
      <c r="C318" s="8" t="inlineStr">
        <is>
          <t>2024</t>
        </is>
      </c>
      <c r="D318" s="7" t="inlineStr">
        <is>
          <t>2024-06-02</t>
        </is>
      </c>
      <c r="E318" s="9" t="inlineStr">
        <is>
          <t>மண்முனையில் பற்சின்னம் கொணர்ந்தவளும் மல்வத்தையில் புத்தர் சிலை அமைத்தவனும்</t>
        </is>
      </c>
      <c r="F318" s="9" t="inlineStr">
        <is>
          <t>Vivekanantharaja Thulanchanan</t>
        </is>
      </c>
      <c r="G318" s="9" t="inlineStr">
        <is>
          <t>Ezhuna (எழுநா)</t>
        </is>
      </c>
      <c r="H318" s="7" t="inlineStr">
        <is>
          <t>Online magazine article</t>
        </is>
      </c>
      <c r="I318" s="7" t="inlineStr">
        <is>
          <t>Tamil</t>
        </is>
      </c>
      <c r="J318" s="9" t="n"/>
      <c r="K318" s="9" t="inlineStr">
        <is>
          <t>East coast; history</t>
        </is>
      </c>
      <c r="L318" s="7" t="inlineStr">
        <is>
          <t>Yes</t>
        </is>
      </c>
      <c r="M318" s="9" t="inlineStr">
        <is>
          <t>Series: East coast of Sri Lanka - a historical perspective</t>
        </is>
      </c>
      <c r="N318" s="10" t="inlineStr">
        <is>
          <t>https://www.ezhunaonline.com/sri-lanka-eastern-province-ancient-history/</t>
        </is>
      </c>
    </row>
    <row r="319">
      <c r="A319" s="11" t="inlineStr">
        <is>
          <t>ALL-0318</t>
        </is>
      </c>
      <c r="B319" s="11" t="inlineStr">
        <is>
          <t>Magazines/Journals</t>
        </is>
      </c>
      <c r="C319" s="12" t="inlineStr">
        <is>
          <t>2024</t>
        </is>
      </c>
      <c r="D319" s="11" t="inlineStr">
        <is>
          <t>2024-06-07</t>
        </is>
      </c>
      <c r="E319" s="13" t="inlineStr">
        <is>
          <t>இலங்கையில் தமிழ் அரச மரபின் தோற்றத்தை அடையாளப்படுத்திக் காட்டும் பிராமிச் சாசனங்கள்</t>
        </is>
      </c>
      <c r="F319" s="13" t="inlineStr">
        <is>
          <t>பரமு புஷ்பரட்ணம்</t>
        </is>
      </c>
      <c r="G319" s="13" t="inlineStr">
        <is>
          <t>Ezhuna (எழுநா)</t>
        </is>
      </c>
      <c r="H319" s="11" t="inlineStr">
        <is>
          <t>Online magazine article</t>
        </is>
      </c>
      <c r="I319" s="11" t="inlineStr">
        <is>
          <t>Tamil</t>
        </is>
      </c>
      <c r="J319" s="13" t="inlineStr">
        <is>
          <t>Inscriptions / கல்வெட்டு; Brahmi / பிராமி</t>
        </is>
      </c>
      <c r="K319" s="13" t="inlineStr">
        <is>
          <t>பிராமி</t>
        </is>
      </c>
      <c r="L319" s="11" t="inlineStr">
        <is>
          <t>Yes</t>
        </is>
      </c>
      <c r="M319" s="13" t="inlineStr">
        <is>
          <t>Auto-collected 2026-10-14 (ezhuna); review.</t>
        </is>
      </c>
      <c r="N319" s="14" t="inlineStr">
        <is>
          <t>https://www.ezhunaonline.com/brahmi-inscription-about-sri-lankan-kingdoms/</t>
        </is>
      </c>
    </row>
    <row r="320">
      <c r="A320" s="7" t="inlineStr">
        <is>
          <t>ALL-0319</t>
        </is>
      </c>
      <c r="B320" s="7" t="inlineStr">
        <is>
          <t>Magazines/Journals</t>
        </is>
      </c>
      <c r="C320" s="8" t="inlineStr">
        <is>
          <t>2024</t>
        </is>
      </c>
      <c r="D320" s="7" t="inlineStr">
        <is>
          <t>2024-06-27</t>
        </is>
      </c>
      <c r="E320" s="9" t="inlineStr">
        <is>
          <t>பொற்கொல்லன் நாகன் பற்றிக் கூறும் அனுராதபுரம் – வெஸ்ஸகிரி கல்வெட்டுகள்</t>
        </is>
      </c>
      <c r="F320" s="9" t="inlineStr">
        <is>
          <t>N. K. S. Thiruchelvam</t>
        </is>
      </c>
      <c r="G320" s="9" t="inlineStr">
        <is>
          <t>Ezhuna (எழுநா)</t>
        </is>
      </c>
      <c r="H320" s="7" t="inlineStr">
        <is>
          <t>Online magazine article</t>
        </is>
      </c>
      <c r="I320" s="7" t="inlineStr">
        <is>
          <t>Tamil</t>
        </is>
      </c>
      <c r="J320" s="9" t="inlineStr">
        <is>
          <t>Inscriptions / கல்வெட்டு</t>
        </is>
      </c>
      <c r="K320" s="9" t="inlineStr">
        <is>
          <t>கல்வெட்டு; Vessagiri; Anuradhapura</t>
        </is>
      </c>
      <c r="L320" s="7" t="inlineStr">
        <is>
          <t>Yes</t>
        </is>
      </c>
      <c r="M320" s="9" t="inlineStr">
        <is>
          <t>Series: Naga people in Sri Lankan Brahmi inscriptions</t>
        </is>
      </c>
      <c r="N320" s="10" t="inlineStr">
        <is>
          <t>https://www.ezhunaonline.com/vessagiriya-inscription-that-tells-about-naga-blacksmith/</t>
        </is>
      </c>
    </row>
    <row r="321">
      <c r="A321" s="11" t="inlineStr">
        <is>
          <t>ALL-0320</t>
        </is>
      </c>
      <c r="B321" s="11" t="inlineStr">
        <is>
          <t>Magazines/Journals</t>
        </is>
      </c>
      <c r="C321" s="12" t="inlineStr">
        <is>
          <t>2024</t>
        </is>
      </c>
      <c r="D321" s="11" t="inlineStr">
        <is>
          <t>2024-06-28</t>
        </is>
      </c>
      <c r="E321" s="13" t="inlineStr">
        <is>
          <t>அக்கபோதியின் மனைவி : அக்கபோதி கவர்ந்து சென்ற அக்கபோதியின் மகள்</t>
        </is>
      </c>
      <c r="F321" s="13" t="inlineStr">
        <is>
          <t>Vivekanantharaja Thulanchanan</t>
        </is>
      </c>
      <c r="G321" s="13" t="inlineStr">
        <is>
          <t>Ezhuna (எழுநா)</t>
        </is>
      </c>
      <c r="H321" s="11" t="inlineStr">
        <is>
          <t>Online magazine article</t>
        </is>
      </c>
      <c r="I321" s="11" t="inlineStr">
        <is>
          <t>Tamil</t>
        </is>
      </c>
      <c r="J321" s="13" t="n"/>
      <c r="K321" s="13" t="inlineStr">
        <is>
          <t>East coast; history</t>
        </is>
      </c>
      <c r="L321" s="11" t="inlineStr">
        <is>
          <t>Yes</t>
        </is>
      </c>
      <c r="M321" s="13" t="inlineStr">
        <is>
          <t>Series: East coast of Sri Lanka - a historical perspective</t>
        </is>
      </c>
      <c r="N321" s="14" t="inlineStr">
        <is>
          <t>https://www.ezhunaonline.com/the-wife-of-akkapothi-sri-lankan-eastern-history/</t>
        </is>
      </c>
    </row>
    <row r="322">
      <c r="A322" s="7" t="inlineStr">
        <is>
          <t>ALL-0321</t>
        </is>
      </c>
      <c r="B322" s="7" t="inlineStr">
        <is>
          <t>Magazines/Journals</t>
        </is>
      </c>
      <c r="C322" s="8" t="inlineStr">
        <is>
          <t>2024</t>
        </is>
      </c>
      <c r="D322" s="7" t="inlineStr">
        <is>
          <t>2024-07-14</t>
        </is>
      </c>
      <c r="E322" s="9" t="inlineStr">
        <is>
          <t>தமிழ் மன்னன் திரிதரனின் மகன் மகாநாகன் பொறித்த கதிர்காமக் கல்வெட்டு</t>
        </is>
      </c>
      <c r="F322" s="9" t="inlineStr">
        <is>
          <t>N. K. S. Thiruchelvam</t>
        </is>
      </c>
      <c r="G322" s="9" t="inlineStr">
        <is>
          <t>Ezhuna (எழுநா)</t>
        </is>
      </c>
      <c r="H322" s="7" t="inlineStr">
        <is>
          <t>Online magazine article</t>
        </is>
      </c>
      <c r="I322" s="7" t="inlineStr">
        <is>
          <t>Tamil</t>
        </is>
      </c>
      <c r="J322" s="9" t="inlineStr">
        <is>
          <t>Inscriptions / கல்வெட்டு</t>
        </is>
      </c>
      <c r="K322" s="9" t="inlineStr">
        <is>
          <t>கல்வெட்டு; Kataragama</t>
        </is>
      </c>
      <c r="L322" s="7" t="inlineStr">
        <is>
          <t>Yes</t>
        </is>
      </c>
      <c r="M322" s="9" t="inlineStr">
        <is>
          <t>Series: Naga people in Sri Lankan Brahmi inscriptions</t>
        </is>
      </c>
      <c r="N322" s="10" t="inlineStr">
        <is>
          <t>https://www.ezhunaonline.com/kathirgamam-inscription-by-tamil-king-maha-nagan/</t>
        </is>
      </c>
    </row>
    <row r="323">
      <c r="A323" s="11" t="inlineStr">
        <is>
          <t>ALL-0322</t>
        </is>
      </c>
      <c r="B323" s="11" t="inlineStr">
        <is>
          <t>Magazines/Journals</t>
        </is>
      </c>
      <c r="C323" s="12" t="inlineStr">
        <is>
          <t>2024</t>
        </is>
      </c>
      <c r="D323" s="11" t="inlineStr">
        <is>
          <t>2024-07-29</t>
        </is>
      </c>
      <c r="E323" s="13" t="inlineStr">
        <is>
          <t>சித்தர் மலைப்பகுதியில் நாக மகாராஜன் செய்த பணிகள் பற்றிக் குறிப்பிடும் கல்வெட்டு</t>
        </is>
      </c>
      <c r="F323" s="13" t="inlineStr">
        <is>
          <t>N. K. S. Thiruchelvam</t>
        </is>
      </c>
      <c r="G323" s="13" t="inlineStr">
        <is>
          <t>Ezhuna (எழுநா)</t>
        </is>
      </c>
      <c r="H323" s="11" t="inlineStr">
        <is>
          <t>Online magazine article</t>
        </is>
      </c>
      <c r="I323" s="11" t="inlineStr">
        <is>
          <t>Tamil</t>
        </is>
      </c>
      <c r="J323" s="13" t="inlineStr">
        <is>
          <t>Inscriptions / கல்வெட்டு</t>
        </is>
      </c>
      <c r="K323" s="13" t="inlineStr">
        <is>
          <t>கல்வெட்டு; Siththar malai</t>
        </is>
      </c>
      <c r="L323" s="11" t="inlineStr">
        <is>
          <t>Yes</t>
        </is>
      </c>
      <c r="M323" s="13" t="inlineStr">
        <is>
          <t>Series: Naga people in Sri Lankan Brahmi inscriptions</t>
        </is>
      </c>
      <c r="N323" s="14" t="inlineStr">
        <is>
          <t>https://www.ezhunaonline.com/siththar-rock-inscription-which-tell-about-maharajan/</t>
        </is>
      </c>
    </row>
    <row r="324">
      <c r="A324" s="7" t="inlineStr">
        <is>
          <t>ALL-0323</t>
        </is>
      </c>
      <c r="B324" s="7" t="inlineStr">
        <is>
          <t>Magazines/Journals</t>
        </is>
      </c>
      <c r="C324" s="8" t="inlineStr">
        <is>
          <t>2024</t>
        </is>
      </c>
      <c r="D324" s="7" t="inlineStr">
        <is>
          <t>2024-07-30</t>
        </is>
      </c>
      <c r="E324" s="9" t="inlineStr">
        <is>
          <t>இறக்காமம் : அனுராதபுரச் சேனாதிபதி அரக்கனுக்காக வரி விலக்கப்பட்ட ஊர்</t>
        </is>
      </c>
      <c r="F324" s="9" t="inlineStr">
        <is>
          <t>Vivekanantharaja Thulanchanan</t>
        </is>
      </c>
      <c r="G324" s="9" t="inlineStr">
        <is>
          <t>Ezhuna (எழுநா)</t>
        </is>
      </c>
      <c r="H324" s="7" t="inlineStr">
        <is>
          <t>Online magazine article</t>
        </is>
      </c>
      <c r="I324" s="7" t="inlineStr">
        <is>
          <t>Tamil</t>
        </is>
      </c>
      <c r="J324" s="9" t="inlineStr">
        <is>
          <t>Inscriptions / கல்வெட்டு</t>
        </is>
      </c>
      <c r="K324" s="9" t="inlineStr">
        <is>
          <t>கல்வெட்டு; Irakkamam</t>
        </is>
      </c>
      <c r="L324" s="7" t="inlineStr">
        <is>
          <t>Yes</t>
        </is>
      </c>
      <c r="M324" s="9" t="inlineStr">
        <is>
          <t>Series: East coast of Sri Lanka - a historical perspective</t>
        </is>
      </c>
      <c r="N324" s="10" t="inlineStr">
        <is>
          <t>https://www.ezhunaonline.com/irakkamam-a-tax-free-village-for-anuradhapura-commander/</t>
        </is>
      </c>
    </row>
    <row r="325">
      <c r="A325" s="11" t="inlineStr">
        <is>
          <t>ALL-0324</t>
        </is>
      </c>
      <c r="B325" s="11" t="inlineStr">
        <is>
          <t>Magazines/Journals</t>
        </is>
      </c>
      <c r="C325" s="12" t="inlineStr">
        <is>
          <t>2024</t>
        </is>
      </c>
      <c r="D325" s="11" t="inlineStr">
        <is>
          <t>2024-08-04</t>
        </is>
      </c>
      <c r="E325" s="13" t="inlineStr">
        <is>
          <t>தொல்லியல் நோக்கில் கதிரமலை அரசு</t>
        </is>
      </c>
      <c r="F325" s="13" t="inlineStr">
        <is>
          <t>பரமு புஷ்பரட்ணம்</t>
        </is>
      </c>
      <c r="G325" s="13" t="inlineStr">
        <is>
          <t>Ezhuna (எழுநா)</t>
        </is>
      </c>
      <c r="H325" s="11" t="inlineStr">
        <is>
          <t>Online magazine article</t>
        </is>
      </c>
      <c r="I325" s="11" t="inlineStr">
        <is>
          <t>Tamil</t>
        </is>
      </c>
      <c r="J325" s="13" t="inlineStr">
        <is>
          <t>Archaeology / தொல்லியல்</t>
        </is>
      </c>
      <c r="K325" s="13" t="inlineStr">
        <is>
          <t>தொல்லியல்</t>
        </is>
      </c>
      <c r="L325" s="11" t="inlineStr">
        <is>
          <t>Yes</t>
        </is>
      </c>
      <c r="M325" s="13" t="inlineStr">
        <is>
          <t>Auto-collected 2026-10-14 (ezhuna); review.</t>
        </is>
      </c>
      <c r="N325" s="14" t="inlineStr">
        <is>
          <t>https://www.ezhunaonline.com/archaeological-view-of-kathiramalai-kingdom/</t>
        </is>
      </c>
    </row>
    <row r="326">
      <c r="A326" s="7" t="inlineStr">
        <is>
          <t>ALL-0325</t>
        </is>
      </c>
      <c r="B326" s="7" t="inlineStr">
        <is>
          <t>Magazines/Journals</t>
        </is>
      </c>
      <c r="C326" s="8" t="inlineStr">
        <is>
          <t>2024</t>
        </is>
      </c>
      <c r="D326" s="7" t="inlineStr">
        <is>
          <t>2024-08-13</t>
        </is>
      </c>
      <c r="E326" s="9" t="inlineStr">
        <is>
          <t>நாகசிவன், நாகவிய, நாகப்ப சவிய ஆகியவை பற்றிக் குறிப்பிடும் பண்டகிரிய கல்வெட்டு</t>
        </is>
      </c>
      <c r="F326" s="9" t="inlineStr">
        <is>
          <t>N. K. S. Thiruchelvam</t>
        </is>
      </c>
      <c r="G326" s="9" t="inlineStr">
        <is>
          <t>Ezhuna (எழுநா)</t>
        </is>
      </c>
      <c r="H326" s="7" t="inlineStr">
        <is>
          <t>Online magazine article</t>
        </is>
      </c>
      <c r="I326" s="7" t="inlineStr">
        <is>
          <t>Tamil</t>
        </is>
      </c>
      <c r="J326" s="9" t="inlineStr">
        <is>
          <t>Inscriptions / கல்வெட்டு</t>
        </is>
      </c>
      <c r="K326" s="9" t="inlineStr">
        <is>
          <t>கல்வெட்டு; Pandagiriya</t>
        </is>
      </c>
      <c r="L326" s="7" t="inlineStr">
        <is>
          <t>Yes</t>
        </is>
      </c>
      <c r="M326" s="9" t="inlineStr">
        <is>
          <t>Series: Naga people in Sri Lankan Brahmi inscriptions</t>
        </is>
      </c>
      <c r="N326" s="10" t="inlineStr">
        <is>
          <t>https://www.ezhunaonline.com/pandakiriya-inscription/</t>
        </is>
      </c>
    </row>
    <row r="327">
      <c r="A327" s="11" t="inlineStr">
        <is>
          <t>ALL-0326</t>
        </is>
      </c>
      <c r="B327" s="11" t="inlineStr">
        <is>
          <t>Magazines/Journals</t>
        </is>
      </c>
      <c r="C327" s="12" t="inlineStr">
        <is>
          <t>2024</t>
        </is>
      </c>
      <c r="D327" s="11" t="inlineStr">
        <is>
          <t>2024-08-23</t>
        </is>
      </c>
      <c r="E327" s="13" t="inlineStr">
        <is>
          <t>யுவராஜன் நாகனின் கொள்ளுப் பேரன் இளவரசன் நாகன் பற்றிக் குறிப்பிடும் படர்கல் மலைக் கல்வெட்டு</t>
        </is>
      </c>
      <c r="F327" s="13" t="inlineStr">
        <is>
          <t>N. K. S. Thiruchelvam</t>
        </is>
      </c>
      <c r="G327" s="13" t="inlineStr">
        <is>
          <t>Ezhuna (எழுநா)</t>
        </is>
      </c>
      <c r="H327" s="11" t="inlineStr">
        <is>
          <t>Online magazine article</t>
        </is>
      </c>
      <c r="I327" s="11" t="inlineStr">
        <is>
          <t>Tamil</t>
        </is>
      </c>
      <c r="J327" s="13" t="inlineStr">
        <is>
          <t>Inscriptions / கல்வெட்டு</t>
        </is>
      </c>
      <c r="K327" s="13" t="inlineStr">
        <is>
          <t>கல்வெட்டு; Padarkal malai</t>
        </is>
      </c>
      <c r="L327" s="11" t="inlineStr">
        <is>
          <t>Yes</t>
        </is>
      </c>
      <c r="M327" s="13" t="inlineStr">
        <is>
          <t>Series: Naga people in Sri Lankan Brahmi inscriptions</t>
        </is>
      </c>
      <c r="N327" s="14" t="inlineStr">
        <is>
          <t>https://www.ezhunaonline.com/padarkal-malai-inscrption/</t>
        </is>
      </c>
    </row>
    <row r="328">
      <c r="A328" s="7" t="inlineStr">
        <is>
          <t>ALL-0327</t>
        </is>
      </c>
      <c r="B328" s="7" t="inlineStr">
        <is>
          <t>Magazines/Journals</t>
        </is>
      </c>
      <c r="C328" s="8" t="inlineStr">
        <is>
          <t>2024</t>
        </is>
      </c>
      <c r="D328" s="7" t="inlineStr">
        <is>
          <t>2024-09-11</t>
        </is>
      </c>
      <c r="E328" s="9" t="inlineStr">
        <is>
          <t>மகா நாக மன்னன் பற்றிக் குறிப்பிடும் வேலோடும் மலை – நாகமலைக் கல்வெட்டு</t>
        </is>
      </c>
      <c r="F328" s="9" t="inlineStr">
        <is>
          <t>N. K. S. Thiruchelvam</t>
        </is>
      </c>
      <c r="G328" s="9" t="inlineStr">
        <is>
          <t>Ezhuna (எழுநா)</t>
        </is>
      </c>
      <c r="H328" s="7" t="inlineStr">
        <is>
          <t>Online magazine article</t>
        </is>
      </c>
      <c r="I328" s="7" t="inlineStr">
        <is>
          <t>Tamil</t>
        </is>
      </c>
      <c r="J328" s="9" t="inlineStr">
        <is>
          <t>Inscriptions / கல்வெட்டு</t>
        </is>
      </c>
      <c r="K328" s="9" t="inlineStr">
        <is>
          <t>கல்வெட்டு; Velodum malai</t>
        </is>
      </c>
      <c r="L328" s="7" t="inlineStr">
        <is>
          <t>Yes</t>
        </is>
      </c>
      <c r="M328" s="9" t="inlineStr">
        <is>
          <t>Series: Naga people in Sri Lankan Brahmi inscriptions</t>
        </is>
      </c>
      <c r="N328" s="10" t="inlineStr">
        <is>
          <t>https://www.ezhunaonline.com/velodum-malai-nagamalai-inscription-mentions-maha-naga-king/</t>
        </is>
      </c>
    </row>
    <row r="329">
      <c r="A329" s="11" t="inlineStr">
        <is>
          <t>ALL-0328</t>
        </is>
      </c>
      <c r="B329" s="11" t="inlineStr">
        <is>
          <t>Magazines/Journals</t>
        </is>
      </c>
      <c r="C329" s="12" t="inlineStr">
        <is>
          <t>2024</t>
        </is>
      </c>
      <c r="D329" s="11" t="inlineStr">
        <is>
          <t>2024-09-22</t>
        </is>
      </c>
      <c r="E329" s="13" t="inlineStr">
        <is>
          <t>நாகபர்வத மலை எனும் பம்பரகஸ்தலாவ மலையில் நாகர் பற்றிய கல்வெட்டுகள்</t>
        </is>
      </c>
      <c r="F329" s="13" t="inlineStr">
        <is>
          <t>N. K. S. Thiruchelvam</t>
        </is>
      </c>
      <c r="G329" s="13" t="inlineStr">
        <is>
          <t>Ezhuna (எழுநா)</t>
        </is>
      </c>
      <c r="H329" s="11" t="inlineStr">
        <is>
          <t>Online magazine article</t>
        </is>
      </c>
      <c r="I329" s="11" t="inlineStr">
        <is>
          <t>Tamil</t>
        </is>
      </c>
      <c r="J329" s="13" t="inlineStr">
        <is>
          <t>Inscriptions / கல்வெட்டு</t>
        </is>
      </c>
      <c r="K329" s="13" t="inlineStr">
        <is>
          <t>கல்வெட்டு; Bambaragastalawa</t>
        </is>
      </c>
      <c r="L329" s="11" t="inlineStr">
        <is>
          <t>Yes</t>
        </is>
      </c>
      <c r="M329" s="13" t="inlineStr">
        <is>
          <t>Series: Naga people in Sri Lankan Brahmi inscriptions</t>
        </is>
      </c>
      <c r="N329" s="14" t="inlineStr">
        <is>
          <t>https://www.ezhunaonline.com/inscriptions-about-nagar-on-pambarakasthalava-hill-nagaparvata-hill/</t>
        </is>
      </c>
    </row>
    <row r="330">
      <c r="A330" s="7" t="inlineStr">
        <is>
          <t>ALL-0329</t>
        </is>
      </c>
      <c r="B330" s="7" t="inlineStr">
        <is>
          <t>Magazines/Journals</t>
        </is>
      </c>
      <c r="C330" s="8" t="inlineStr">
        <is>
          <t>2024</t>
        </is>
      </c>
      <c r="D330" s="7" t="inlineStr">
        <is>
          <t>2024-10-08</t>
        </is>
      </c>
      <c r="E330" s="9" t="inlineStr">
        <is>
          <t>பூநகரிப் பிராந்தியத்தில் அண்மையில் கண்டுபிடிக்கப்பட்ட வேள், ஈழம் பற்றிய தமிழ்ப் பிராமிச் சாசனங்கள்</t>
        </is>
      </c>
      <c r="F330" s="9" t="inlineStr">
        <is>
          <t>பரமு புஷ்பரட்ணம்</t>
        </is>
      </c>
      <c r="G330" s="9" t="inlineStr">
        <is>
          <t>Ezhuna (எழுநா)</t>
        </is>
      </c>
      <c r="H330" s="7" t="inlineStr">
        <is>
          <t>Online magazine article</t>
        </is>
      </c>
      <c r="I330" s="7" t="inlineStr">
        <is>
          <t>Tamil</t>
        </is>
      </c>
      <c r="J330" s="9" t="inlineStr">
        <is>
          <t>Inscriptions / கல்வெட்டு; Brahmi / பிராமி</t>
        </is>
      </c>
      <c r="K330" s="9" t="inlineStr">
        <is>
          <t>பிராமி</t>
        </is>
      </c>
      <c r="L330" s="7" t="inlineStr">
        <is>
          <t>Yes</t>
        </is>
      </c>
      <c r="M330" s="9" t="inlineStr">
        <is>
          <t>Auto-collected 2026-10-14 (ezhuna); review.</t>
        </is>
      </c>
      <c r="N330" s="10" t="inlineStr">
        <is>
          <t>https://www.ezhunaonline.com/tamil-brahmic-charters-of-vel-eelam-recently-discovered-in-poonagri-region/</t>
        </is>
      </c>
    </row>
    <row r="331">
      <c r="A331" s="11" t="inlineStr">
        <is>
          <t>ALL-0330</t>
        </is>
      </c>
      <c r="B331" s="11" t="inlineStr">
        <is>
          <t>Magazines/Journals</t>
        </is>
      </c>
      <c r="C331" s="12" t="inlineStr">
        <is>
          <t>2024</t>
        </is>
      </c>
      <c r="D331" s="11" t="inlineStr">
        <is>
          <t>2024-10-15</t>
        </is>
      </c>
      <c r="E331" s="13" t="inlineStr">
        <is>
          <t>நாக மன்னன் பற்றியும், நாகக் கால்வாய் பற்றியும் குறிப்பிடும் இலங்கைத்துறை, கல்லடி நீலியம்மன் மலைக் கல்வெட்டுகள்</t>
        </is>
      </c>
      <c r="F331" s="13" t="inlineStr">
        <is>
          <t>N. K. S. Thiruchelvam</t>
        </is>
      </c>
      <c r="G331" s="13" t="inlineStr">
        <is>
          <t>Ezhuna (எழுநா)</t>
        </is>
      </c>
      <c r="H331" s="11" t="inlineStr">
        <is>
          <t>Online magazine article</t>
        </is>
      </c>
      <c r="I331" s="11" t="inlineStr">
        <is>
          <t>Tamil</t>
        </is>
      </c>
      <c r="J331" s="13" t="inlineStr">
        <is>
          <t>Inscriptions / கல்வெட்டு</t>
        </is>
      </c>
      <c r="K331" s="13" t="inlineStr">
        <is>
          <t>கல்வெட்டு; Ilankaithurai; Trincomalee</t>
        </is>
      </c>
      <c r="L331" s="11" t="inlineStr">
        <is>
          <t>Yes</t>
        </is>
      </c>
      <c r="M331" s="13" t="inlineStr">
        <is>
          <t>Series: Naga people in Sri Lankan Brahmi inscriptions</t>
        </is>
      </c>
      <c r="N331" s="14" t="inlineStr">
        <is>
          <t>https://www.ezhunaonline.com/kalladi-niliyamman-hill-inscriptions-sri-lanka-mentions-the-naga-king-and-the-naga-canal/</t>
        </is>
      </c>
    </row>
    <row r="332">
      <c r="A332" s="7" t="inlineStr">
        <is>
          <t>ALL-0331</t>
        </is>
      </c>
      <c r="B332" s="7" t="inlineStr">
        <is>
          <t>Magazines/Journals</t>
        </is>
      </c>
      <c r="C332" s="8" t="inlineStr">
        <is>
          <t>2024</t>
        </is>
      </c>
      <c r="D332" s="7" t="inlineStr">
        <is>
          <t>2024-10-27</t>
        </is>
      </c>
      <c r="E332" s="9" t="inlineStr">
        <is>
          <t>நாகர் பற்றிக் குறிப்பிடும் ரஜகல எனும் ராசமலைக் கல்வெட்டுகள்</t>
        </is>
      </c>
      <c r="F332" s="9" t="inlineStr">
        <is>
          <t>N. K. S. Thiruchelvam</t>
        </is>
      </c>
      <c r="G332" s="9" t="inlineStr">
        <is>
          <t>Ezhuna (எழுநா)</t>
        </is>
      </c>
      <c r="H332" s="7" t="inlineStr">
        <is>
          <t>Online magazine article</t>
        </is>
      </c>
      <c r="I332" s="7" t="inlineStr">
        <is>
          <t>Tamil</t>
        </is>
      </c>
      <c r="J332" s="9" t="inlineStr">
        <is>
          <t>Inscriptions / கல்வெட்டு</t>
        </is>
      </c>
      <c r="K332" s="9" t="inlineStr">
        <is>
          <t>கல்வெட்டு; Rajagala</t>
        </is>
      </c>
      <c r="L332" s="7" t="inlineStr">
        <is>
          <t>Yes</t>
        </is>
      </c>
      <c r="M332" s="9" t="inlineStr">
        <is>
          <t>Series: Naga people in Sri Lankan Brahmi inscriptions</t>
        </is>
      </c>
      <c r="N332" s="10" t="inlineStr">
        <is>
          <t>https://www.ezhunaonline.com/the-rajagala-inscriptions-refer-to-nagar/</t>
        </is>
      </c>
    </row>
    <row r="333">
      <c r="A333" s="11" t="inlineStr">
        <is>
          <t>ALL-0332</t>
        </is>
      </c>
      <c r="B333" s="11" t="inlineStr">
        <is>
          <t>Magazines/Journals</t>
        </is>
      </c>
      <c r="C333" s="12" t="inlineStr">
        <is>
          <t>2024</t>
        </is>
      </c>
      <c r="D333" s="11" t="inlineStr">
        <is>
          <t>2024-11-14</t>
        </is>
      </c>
      <c r="E333" s="13" t="inlineStr">
        <is>
          <t>கிராம அதிகாரி நாகன் பற்றிக் குறிப்பிடும் குடும்பிகல மலைக் கல்வெட்டு</t>
        </is>
      </c>
      <c r="F333" s="13" t="inlineStr">
        <is>
          <t>N. K. S. Thiruchelvam</t>
        </is>
      </c>
      <c r="G333" s="13" t="inlineStr">
        <is>
          <t>Ezhuna (எழுநா)</t>
        </is>
      </c>
      <c r="H333" s="11" t="inlineStr">
        <is>
          <t>Online magazine article</t>
        </is>
      </c>
      <c r="I333" s="11" t="inlineStr">
        <is>
          <t>Tamil</t>
        </is>
      </c>
      <c r="J333" s="13" t="inlineStr">
        <is>
          <t>Inscriptions / கல்வெட்டு</t>
        </is>
      </c>
      <c r="K333" s="13" t="inlineStr">
        <is>
          <t>கல்வெட்டு; Kudumbigala</t>
        </is>
      </c>
      <c r="L333" s="11" t="inlineStr">
        <is>
          <t>Yes</t>
        </is>
      </c>
      <c r="M333" s="13" t="inlineStr">
        <is>
          <t>Series: Naga people in Sri Lankan Brahmi inscriptions</t>
        </is>
      </c>
      <c r="N333" s="14" t="inlineStr">
        <is>
          <t>https://www.ezhunaonline.com/the-kudumbigala-hill-inscription-mentions-the-village-officer-nagan/</t>
        </is>
      </c>
    </row>
    <row r="334">
      <c r="A334" s="7" t="inlineStr">
        <is>
          <t>ALL-0333</t>
        </is>
      </c>
      <c r="B334" s="7" t="inlineStr">
        <is>
          <t>Magazines/Journals</t>
        </is>
      </c>
      <c r="C334" s="8" t="inlineStr">
        <is>
          <t>2024</t>
        </is>
      </c>
      <c r="D334" s="7" t="inlineStr">
        <is>
          <t>2024-11-15</t>
        </is>
      </c>
      <c r="E334" s="9" t="inlineStr">
        <is>
          <t>கீழைக்கரையில் சோழர்</t>
        </is>
      </c>
      <c r="F334" s="9" t="inlineStr">
        <is>
          <t>Vivekanantharaja Thulanchanan</t>
        </is>
      </c>
      <c r="G334" s="9" t="inlineStr">
        <is>
          <t>Ezhuna (எழுநா)</t>
        </is>
      </c>
      <c r="H334" s="7" t="inlineStr">
        <is>
          <t>Online magazine article</t>
        </is>
      </c>
      <c r="I334" s="7" t="inlineStr">
        <is>
          <t>Tamil</t>
        </is>
      </c>
      <c r="J334" s="9" t="inlineStr">
        <is>
          <t>Inscriptions / கல்வெட்டு</t>
        </is>
      </c>
      <c r="K334" s="9" t="inlineStr">
        <is>
          <t>Chola; East coast; inscriptions</t>
        </is>
      </c>
      <c r="L334" s="7" t="inlineStr">
        <is>
          <t>Yes</t>
        </is>
      </c>
      <c r="M334" s="9" t="inlineStr">
        <is>
          <t>Series: East coast of Sri Lanka - a historical perspective</t>
        </is>
      </c>
      <c r="N334" s="10" t="inlineStr">
        <is>
          <t>https://www.ezhunaonline.com/chola-in-keekhagarai/</t>
        </is>
      </c>
    </row>
    <row r="335">
      <c r="A335" s="11" t="inlineStr">
        <is>
          <t>ALL-0334</t>
        </is>
      </c>
      <c r="B335" s="11" t="inlineStr">
        <is>
          <t>Magazines/Journals</t>
        </is>
      </c>
      <c r="C335" s="12" t="inlineStr">
        <is>
          <t>2024</t>
        </is>
      </c>
      <c r="D335" s="11" t="inlineStr">
        <is>
          <t>2024-11-28</t>
        </is>
      </c>
      <c r="E335" s="13" t="inlineStr">
        <is>
          <t>நாகர் பற்றிக் குறிப்பிடும் முத்துக்கல் மலைக் கல்வெட்டுகள்</t>
        </is>
      </c>
      <c r="F335" s="13" t="inlineStr">
        <is>
          <t>N. K. S. Thiruchelvam</t>
        </is>
      </c>
      <c r="G335" s="13" t="inlineStr">
        <is>
          <t>Ezhuna (எழுநா)</t>
        </is>
      </c>
      <c r="H335" s="11" t="inlineStr">
        <is>
          <t>Online magazine article</t>
        </is>
      </c>
      <c r="I335" s="11" t="inlineStr">
        <is>
          <t>Tamil</t>
        </is>
      </c>
      <c r="J335" s="13" t="inlineStr">
        <is>
          <t>Inscriptions / கல்வெட்டு</t>
        </is>
      </c>
      <c r="K335" s="13" t="inlineStr">
        <is>
          <t>கல்வெட்டு; Naga; Muthukal</t>
        </is>
      </c>
      <c r="L335" s="11" t="inlineStr">
        <is>
          <t>Yes</t>
        </is>
      </c>
      <c r="M335" s="13" t="inlineStr">
        <is>
          <t>Series: Naga people in Sri Lankan Brahmi inscriptions</t>
        </is>
      </c>
      <c r="N335" s="14" t="inlineStr">
        <is>
          <t>https://www.ezhunaonline.com/muthukal-hill-inscriptions-mention-nagar/</t>
        </is>
      </c>
    </row>
    <row r="336">
      <c r="A336" s="7" t="inlineStr">
        <is>
          <t>ALL-0335</t>
        </is>
      </c>
      <c r="B336" s="7" t="inlineStr">
        <is>
          <t>Magazines/Journals</t>
        </is>
      </c>
      <c r="C336" s="8" t="inlineStr">
        <is>
          <t>2024</t>
        </is>
      </c>
      <c r="D336" s="7" t="inlineStr">
        <is>
          <t>2024-12-11</t>
        </is>
      </c>
      <c r="E336" s="9" t="inlineStr">
        <is>
          <t>கிழக்கிலங்கையின் துணை அரசன் சோணையன், அவனின் மகன் அமைச்சர் தேவநாகன் ஆகியோர் பற்றிய காயங்குடா – கூமாச்சோலை கல்வெட்டு</t>
        </is>
      </c>
      <c r="F336" s="9" t="inlineStr">
        <is>
          <t>N. K. S. Thiruchelvam</t>
        </is>
      </c>
      <c r="G336" s="9" t="inlineStr">
        <is>
          <t>Ezhuna (எழுநா)</t>
        </is>
      </c>
      <c r="H336" s="7" t="inlineStr">
        <is>
          <t>Online magazine article</t>
        </is>
      </c>
      <c r="I336" s="7" t="inlineStr">
        <is>
          <t>Tamil</t>
        </is>
      </c>
      <c r="J336" s="9" t="inlineStr">
        <is>
          <t>Inscriptions / கல்வெட்டு</t>
        </is>
      </c>
      <c r="K336" s="9" t="inlineStr">
        <is>
          <t>கல்வெட்டு; Kayankudah; Batticaloa</t>
        </is>
      </c>
      <c r="L336" s="7" t="inlineStr">
        <is>
          <t>Yes</t>
        </is>
      </c>
      <c r="M336" s="9" t="inlineStr">
        <is>
          <t>Series: Naga people in Sri Lankan Brahmi inscriptions</t>
        </is>
      </c>
      <c r="N336" s="10" t="inlineStr">
        <is>
          <t>https://www.ezhunaonline.com/kayanguda-kumacholai-inscription-of-eastern-ceylon-viceroy/</t>
        </is>
      </c>
    </row>
    <row r="337">
      <c r="A337" s="11" t="inlineStr">
        <is>
          <t>ALL-0336</t>
        </is>
      </c>
      <c r="B337" s="11" t="inlineStr">
        <is>
          <t>Magazines/Journals</t>
        </is>
      </c>
      <c r="C337" s="12" t="inlineStr">
        <is>
          <t>2024</t>
        </is>
      </c>
      <c r="D337" s="11" t="inlineStr">
        <is>
          <t>2024-12-27</t>
        </is>
      </c>
      <c r="E337" s="13" t="inlineStr">
        <is>
          <t>நாகர் பற்றிக் குறிப்பிடும் ஹந்தகல பிராமிக் கல்வெட்டுகள்</t>
        </is>
      </c>
      <c r="F337" s="13" t="inlineStr">
        <is>
          <t>N. K. S. Thiruchelvam</t>
        </is>
      </c>
      <c r="G337" s="13" t="inlineStr">
        <is>
          <t>Ezhuna (எழுநா)</t>
        </is>
      </c>
      <c r="H337" s="11" t="inlineStr">
        <is>
          <t>Online magazine article</t>
        </is>
      </c>
      <c r="I337" s="11" t="inlineStr">
        <is>
          <t>Tamil</t>
        </is>
      </c>
      <c r="J337" s="13" t="inlineStr">
        <is>
          <t>Inscriptions / கல்வெட்டு; Brahmi / பிராமி</t>
        </is>
      </c>
      <c r="K337" s="13" t="inlineStr">
        <is>
          <t>பிராமி; கல்வெட்டு; Handagala</t>
        </is>
      </c>
      <c r="L337" s="11" t="inlineStr">
        <is>
          <t>Yes</t>
        </is>
      </c>
      <c r="M337" s="13" t="inlineStr">
        <is>
          <t>Series: Naga people in Sri Lankan Brahmi inscriptions</t>
        </is>
      </c>
      <c r="N337" s="14" t="inlineStr">
        <is>
          <t>https://www.ezhunaonline.com/handagala-brahmic-inscriptions-refer-to-nagar/</t>
        </is>
      </c>
    </row>
    <row r="338">
      <c r="A338" s="7" t="inlineStr">
        <is>
          <t>ALL-0337</t>
        </is>
      </c>
      <c r="B338" s="7" t="inlineStr">
        <is>
          <t>Magazines/Journals</t>
        </is>
      </c>
      <c r="C338" s="8" t="inlineStr">
        <is>
          <t>2023</t>
        </is>
      </c>
      <c r="D338" s="7" t="inlineStr">
        <is>
          <t>2023-01-13</t>
        </is>
      </c>
      <c r="E338" s="9" t="inlineStr">
        <is>
          <t>தமிழர் பற்றிக் குறிப்பிடும் பிற்காலக் கல்வெட்டுக்கள் (சோழர் காலத்திற்கு முன்பு)</t>
        </is>
      </c>
      <c r="F338" s="9" t="inlineStr">
        <is>
          <t>N. K. S. Thiruchelvam</t>
        </is>
      </c>
      <c r="G338" s="9" t="inlineStr">
        <is>
          <t>Ezhuna (எழுநா)</t>
        </is>
      </c>
      <c r="H338" s="7" t="inlineStr">
        <is>
          <t>Online magazine article</t>
        </is>
      </c>
      <c r="I338" s="7" t="inlineStr">
        <is>
          <t>Tamil</t>
        </is>
      </c>
      <c r="J338" s="9" t="inlineStr">
        <is>
          <t>Inscriptions / கல்வெட்டு</t>
        </is>
      </c>
      <c r="K338" s="9" t="inlineStr">
        <is>
          <t>கல்வெட்டு; pre-Chola</t>
        </is>
      </c>
      <c r="L338" s="7" t="inlineStr">
        <is>
          <t>Yes</t>
        </is>
      </c>
      <c r="M338" s="9" t="inlineStr">
        <is>
          <t>Series: Tamils in Brahmi &amp; Sinhala inscriptions</t>
        </is>
      </c>
      <c r="N338" s="10" t="inlineStr">
        <is>
          <t>https://www.ezhunaonline.com/later-inscriptions-refer-to-tamils/</t>
        </is>
      </c>
    </row>
    <row r="339">
      <c r="A339" s="11" t="inlineStr">
        <is>
          <t>ALL-0338</t>
        </is>
      </c>
      <c r="B339" s="11" t="inlineStr">
        <is>
          <t>Magazines/Journals</t>
        </is>
      </c>
      <c r="C339" s="12" t="inlineStr">
        <is>
          <t>2023</t>
        </is>
      </c>
      <c r="D339" s="11" t="inlineStr">
        <is>
          <t>2023-01-16</t>
        </is>
      </c>
      <c r="E339" s="13" t="inlineStr">
        <is>
          <t>கிழார்களின் வம்ப வேந்தர்</t>
        </is>
      </c>
      <c r="F339" s="13" t="inlineStr">
        <is>
          <t>நடேசன் இரவீந்திரன்</t>
        </is>
      </c>
      <c r="G339" s="13" t="inlineStr">
        <is>
          <t>Ezhuna (எழுநா)</t>
        </is>
      </c>
      <c r="H339" s="11" t="inlineStr">
        <is>
          <t>Online magazine article</t>
        </is>
      </c>
      <c r="I339" s="11" t="inlineStr">
        <is>
          <t>Tamil</t>
        </is>
      </c>
      <c r="J339" s="13" t="n"/>
      <c r="K339" s="13" t="n"/>
      <c r="L339" s="11" t="inlineStr">
        <is>
          <t>Yes</t>
        </is>
      </c>
      <c r="M339" s="13" t="inlineStr">
        <is>
          <t>Auto-collected 2026-10-14 (ezhuna); review.</t>
        </is>
      </c>
      <c r="N339" s="14" t="inlineStr">
        <is>
          <t>https://www.ezhunaonline.com/kizhargalin-vampa-vendar/</t>
        </is>
      </c>
    </row>
    <row r="340">
      <c r="A340" s="7" t="inlineStr">
        <is>
          <t>ALL-0339</t>
        </is>
      </c>
      <c r="B340" s="7" t="inlineStr">
        <is>
          <t>Magazines/Journals</t>
        </is>
      </c>
      <c r="C340" s="8" t="inlineStr">
        <is>
          <t>2023</t>
        </is>
      </c>
      <c r="D340" s="7" t="inlineStr">
        <is>
          <t>2023-02-16</t>
        </is>
      </c>
      <c r="E340" s="9" t="inlineStr">
        <is>
          <t>தமிழ் அதிகாரி மகாசாத்தான் பற்றி குறிப்பிடும் தாமரவெவ தூண் கல்வெட்டு</t>
        </is>
      </c>
      <c r="F340" s="9" t="inlineStr">
        <is>
          <t>N. K. S. Thiruchelvam</t>
        </is>
      </c>
      <c r="G340" s="9" t="inlineStr">
        <is>
          <t>Ezhuna (எழுநா)</t>
        </is>
      </c>
      <c r="H340" s="7" t="inlineStr">
        <is>
          <t>Online magazine article</t>
        </is>
      </c>
      <c r="I340" s="7" t="inlineStr">
        <is>
          <t>Tamil</t>
        </is>
      </c>
      <c r="J340" s="9" t="inlineStr">
        <is>
          <t>Inscriptions / கல்வெட்டு</t>
        </is>
      </c>
      <c r="K340" s="9" t="inlineStr">
        <is>
          <t>கல்வெட்டு; Tamaravewa pillar</t>
        </is>
      </c>
      <c r="L340" s="7" t="inlineStr">
        <is>
          <t>Yes</t>
        </is>
      </c>
      <c r="M340" s="9" t="inlineStr">
        <is>
          <t>Series: Tamils in Brahmi &amp; Sinhala inscriptions</t>
        </is>
      </c>
      <c r="N340" s="10" t="inlineStr">
        <is>
          <t>https://www.ezhunaonline.com/tamaraveva-pillar-inscription-referring-to-the-tamil-official-mahasathan/</t>
        </is>
      </c>
    </row>
    <row r="341">
      <c r="A341" s="11" t="inlineStr">
        <is>
          <t>ALL-0340</t>
        </is>
      </c>
      <c r="B341" s="11" t="inlineStr">
        <is>
          <t>Magazines/Journals</t>
        </is>
      </c>
      <c r="C341" s="12" t="inlineStr">
        <is>
          <t>2023</t>
        </is>
      </c>
      <c r="D341" s="11" t="inlineStr">
        <is>
          <t>2023-03-10</t>
        </is>
      </c>
      <c r="E341" s="13" t="inlineStr">
        <is>
          <t>தமிழர்களுக்கு மாகாண தலைப்பட்டினத்தைக் கொடுக்கக் கூடாது எனக் குறிப்பிடும் பதுளைக் கல்வெட்டு</t>
        </is>
      </c>
      <c r="F341" s="13" t="inlineStr">
        <is>
          <t>N. K. S. Thiruchelvam</t>
        </is>
      </c>
      <c r="G341" s="13" t="inlineStr">
        <is>
          <t>Ezhuna (எழுநா)</t>
        </is>
      </c>
      <c r="H341" s="11" t="inlineStr">
        <is>
          <t>Online magazine article</t>
        </is>
      </c>
      <c r="I341" s="11" t="inlineStr">
        <is>
          <t>Tamil</t>
        </is>
      </c>
      <c r="J341" s="13" t="inlineStr">
        <is>
          <t>Inscriptions / கல்வெட்டு</t>
        </is>
      </c>
      <c r="K341" s="13" t="inlineStr">
        <is>
          <t>கல்வெட்டு; Badulla pillar</t>
        </is>
      </c>
      <c r="L341" s="11" t="inlineStr">
        <is>
          <t>Yes</t>
        </is>
      </c>
      <c r="M341" s="13" t="inlineStr">
        <is>
          <t>Series: Tamils in Brahmi &amp; Sinhala inscriptions</t>
        </is>
      </c>
      <c r="N341" s="14" t="inlineStr">
        <is>
          <t>https://www.ezhunaonline.com/badulla-inscription/</t>
        </is>
      </c>
    </row>
    <row r="342">
      <c r="A342" s="7" t="inlineStr">
        <is>
          <t>ALL-0341</t>
        </is>
      </c>
      <c r="B342" s="7" t="inlineStr">
        <is>
          <t>Magazines/Journals</t>
        </is>
      </c>
      <c r="C342" s="8" t="inlineStr">
        <is>
          <t>2023</t>
        </is>
      </c>
      <c r="D342" s="7" t="inlineStr">
        <is>
          <t>2023-03-31</t>
        </is>
      </c>
      <c r="E342" s="9" t="inlineStr">
        <is>
          <t>பல ஆண்டுகளுக்குப் பின்னர் வரலாற்று வெளிச்சத்திற்கு வந்திருக்கும் அரிய தமிழ்க் கல்வெட்டு தம்பலகாமத்தில் மீளவும் கண்டுபிடிப்பு</t>
        </is>
      </c>
      <c r="F342" s="9" t="inlineStr">
        <is>
          <t>பரமு புஷ்பரட்ணம்</t>
        </is>
      </c>
      <c r="G342" s="9" t="inlineStr">
        <is>
          <t>Ezhuna (எழுநா)</t>
        </is>
      </c>
      <c r="H342" s="7" t="inlineStr">
        <is>
          <t>Online magazine article</t>
        </is>
      </c>
      <c r="I342" s="7" t="inlineStr">
        <is>
          <t>Tamil</t>
        </is>
      </c>
      <c r="J342" s="9" t="inlineStr">
        <is>
          <t>Inscriptions / கல்வெட்டு</t>
        </is>
      </c>
      <c r="K342" s="9" t="inlineStr">
        <is>
          <t>கல்வெட்டு</t>
        </is>
      </c>
      <c r="L342" s="7" t="inlineStr">
        <is>
          <t>Yes</t>
        </is>
      </c>
      <c r="M342" s="9" t="inlineStr">
        <is>
          <t>Auto-collected 2026-10-14 (ezhuna); review.</t>
        </is>
      </c>
      <c r="N342" s="10" t="inlineStr">
        <is>
          <t>https://www.ezhunaonline.com/rediscovery-of-tamil-inscription-at-tambalagama/</t>
        </is>
      </c>
    </row>
    <row r="343">
      <c r="A343" s="11" t="inlineStr">
        <is>
          <t>ALL-0342</t>
        </is>
      </c>
      <c r="B343" s="11" t="inlineStr">
        <is>
          <t>Magazines/Journals</t>
        </is>
      </c>
      <c r="C343" s="12" t="inlineStr">
        <is>
          <t>2023</t>
        </is>
      </c>
      <c r="D343" s="11" t="inlineStr">
        <is>
          <t>2023-04-04</t>
        </is>
      </c>
      <c r="E343" s="13" t="inlineStr">
        <is>
          <t>தமிழர் கிராமங்கள் மற்றும் காணிகள் பற்றிக் கூறும் அநுராதபுரம் கல் தோணிக் கல்வெட்டு</t>
        </is>
      </c>
      <c r="F343" s="13" t="inlineStr">
        <is>
          <t>N. K. S. Thiruchelvam</t>
        </is>
      </c>
      <c r="G343" s="13" t="inlineStr">
        <is>
          <t>Ezhuna (எழுநா)</t>
        </is>
      </c>
      <c r="H343" s="11" t="inlineStr">
        <is>
          <t>Online magazine article</t>
        </is>
      </c>
      <c r="I343" s="11" t="inlineStr">
        <is>
          <t>Tamil</t>
        </is>
      </c>
      <c r="J343" s="13" t="inlineStr">
        <is>
          <t>Inscriptions / கல்வெட்டு</t>
        </is>
      </c>
      <c r="K343" s="13" t="inlineStr">
        <is>
          <t>கல்வெட்டு; Anuradhapura</t>
        </is>
      </c>
      <c r="L343" s="11" t="inlineStr">
        <is>
          <t>Yes</t>
        </is>
      </c>
      <c r="M343" s="13" t="inlineStr">
        <is>
          <t>Series: Tamils in Brahmi &amp; Sinhala inscriptions</t>
        </is>
      </c>
      <c r="N343" s="14" t="inlineStr">
        <is>
          <t>https://www.ezhunaonline.com/anuradhapura-inscription/</t>
        </is>
      </c>
    </row>
    <row r="344">
      <c r="A344" s="7" t="inlineStr">
        <is>
          <t>ALL-0343</t>
        </is>
      </c>
      <c r="B344" s="7" t="inlineStr">
        <is>
          <t>Magazines/Journals</t>
        </is>
      </c>
      <c r="C344" s="8" t="inlineStr">
        <is>
          <t>2023</t>
        </is>
      </c>
      <c r="D344" s="7" t="inlineStr">
        <is>
          <t>2023-04-15</t>
        </is>
      </c>
      <c r="E344" s="9" t="inlineStr">
        <is>
          <t>பிரித்தெடுக்கப்பட்ட தமிழரின் நிலம் பற்றிக் கூறும் ரன்கொத் விகாரை கல்வெட்டு</t>
        </is>
      </c>
      <c r="F344" s="9" t="inlineStr">
        <is>
          <t>N. K. S. Thiruchelvam</t>
        </is>
      </c>
      <c r="G344" s="9" t="inlineStr">
        <is>
          <t>Ezhuna (எழுநா)</t>
        </is>
      </c>
      <c r="H344" s="7" t="inlineStr">
        <is>
          <t>Online magazine article</t>
        </is>
      </c>
      <c r="I344" s="7" t="inlineStr">
        <is>
          <t>Tamil</t>
        </is>
      </c>
      <c r="J344" s="9" t="inlineStr">
        <is>
          <t>Inscriptions / கல்வெட்டு</t>
        </is>
      </c>
      <c r="K344" s="9" t="inlineStr">
        <is>
          <t>கல்வெட்டு; Rankoth Vihara</t>
        </is>
      </c>
      <c r="L344" s="7" t="inlineStr">
        <is>
          <t>Yes</t>
        </is>
      </c>
      <c r="M344" s="9" t="inlineStr">
        <is>
          <t>Series: Tamils in Brahmi &amp; Sinhala inscriptions</t>
        </is>
      </c>
      <c r="N344" s="10" t="inlineStr">
        <is>
          <t>https://www.ezhunaonline.com/rankoth-viharai-inscription/</t>
        </is>
      </c>
    </row>
    <row r="345">
      <c r="A345" s="11" t="inlineStr">
        <is>
          <t>ALL-0344</t>
        </is>
      </c>
      <c r="B345" s="11" t="inlineStr">
        <is>
          <t>Magazines/Journals</t>
        </is>
      </c>
      <c r="C345" s="12" t="inlineStr">
        <is>
          <t>2023</t>
        </is>
      </c>
      <c r="D345" s="11" t="inlineStr">
        <is>
          <t>2023-04-22</t>
        </is>
      </c>
      <c r="E345" s="13" t="inlineStr">
        <is>
          <t>தமிழரின் பெளத்தப் பள்ளி பற்றிக் கூறும் வெஸ்ஸகிரி கற்பலகைக் கல்வெட்டு</t>
        </is>
      </c>
      <c r="F345" s="13" t="inlineStr">
        <is>
          <t>N. K. S. Thiruchelvam</t>
        </is>
      </c>
      <c r="G345" s="13" t="inlineStr">
        <is>
          <t>Ezhuna (எழுநா)</t>
        </is>
      </c>
      <c r="H345" s="11" t="inlineStr">
        <is>
          <t>Online magazine article</t>
        </is>
      </c>
      <c r="I345" s="11" t="inlineStr">
        <is>
          <t>Tamil</t>
        </is>
      </c>
      <c r="J345" s="13" t="inlineStr">
        <is>
          <t>Inscriptions / கல்வெட்டு</t>
        </is>
      </c>
      <c r="K345" s="13" t="inlineStr">
        <is>
          <t>கல்வெட்டு; Vessagiri</t>
        </is>
      </c>
      <c r="L345" s="11" t="inlineStr">
        <is>
          <t>Yes</t>
        </is>
      </c>
      <c r="M345" s="13" t="inlineStr">
        <is>
          <t>Series: Tamils in Brahmi &amp; Sinhala inscriptions</t>
        </is>
      </c>
      <c r="N345" s="14" t="inlineStr">
        <is>
          <t>https://www.ezhunaonline.com/wessagiri-inscription/</t>
        </is>
      </c>
    </row>
    <row r="346">
      <c r="A346" s="7" t="inlineStr">
        <is>
          <t>ALL-0345</t>
        </is>
      </c>
      <c r="B346" s="7" t="inlineStr">
        <is>
          <t>Magazines/Journals</t>
        </is>
      </c>
      <c r="C346" s="8" t="inlineStr">
        <is>
          <t>2023</t>
        </is>
      </c>
      <c r="D346" s="7" t="inlineStr">
        <is>
          <t>2023-04-25</t>
        </is>
      </c>
      <c r="E346" s="9" t="inlineStr">
        <is>
          <t>கீழைக்கரைக்கான எழுத்துச் சான்றுகள் : நாடுகாட்டுப் பரவணிக் கல்வெட்டு III</t>
        </is>
      </c>
      <c r="F346" s="9" t="inlineStr">
        <is>
          <t>Vivekanantharaja Thulanchanan</t>
        </is>
      </c>
      <c r="G346" s="9" t="inlineStr">
        <is>
          <t>Ezhuna (எழுநா)</t>
        </is>
      </c>
      <c r="H346" s="7" t="inlineStr">
        <is>
          <t>Online magazine article</t>
        </is>
      </c>
      <c r="I346" s="7" t="inlineStr">
        <is>
          <t>Tamil</t>
        </is>
      </c>
      <c r="J346" s="9" t="inlineStr">
        <is>
          <t>Inscriptions / கல்வெட்டு</t>
        </is>
      </c>
      <c r="K346" s="9" t="inlineStr">
        <is>
          <t>கல்வெட்டு; Nadukadu Paravani</t>
        </is>
      </c>
      <c r="L346" s="7" t="inlineStr">
        <is>
          <t>Yes</t>
        </is>
      </c>
      <c r="M346" s="9" t="inlineStr">
        <is>
          <t>Series: East coast of Sri Lanka - a historical perspective</t>
        </is>
      </c>
      <c r="N346" s="10" t="inlineStr">
        <is>
          <t>https://www.ezhunaonline.com/keekhakarai-paravani-inscriptioniii/</t>
        </is>
      </c>
    </row>
    <row r="347">
      <c r="A347" s="11" t="inlineStr">
        <is>
          <t>ALL-0346</t>
        </is>
      </c>
      <c r="B347" s="11" t="inlineStr">
        <is>
          <t>Magazines/Journals</t>
        </is>
      </c>
      <c r="C347" s="12" t="inlineStr">
        <is>
          <t>2023</t>
        </is>
      </c>
      <c r="D347" s="11" t="inlineStr">
        <is>
          <t>2023-05-18</t>
        </is>
      </c>
      <c r="E347" s="13" t="inlineStr">
        <is>
          <t>வன்னியில் வெளிச்சத்திற்கு வராத மிகப்பிரமாண்டமான சுற்றுலாத்தலம்</t>
        </is>
      </c>
      <c r="F347" s="13" t="inlineStr">
        <is>
          <t>பரமு புஷ்பரட்ணம்</t>
        </is>
      </c>
      <c r="G347" s="13" t="inlineStr">
        <is>
          <t>Ezhuna (எழுநா)</t>
        </is>
      </c>
      <c r="H347" s="11" t="inlineStr">
        <is>
          <t>Online magazine article</t>
        </is>
      </c>
      <c r="I347" s="11" t="inlineStr">
        <is>
          <t>Tamil</t>
        </is>
      </c>
      <c r="J347" s="13" t="n"/>
      <c r="K347" s="13" t="n"/>
      <c r="L347" s="11" t="inlineStr">
        <is>
          <t>Yes</t>
        </is>
      </c>
      <c r="M347" s="13" t="inlineStr">
        <is>
          <t>Auto-collected 2026-10-14 (ezhuna); review.</t>
        </is>
      </c>
      <c r="N347" s="14" t="inlineStr">
        <is>
          <t>https://www.ezhunaonline.com/the-biggest-undiscovered-tourist-destination-in-vanni/</t>
        </is>
      </c>
    </row>
    <row r="348">
      <c r="A348" s="7" t="inlineStr">
        <is>
          <t>ALL-0347</t>
        </is>
      </c>
      <c r="B348" s="7" t="inlineStr">
        <is>
          <t>Magazines/Journals</t>
        </is>
      </c>
      <c r="C348" s="8" t="inlineStr">
        <is>
          <t>2023</t>
        </is>
      </c>
      <c r="D348" s="7" t="inlineStr">
        <is>
          <t>2023-06-23</t>
        </is>
      </c>
      <c r="E348" s="9" t="inlineStr">
        <is>
          <t>யாழ்ப்பாணக் கோட்டையின் அண்மைக்காலத் தொல்லியல் ஆய்வுகள் - ஒரு புதிய பார்வை - பகுதி 1</t>
        </is>
      </c>
      <c r="F348" s="9" t="inlineStr">
        <is>
          <t>பரமு புஷ்பரட்ணம்</t>
        </is>
      </c>
      <c r="G348" s="9" t="inlineStr">
        <is>
          <t>Ezhuna (எழுநா)</t>
        </is>
      </c>
      <c r="H348" s="7" t="inlineStr">
        <is>
          <t>Online magazine article</t>
        </is>
      </c>
      <c r="I348" s="7" t="inlineStr">
        <is>
          <t>Tamil</t>
        </is>
      </c>
      <c r="J348" s="9" t="inlineStr">
        <is>
          <t>Archaeology / தொல்லியல்</t>
        </is>
      </c>
      <c r="K348" s="9" t="inlineStr">
        <is>
          <t>தொல்லியல்; Jaffna Fort</t>
        </is>
      </c>
      <c r="L348" s="7" t="inlineStr">
        <is>
          <t>Yes</t>
        </is>
      </c>
      <c r="M348" s="9" t="n"/>
      <c r="N348" s="10" t="inlineStr">
        <is>
          <t>https://www.ezhunaonline.com/jaffna-fort/</t>
        </is>
      </c>
    </row>
    <row r="349">
      <c r="A349" s="11" t="inlineStr">
        <is>
          <t>ALL-0348</t>
        </is>
      </c>
      <c r="B349" s="11" t="inlineStr">
        <is>
          <t>Magazines/Journals</t>
        </is>
      </c>
      <c r="C349" s="12" t="inlineStr">
        <is>
          <t>2023</t>
        </is>
      </c>
      <c r="D349" s="11" t="inlineStr">
        <is>
          <t>2023-07-05</t>
        </is>
      </c>
      <c r="E349" s="13" t="inlineStr">
        <is>
          <t>யாழ்ப்பாண நகரம் தோன்றிய காலத்தை மீளாய்வு செய்யும் யாழ்ப்பாணக் கோட்டை அகழ்வாய்வு</t>
        </is>
      </c>
      <c r="F349" s="13" t="inlineStr">
        <is>
          <t>பரமு புஷ்பரட்ணம்</t>
        </is>
      </c>
      <c r="G349" s="13" t="inlineStr">
        <is>
          <t>Ezhuna (எழுநா)</t>
        </is>
      </c>
      <c r="H349" s="11" t="inlineStr">
        <is>
          <t>Online magazine article</t>
        </is>
      </c>
      <c r="I349" s="11" t="inlineStr">
        <is>
          <t>Tamil</t>
        </is>
      </c>
      <c r="J349" s="13" t="inlineStr">
        <is>
          <t>Archaeology / தொல்லியல்</t>
        </is>
      </c>
      <c r="K349" s="13" t="inlineStr">
        <is>
          <t>அகழ்வாய்வு</t>
        </is>
      </c>
      <c r="L349" s="11" t="inlineStr">
        <is>
          <t>Yes</t>
        </is>
      </c>
      <c r="M349" s="13" t="inlineStr">
        <is>
          <t>Auto-collected 2026-10-14 (ezhuna); review.</t>
        </is>
      </c>
      <c r="N349" s="14" t="inlineStr">
        <is>
          <t>https://www.ezhunaonline.com/archaeological-research-of-jaffna-fort/</t>
        </is>
      </c>
    </row>
    <row r="350">
      <c r="A350" s="7" t="inlineStr">
        <is>
          <t>ALL-0349</t>
        </is>
      </c>
      <c r="B350" s="7" t="inlineStr">
        <is>
          <t>Magazines/Journals</t>
        </is>
      </c>
      <c r="C350" s="8" t="inlineStr">
        <is>
          <t>2023</t>
        </is>
      </c>
      <c r="D350" s="7" t="inlineStr">
        <is>
          <t>2023-08-16</t>
        </is>
      </c>
      <c r="E350" s="9" t="inlineStr">
        <is>
          <t>யாழ்ப்பாண அரசில் ஆட்சிபுரிந்த புவனேகபாகு வெளியிட்ட முருகப் பெருமானைக் குறிக்கும் அரிய நாணயங்கள்</t>
        </is>
      </c>
      <c r="F350" s="9" t="inlineStr">
        <is>
          <t>பரமு புஷ்பரட்ணம்</t>
        </is>
      </c>
      <c r="G350" s="9" t="inlineStr">
        <is>
          <t>Ezhuna (எழுநா)</t>
        </is>
      </c>
      <c r="H350" s="7" t="inlineStr">
        <is>
          <t>Online magazine article</t>
        </is>
      </c>
      <c r="I350" s="7" t="inlineStr">
        <is>
          <t>Tamil</t>
        </is>
      </c>
      <c r="J350" s="9" t="inlineStr">
        <is>
          <t>Coins / நாணயம்</t>
        </is>
      </c>
      <c r="K350" s="9" t="n"/>
      <c r="L350" s="7" t="inlineStr">
        <is>
          <t>Yes</t>
        </is>
      </c>
      <c r="M350" s="9" t="inlineStr">
        <is>
          <t>Auto-collected 2026-10-14 (ezhuna); review.</t>
        </is>
      </c>
      <c r="N350" s="10" t="inlineStr">
        <is>
          <t>https://www.ezhunaonline.com/the-coins-of-bhuvanaikabahu/</t>
        </is>
      </c>
    </row>
    <row r="351">
      <c r="A351" s="11" t="inlineStr">
        <is>
          <t>ALL-0350</t>
        </is>
      </c>
      <c r="B351" s="11" t="inlineStr">
        <is>
          <t>Magazines/Journals</t>
        </is>
      </c>
      <c r="C351" s="12" t="inlineStr">
        <is>
          <t>2023</t>
        </is>
      </c>
      <c r="D351" s="11" t="inlineStr">
        <is>
          <t>2023-08-31</t>
        </is>
      </c>
      <c r="E351" s="13" t="inlineStr">
        <is>
          <t>கீழைக்கரைக்கான எழுத்துச் சான்றுகள் : மட்டக்களப்புப் பூர்வ சரித்திரம் III</t>
        </is>
      </c>
      <c r="F351" s="13" t="inlineStr">
        <is>
          <t>Vivekanantharaja Thulanchanan</t>
        </is>
      </c>
      <c r="G351" s="13" t="inlineStr">
        <is>
          <t>Ezhuna (எழுநா)</t>
        </is>
      </c>
      <c r="H351" s="11" t="inlineStr">
        <is>
          <t>Online magazine article</t>
        </is>
      </c>
      <c r="I351" s="11" t="inlineStr">
        <is>
          <t>Tamil</t>
        </is>
      </c>
      <c r="J351" s="13" t="n"/>
      <c r="K351" s="13" t="inlineStr">
        <is>
          <t>Batticaloa; sources</t>
        </is>
      </c>
      <c r="L351" s="11" t="inlineStr">
        <is>
          <t>Yes</t>
        </is>
      </c>
      <c r="M351" s="13" t="inlineStr">
        <is>
          <t>Series: East coast of Sri Lanka - a historical perspective</t>
        </is>
      </c>
      <c r="N351" s="14" t="inlineStr">
        <is>
          <t>https://www.ezhunaonline.com/batticaloa-history-iii/</t>
        </is>
      </c>
    </row>
    <row r="352">
      <c r="A352" s="7" t="inlineStr">
        <is>
          <t>ALL-0351</t>
        </is>
      </c>
      <c r="B352" s="7" t="inlineStr">
        <is>
          <t>Magazines/Journals</t>
        </is>
      </c>
      <c r="C352" s="8" t="inlineStr">
        <is>
          <t>2023</t>
        </is>
      </c>
      <c r="D352" s="7" t="inlineStr">
        <is>
          <t>2023-09-06</t>
        </is>
      </c>
      <c r="E352" s="9" t="inlineStr">
        <is>
          <t>அநுராதபுர இராசதானி காலத்தில் எல்லாள மன்னன் வெளியிட்ட தமிழ் நாணயம்</t>
        </is>
      </c>
      <c r="F352" s="9" t="inlineStr">
        <is>
          <t>பரமு புஷ்பரட்ணம்</t>
        </is>
      </c>
      <c r="G352" s="9" t="inlineStr">
        <is>
          <t>Ezhuna (எழுநா)</t>
        </is>
      </c>
      <c r="H352" s="7" t="inlineStr">
        <is>
          <t>Online magazine article</t>
        </is>
      </c>
      <c r="I352" s="7" t="inlineStr">
        <is>
          <t>Tamil</t>
        </is>
      </c>
      <c r="J352" s="9" t="inlineStr">
        <is>
          <t>Coins / நாணயம்</t>
        </is>
      </c>
      <c r="K352" s="9" t="inlineStr">
        <is>
          <t>நாணயம்</t>
        </is>
      </c>
      <c r="L352" s="7" t="inlineStr">
        <is>
          <t>Yes</t>
        </is>
      </c>
      <c r="M352" s="9" t="inlineStr">
        <is>
          <t>Auto-collected 2026-10-14 (ezhuna); review.</t>
        </is>
      </c>
      <c r="N352" s="10" t="inlineStr">
        <is>
          <t>https://www.ezhunaonline.com/tamil-coin-of-ellalan/</t>
        </is>
      </c>
    </row>
    <row r="353">
      <c r="A353" s="11" t="inlineStr">
        <is>
          <t>ALL-0352</t>
        </is>
      </c>
      <c r="B353" s="11" t="inlineStr">
        <is>
          <t>Magazines/Journals</t>
        </is>
      </c>
      <c r="C353" s="12" t="inlineStr">
        <is>
          <t>2023</t>
        </is>
      </c>
      <c r="D353" s="11" t="inlineStr">
        <is>
          <t>2023-10-04</t>
        </is>
      </c>
      <c r="E353" s="13" t="inlineStr">
        <is>
          <t>பெரிய புளியங்குளம் தமிழ்க் கல்வெட்டும் முள்ளியான் குடிமனை அழிபாடுகளும்</t>
        </is>
      </c>
      <c r="F353" s="13" t="inlineStr">
        <is>
          <t>பரமு புஷ்பரட்ணம்</t>
        </is>
      </c>
      <c r="G353" s="13" t="inlineStr">
        <is>
          <t>Ezhuna (எழுநா)</t>
        </is>
      </c>
      <c r="H353" s="11" t="inlineStr">
        <is>
          <t>Online magazine article</t>
        </is>
      </c>
      <c r="I353" s="11" t="inlineStr">
        <is>
          <t>Tamil</t>
        </is>
      </c>
      <c r="J353" s="13" t="inlineStr">
        <is>
          <t>Inscriptions / கல்வெட்டு</t>
        </is>
      </c>
      <c r="K353" s="13" t="inlineStr">
        <is>
          <t>கல்வெட்டு</t>
        </is>
      </c>
      <c r="L353" s="11" t="inlineStr">
        <is>
          <t>Yes</t>
        </is>
      </c>
      <c r="M353" s="13" t="inlineStr">
        <is>
          <t>Auto-collected 2026-10-14 (ezhuna); review.</t>
        </is>
      </c>
      <c r="N353" s="14" t="inlineStr">
        <is>
          <t>https://www.ezhunaonline.com/an-inscription-and-a-ruined-house-in-vanni/</t>
        </is>
      </c>
    </row>
    <row r="354">
      <c r="A354" s="7" t="inlineStr">
        <is>
          <t>ALL-0353</t>
        </is>
      </c>
      <c r="B354" s="7" t="inlineStr">
        <is>
          <t>Magazines/Journals</t>
        </is>
      </c>
      <c r="C354" s="8" t="inlineStr">
        <is>
          <t>2023</t>
        </is>
      </c>
      <c r="D354" s="7" t="inlineStr">
        <is>
          <t>2023-10-20</t>
        </is>
      </c>
      <c r="E354" s="9" t="inlineStr">
        <is>
          <t>கீழைக்கரைக்கான வேறு தொன்மச் சான்றுகள் II</t>
        </is>
      </c>
      <c r="F354" s="9" t="inlineStr">
        <is>
          <t>Vivekanantharaja Thulanchanan</t>
        </is>
      </c>
      <c r="G354" s="9" t="inlineStr">
        <is>
          <t>Ezhuna (எழுநா)</t>
        </is>
      </c>
      <c r="H354" s="7" t="inlineStr">
        <is>
          <t>Online magazine article</t>
        </is>
      </c>
      <c r="I354" s="7" t="inlineStr">
        <is>
          <t>Tamil</t>
        </is>
      </c>
      <c r="J354" s="9" t="n"/>
      <c r="K354" s="9" t="inlineStr">
        <is>
          <t>Batticaloa; myths</t>
        </is>
      </c>
      <c r="L354" s="7" t="inlineStr">
        <is>
          <t>Yes</t>
        </is>
      </c>
      <c r="M354" s="9" t="inlineStr">
        <is>
          <t>Series: East coast of Sri Lanka - a historical perspective</t>
        </is>
      </c>
      <c r="N354" s="10" t="inlineStr">
        <is>
          <t>https://www.ezhunaonline.com/the-other-myths-of-batticaloa-2/</t>
        </is>
      </c>
    </row>
    <row r="355">
      <c r="A355" s="11" t="inlineStr">
        <is>
          <t>ALL-0354</t>
        </is>
      </c>
      <c r="B355" s="11" t="inlineStr">
        <is>
          <t>Magazines/Journals</t>
        </is>
      </c>
      <c r="C355" s="12" t="inlineStr">
        <is>
          <t>2023</t>
        </is>
      </c>
      <c r="D355" s="11" t="inlineStr">
        <is>
          <t>2023-11-22</t>
        </is>
      </c>
      <c r="E355" s="13" t="inlineStr">
        <is>
          <t>வரலாற்றுக்கு முற்பட்ட இலங்கை</t>
        </is>
      </c>
      <c r="F355" s="13" t="inlineStr">
        <is>
          <t>Vivekanantharaja Thulanchanan</t>
        </is>
      </c>
      <c r="G355" s="13" t="inlineStr">
        <is>
          <t>Ezhuna (எழுநா)</t>
        </is>
      </c>
      <c r="H355" s="11" t="inlineStr">
        <is>
          <t>Online magazine article</t>
        </is>
      </c>
      <c r="I355" s="11" t="inlineStr">
        <is>
          <t>Tamil</t>
        </is>
      </c>
      <c r="J355" s="13" t="n"/>
      <c r="K355" s="13" t="inlineStr">
        <is>
          <t>prehistory</t>
        </is>
      </c>
      <c r="L355" s="11" t="inlineStr">
        <is>
          <t>Yes</t>
        </is>
      </c>
      <c r="M355" s="13" t="inlineStr">
        <is>
          <t>Series: East coast of Sri Lanka - a historical perspective</t>
        </is>
      </c>
      <c r="N355" s="14" t="inlineStr">
        <is>
          <t>https://www.ezhunaonline.com/timeline-of-sri-lankan-pre-history/</t>
        </is>
      </c>
    </row>
    <row r="356">
      <c r="A356" s="7" t="inlineStr">
        <is>
          <t>ALL-0355</t>
        </is>
      </c>
      <c r="B356" s="7" t="inlineStr">
        <is>
          <t>Magazines/Journals</t>
        </is>
      </c>
      <c r="C356" s="8" t="inlineStr">
        <is>
          <t>2023</t>
        </is>
      </c>
      <c r="D356" s="7" t="inlineStr">
        <is>
          <t>2023-12-31</t>
        </is>
      </c>
      <c r="E356" s="9" t="inlineStr">
        <is>
          <t>இயக்கர் அல்லது பத்தர் : இலங்கை வரலாற்றுக் காலத்தின் துவக்கம்</t>
        </is>
      </c>
      <c r="F356" s="9" t="inlineStr">
        <is>
          <t>Vivekanantharaja Thulanchanan</t>
        </is>
      </c>
      <c r="G356" s="9" t="inlineStr">
        <is>
          <t>Ezhuna (எழுநா)</t>
        </is>
      </c>
      <c r="H356" s="7" t="inlineStr">
        <is>
          <t>Online magazine article</t>
        </is>
      </c>
      <c r="I356" s="7" t="inlineStr">
        <is>
          <t>Tamil</t>
        </is>
      </c>
      <c r="J356" s="9" t="n"/>
      <c r="K356" s="9" t="inlineStr">
        <is>
          <t>early history</t>
        </is>
      </c>
      <c r="L356" s="7" t="inlineStr">
        <is>
          <t>Yes</t>
        </is>
      </c>
      <c r="M356" s="9" t="inlineStr">
        <is>
          <t>Series: East coast of Sri Lanka - a historical perspective</t>
        </is>
      </c>
      <c r="N356" s="10" t="inlineStr">
        <is>
          <t>https://www.ezhunaonline.com/the-initial-stage-of-sri-lankan-history-period/</t>
        </is>
      </c>
    </row>
    <row r="357">
      <c r="A357" s="11" t="inlineStr">
        <is>
          <t>ALL-0356</t>
        </is>
      </c>
      <c r="B357" s="11" t="inlineStr">
        <is>
          <t>Magazines/Journals</t>
        </is>
      </c>
      <c r="C357" s="12" t="inlineStr">
        <is>
          <t>2022</t>
        </is>
      </c>
      <c r="D357" s="11" t="inlineStr">
        <is>
          <t>2022-05-04</t>
        </is>
      </c>
      <c r="E357" s="13" t="inlineStr">
        <is>
          <t>இலங்கையில் அகழ்வாய்வு ஒரு அறிவியல் ஒழுக்கமா?</t>
        </is>
      </c>
      <c r="F357" s="13" t="inlineStr">
        <is>
          <t>பாக்கியநாதன் அகிலன்</t>
        </is>
      </c>
      <c r="G357" s="13" t="inlineStr">
        <is>
          <t>Ezhuna (எழுநா)</t>
        </is>
      </c>
      <c r="H357" s="11" t="inlineStr">
        <is>
          <t>Online magazine article</t>
        </is>
      </c>
      <c r="I357" s="11" t="inlineStr">
        <is>
          <t>Tamil</t>
        </is>
      </c>
      <c r="J357" s="13" t="inlineStr">
        <is>
          <t>Archaeology / தொல்லியல்</t>
        </is>
      </c>
      <c r="K357" s="13" t="inlineStr">
        <is>
          <t>அகழ்வாய்வு</t>
        </is>
      </c>
      <c r="L357" s="11" t="inlineStr">
        <is>
          <t>Yes</t>
        </is>
      </c>
      <c r="M357" s="13" t="inlineStr">
        <is>
          <t>Auto-collected 2026-10-14 (ezhuna); review.</t>
        </is>
      </c>
      <c r="N357" s="14" t="inlineStr">
        <is>
          <t>https://www.ezhunaonline.com/%e0%ae%ae%e0%ae%b0%e0%ae%aa%e0%af%81%e0%ae%b0%e0%ae%bf%e0%ae%ae%e0%af%88%e0%ae%95%e0%ae%b3%e0%af%88%e0%ae%aa%e0%af%8d-%e0%ae%aa%e0%ae%b1%e0%af%88%e0%ae%a4%e0%ae%b2%e0%af%8d-%e0%ae%87%e0%ae%b2/</t>
        </is>
      </c>
    </row>
    <row r="358">
      <c r="A358" s="7" t="inlineStr">
        <is>
          <t>ALL-0357</t>
        </is>
      </c>
      <c r="B358" s="7" t="inlineStr">
        <is>
          <t>Magazines/Journals</t>
        </is>
      </c>
      <c r="C358" s="8" t="inlineStr">
        <is>
          <t>2022</t>
        </is>
      </c>
      <c r="D358" s="7" t="inlineStr">
        <is>
          <t>2022-09-28</t>
        </is>
      </c>
      <c r="E358" s="9" t="inlineStr">
        <is>
          <t>இலங்கையில் தமிழர் பற்றிய பிராமிக் கல்வெட்டுக்கள் – ஓர் அறிமுகம்</t>
        </is>
      </c>
      <c r="F358" s="9" t="inlineStr">
        <is>
          <t>N. K. S. Thiruchelvam</t>
        </is>
      </c>
      <c r="G358" s="9" t="inlineStr">
        <is>
          <t>Ezhuna (எழுநா)</t>
        </is>
      </c>
      <c r="H358" s="7" t="inlineStr">
        <is>
          <t>Online magazine article</t>
        </is>
      </c>
      <c r="I358" s="7" t="inlineStr">
        <is>
          <t>Tamil</t>
        </is>
      </c>
      <c r="J358" s="9" t="inlineStr">
        <is>
          <t>Inscriptions / கல்வெட்டு; Brahmi / பிராமி</t>
        </is>
      </c>
      <c r="K358" s="9" t="inlineStr">
        <is>
          <t>பிராமி; கல்வெட்டு; introduction</t>
        </is>
      </c>
      <c r="L358" s="7" t="inlineStr">
        <is>
          <t>Yes</t>
        </is>
      </c>
      <c r="M358" s="9" t="inlineStr">
        <is>
          <t>Series: Tamils in Brahmi &amp; Sinhala inscriptions</t>
        </is>
      </c>
      <c r="N358" s="10" t="inlineStr">
        <is>
          <t>https://www.ezhunaonline.com/brahmic-inscriptions-on-tamils-in-ceylon-an-introduction/</t>
        </is>
      </c>
    </row>
    <row r="359">
      <c r="A359" s="11" t="inlineStr">
        <is>
          <t>ALL-0358</t>
        </is>
      </c>
      <c r="B359" s="11" t="inlineStr">
        <is>
          <t>Magazines/Journals</t>
        </is>
      </c>
      <c r="C359" s="12" t="inlineStr">
        <is>
          <t>2022</t>
        </is>
      </c>
      <c r="D359" s="11" t="inlineStr">
        <is>
          <t>2022-10-05</t>
        </is>
      </c>
      <c r="E359" s="13" t="inlineStr">
        <is>
          <t>இலங்கைத் தமிழரின் பூர்வீக வரலாற்றையும், பண்பாட்டையும் அடையாளப்படுத்திக் காட்டும் கட்டுக்கரைத் தொல்லியல் அகழ்வாய்வுகள்</t>
        </is>
      </c>
      <c r="F359" s="13" t="inlineStr">
        <is>
          <t>P. Pushparatnam</t>
        </is>
      </c>
      <c r="G359" s="13" t="inlineStr">
        <is>
          <t>Ezhuna (எழுநா)</t>
        </is>
      </c>
      <c r="H359" s="11" t="inlineStr">
        <is>
          <t>Online magazine article</t>
        </is>
      </c>
      <c r="I359" s="11" t="inlineStr">
        <is>
          <t>Tamil</t>
        </is>
      </c>
      <c r="J359" s="13" t="inlineStr">
        <is>
          <t>Archaeology / தொல்லியல்</t>
        </is>
      </c>
      <c r="K359" s="13" t="inlineStr">
        <is>
          <t>தொல்லியல்; Kattukarai excavation</t>
        </is>
      </c>
      <c r="L359" s="11" t="inlineStr">
        <is>
          <t>Yes</t>
        </is>
      </c>
      <c r="M359" s="13" t="inlineStr">
        <is>
          <t>Author to verify</t>
        </is>
      </c>
      <c r="N359" s="14" t="inlineStr">
        <is>
          <t>https://www.ezhunaonline.com/history-and-culture-of-srilankan-tamils-part-3/</t>
        </is>
      </c>
    </row>
    <row r="360">
      <c r="A360" s="7" t="inlineStr">
        <is>
          <t>ALL-0359</t>
        </is>
      </c>
      <c r="B360" s="7" t="inlineStr">
        <is>
          <t>Magazines/Journals</t>
        </is>
      </c>
      <c r="C360" s="8" t="inlineStr">
        <is>
          <t>2022</t>
        </is>
      </c>
      <c r="D360" s="7" t="inlineStr">
        <is>
          <t>2022-10-10</t>
        </is>
      </c>
      <c r="E360" s="9" t="inlineStr">
        <is>
          <t>தமிழர் தொடர்பாக பலரும் அறிந்திருந்த 5 பிராமிக் கல்வெட்டுக்கள்</t>
        </is>
      </c>
      <c r="F360" s="9" t="inlineStr">
        <is>
          <t>N. K. S. Thiruchelvam</t>
        </is>
      </c>
      <c r="G360" s="9" t="inlineStr">
        <is>
          <t>Ezhuna (எழுநா)</t>
        </is>
      </c>
      <c r="H360" s="7" t="inlineStr">
        <is>
          <t>Online magazine article</t>
        </is>
      </c>
      <c r="I360" s="7" t="inlineStr">
        <is>
          <t>Tamil</t>
        </is>
      </c>
      <c r="J360" s="9" t="inlineStr">
        <is>
          <t>Inscriptions / கல்வெட்டு; Brahmi / பிராமி</t>
        </is>
      </c>
      <c r="K360" s="9" t="inlineStr">
        <is>
          <t>பிராமி; கல்வெட்டு</t>
        </is>
      </c>
      <c r="L360" s="7" t="inlineStr">
        <is>
          <t>Yes</t>
        </is>
      </c>
      <c r="M360" s="9" t="inlineStr">
        <is>
          <t>Series: Tamils in Brahmi &amp; Sinhala inscriptions</t>
        </is>
      </c>
      <c r="N360" s="10" t="inlineStr">
        <is>
          <t>https://www.ezhunaonline.com/5brahmic-in-icriptions-tamils/</t>
        </is>
      </c>
    </row>
    <row r="361">
      <c r="A361" s="11" t="inlineStr">
        <is>
          <t>ALL-0360</t>
        </is>
      </c>
      <c r="B361" s="11" t="inlineStr">
        <is>
          <t>Magazines/Journals</t>
        </is>
      </c>
      <c r="C361" s="12" t="inlineStr">
        <is>
          <t>2022</t>
        </is>
      </c>
      <c r="D361" s="11" t="inlineStr">
        <is>
          <t>2022-10-26</t>
        </is>
      </c>
      <c r="E361" s="13" t="inlineStr">
        <is>
          <t>கீழைக்கரைக்கான வரலாற்றுச் சான்றுகள் : கல்வெட்டுக்களும் பொறிப்புகளும்</t>
        </is>
      </c>
      <c r="F361" s="13" t="inlineStr">
        <is>
          <t>விவேகானந்தராஜா துலாஞ்சனன்</t>
        </is>
      </c>
      <c r="G361" s="13" t="inlineStr">
        <is>
          <t>Ezhuna (எழுநா)</t>
        </is>
      </c>
      <c r="H361" s="11" t="inlineStr">
        <is>
          <t>Online magazine article</t>
        </is>
      </c>
      <c r="I361" s="11" t="inlineStr">
        <is>
          <t>Tamil</t>
        </is>
      </c>
      <c r="J361" s="13" t="inlineStr">
        <is>
          <t>Inscriptions / கல்வெட்டு</t>
        </is>
      </c>
      <c r="K361" s="13" t="inlineStr">
        <is>
          <t>கல்வெட்டு</t>
        </is>
      </c>
      <c r="L361" s="11" t="inlineStr">
        <is>
          <t>Yes</t>
        </is>
      </c>
      <c r="M361" s="13" t="inlineStr">
        <is>
          <t>Auto-collected 2026-10-14 (ezhuna); review.</t>
        </is>
      </c>
      <c r="N361" s="14" t="inlineStr">
        <is>
          <t>https://www.ezhunaonline.com/historical-evidence-of-keekhakarai/</t>
        </is>
      </c>
    </row>
    <row r="362">
      <c r="A362" s="7" t="inlineStr">
        <is>
          <t>ALL-0361</t>
        </is>
      </c>
      <c r="B362" s="7" t="inlineStr">
        <is>
          <t>Magazines/Journals</t>
        </is>
      </c>
      <c r="C362" s="8" t="inlineStr">
        <is>
          <t>2022</t>
        </is>
      </c>
      <c r="D362" s="7" t="inlineStr">
        <is>
          <t>2022-11-07</t>
        </is>
      </c>
      <c r="E362" s="9" t="inlineStr">
        <is>
          <t>தமிழ் வணிகன் பற்றிக் கூறும் பெரிய புளியங்குளம் கல்வெட்டுக்கள்</t>
        </is>
      </c>
      <c r="F362" s="9" t="inlineStr">
        <is>
          <t>N. K. S. Thiruchelvam</t>
        </is>
      </c>
      <c r="G362" s="9" t="inlineStr">
        <is>
          <t>Ezhuna (எழுநா)</t>
        </is>
      </c>
      <c r="H362" s="7" t="inlineStr">
        <is>
          <t>Online magazine article</t>
        </is>
      </c>
      <c r="I362" s="7" t="inlineStr">
        <is>
          <t>Tamil</t>
        </is>
      </c>
      <c r="J362" s="9" t="inlineStr">
        <is>
          <t>Inscriptions / கல்வெட்டு</t>
        </is>
      </c>
      <c r="K362" s="9" t="inlineStr">
        <is>
          <t>கல்வெட்டு; Periya Puliyankulam</t>
        </is>
      </c>
      <c r="L362" s="7" t="inlineStr">
        <is>
          <t>Yes</t>
        </is>
      </c>
      <c r="M362" s="9" t="inlineStr">
        <is>
          <t>Series: Tamils in Brahmi &amp; Sinhala inscriptions</t>
        </is>
      </c>
      <c r="N362" s="10" t="inlineStr">
        <is>
          <t>https://www.ezhunaonline.com/tamil-vanikan-puliankulam-inscriptions/</t>
        </is>
      </c>
    </row>
    <row r="363">
      <c r="A363" s="11" t="inlineStr">
        <is>
          <t>ALL-0362</t>
        </is>
      </c>
      <c r="B363" s="11" t="inlineStr">
        <is>
          <t>Magazines/Journals</t>
        </is>
      </c>
      <c r="C363" s="12" t="inlineStr">
        <is>
          <t>2022</t>
        </is>
      </c>
      <c r="D363" s="11" t="inlineStr">
        <is>
          <t>2022-11-20</t>
        </is>
      </c>
      <c r="E363" s="13" t="inlineStr">
        <is>
          <t>தமிழர் வீரத்தை பறைசாற்றும் நடுகல்</t>
        </is>
      </c>
      <c r="F363" s="13" t="inlineStr">
        <is>
          <t>Aingaran Vigneswara</t>
        </is>
      </c>
      <c r="G363" s="13" t="inlineStr">
        <is>
          <t>Vanakkam London</t>
        </is>
      </c>
      <c r="H363" s="11" t="inlineStr">
        <is>
          <t>Online magazine article</t>
        </is>
      </c>
      <c r="I363" s="11" t="inlineStr">
        <is>
          <t>Tamil</t>
        </is>
      </c>
      <c r="J363" s="13" t="inlineStr">
        <is>
          <t>Hero stones / நடுகல்</t>
        </is>
      </c>
      <c r="K363" s="13" t="inlineStr">
        <is>
          <t>நடுகல்; hero stone; memorial</t>
        </is>
      </c>
      <c r="L363" s="11" t="inlineStr">
        <is>
          <t>Yes</t>
        </is>
      </c>
      <c r="M363" s="13" t="inlineStr">
        <is>
          <t>Covers Sangam-era hero stones to Eelam war memorials</t>
        </is>
      </c>
      <c r="N363" s="14" t="inlineStr">
        <is>
          <t>https://vanakkamlondon.com/stories/featured-story/2022/11/178155/</t>
        </is>
      </c>
    </row>
    <row r="364">
      <c r="A364" s="7" t="inlineStr">
        <is>
          <t>ALL-0363</t>
        </is>
      </c>
      <c r="B364" s="7" t="inlineStr">
        <is>
          <t>Magazines/Journals</t>
        </is>
      </c>
      <c r="C364" s="8" t="inlineStr">
        <is>
          <t>2022</t>
        </is>
      </c>
      <c r="D364" s="7" t="inlineStr">
        <is>
          <t>2022-11-28</t>
        </is>
      </c>
      <c r="E364" s="9" t="inlineStr">
        <is>
          <t>தமிழ் குடும்பத் தலைவன் குட்டன் பற்றிய சேருவில கல்வெட்டு</t>
        </is>
      </c>
      <c r="F364" s="9" t="inlineStr">
        <is>
          <t>N. K. S. Thiruchelvam</t>
        </is>
      </c>
      <c r="G364" s="9" t="inlineStr">
        <is>
          <t>Ezhuna (எழுநா)</t>
        </is>
      </c>
      <c r="H364" s="7" t="inlineStr">
        <is>
          <t>Online magazine article</t>
        </is>
      </c>
      <c r="I364" s="7" t="inlineStr">
        <is>
          <t>Tamil</t>
        </is>
      </c>
      <c r="J364" s="9" t="inlineStr">
        <is>
          <t>Inscriptions / கல்வெட்டு</t>
        </is>
      </c>
      <c r="K364" s="9" t="inlineStr">
        <is>
          <t>கல்வெட்டு; Seruvila</t>
        </is>
      </c>
      <c r="L364" s="7" t="inlineStr">
        <is>
          <t>Yes</t>
        </is>
      </c>
      <c r="M364" s="9" t="inlineStr">
        <is>
          <t>Series: Tamils in Brahmi &amp; Sinhala inscriptions</t>
        </is>
      </c>
      <c r="N364" s="10" t="inlineStr">
        <is>
          <t>https://www.ezhunaonline.com/seruvila-inscription-on-tamil-family-leader-guttan/</t>
        </is>
      </c>
    </row>
    <row r="365">
      <c r="A365" s="11" t="inlineStr">
        <is>
          <t>ALL-0364</t>
        </is>
      </c>
      <c r="B365" s="11" t="inlineStr">
        <is>
          <t>Magazines/Journals</t>
        </is>
      </c>
      <c r="C365" s="12" t="inlineStr">
        <is>
          <t>2022</t>
        </is>
      </c>
      <c r="D365" s="11" t="inlineStr">
        <is>
          <t>2022-12-15</t>
        </is>
      </c>
      <c r="E365" s="13" t="inlineStr">
        <is>
          <t>வன்னிப் பெருநிலப்பரப்பில் மீண்டும் அரியதொரு தமிழ்க் கல்வெட்டு கண்டுபிடிப்பு</t>
        </is>
      </c>
      <c r="F365" s="13" t="inlineStr">
        <is>
          <t>பரமு புஷ்பரட்ணம்</t>
        </is>
      </c>
      <c r="G365" s="13" t="inlineStr">
        <is>
          <t>Ezhuna (எழுநா)</t>
        </is>
      </c>
      <c r="H365" s="11" t="inlineStr">
        <is>
          <t>Online magazine article</t>
        </is>
      </c>
      <c r="I365" s="11" t="inlineStr">
        <is>
          <t>Tamil</t>
        </is>
      </c>
      <c r="J365" s="13" t="inlineStr">
        <is>
          <t>Inscriptions / கல்வெட்டு</t>
        </is>
      </c>
      <c r="K365" s="13" t="inlineStr">
        <is>
          <t>கல்வெட்டு</t>
        </is>
      </c>
      <c r="L365" s="11" t="inlineStr">
        <is>
          <t>Yes</t>
        </is>
      </c>
      <c r="M365" s="13" t="inlineStr">
        <is>
          <t>Auto-collected 2026-10-14 (ezhuna); review.</t>
        </is>
      </c>
      <c r="N365" s="14" t="inlineStr">
        <is>
          <t>https://www.ezhunaonline.com/tamil-inscription-found-in-the-vanni/</t>
        </is>
      </c>
    </row>
    <row r="366">
      <c r="A366" s="7" t="inlineStr">
        <is>
          <t>ALL-0365</t>
        </is>
      </c>
      <c r="B366" s="7" t="inlineStr">
        <is>
          <t>Magazines/Journals</t>
        </is>
      </c>
      <c r="C366" s="8" t="inlineStr">
        <is>
          <t>2022</t>
        </is>
      </c>
      <c r="D366" s="7" t="inlineStr">
        <is>
          <t>2022-12-19</t>
        </is>
      </c>
      <c r="E366" s="9" t="inlineStr">
        <is>
          <t>தீகவாபியின் குடிமகனான தமிழ் வணிகன் பற்றிய குடிவில் கல்வெட்டு</t>
        </is>
      </c>
      <c r="F366" s="9" t="inlineStr">
        <is>
          <t>N. K. S. Thiruchelvam</t>
        </is>
      </c>
      <c r="G366" s="9" t="inlineStr">
        <is>
          <t>Ezhuna (எழுநா)</t>
        </is>
      </c>
      <c r="H366" s="7" t="inlineStr">
        <is>
          <t>Online magazine article</t>
        </is>
      </c>
      <c r="I366" s="7" t="inlineStr">
        <is>
          <t>Tamil</t>
        </is>
      </c>
      <c r="J366" s="9" t="inlineStr">
        <is>
          <t>Inscriptions / கல்வெட்டு</t>
        </is>
      </c>
      <c r="K366" s="9" t="inlineStr">
        <is>
          <t>கல்வெட்டு; Kudivil; merchant</t>
        </is>
      </c>
      <c r="L366" s="7" t="inlineStr">
        <is>
          <t>Yes</t>
        </is>
      </c>
      <c r="M366" s="9" t="inlineStr">
        <is>
          <t>Series: Tamils in Brahmi &amp; Sinhala inscriptions</t>
        </is>
      </c>
      <c r="N366" s="10" t="inlineStr">
        <is>
          <t>https://www.ezhunaonline.com/gudvil-inscription-about-a-tamil-merchant-who-was-a-resident-of-dikavapi/</t>
        </is>
      </c>
    </row>
    <row r="367">
      <c r="A367" s="11" t="inlineStr">
        <is>
          <t>ALL-0366</t>
        </is>
      </c>
      <c r="B367" s="11" t="inlineStr">
        <is>
          <t>Magazines/Journals</t>
        </is>
      </c>
      <c r="C367" s="12" t="inlineStr">
        <is>
          <t>2022</t>
        </is>
      </c>
      <c r="D367" s="11" t="inlineStr">
        <is>
          <t>2022-12-28</t>
        </is>
      </c>
      <c r="E367" s="13" t="inlineStr">
        <is>
          <t>கீழைக்கரைக்கான எழுத்துச் சான்றுகள் : தமிழ் இலக்கியங்கள்</t>
        </is>
      </c>
      <c r="F367" s="13" t="inlineStr">
        <is>
          <t>Vivekanantharaja Thulanchanan</t>
        </is>
      </c>
      <c r="G367" s="13" t="inlineStr">
        <is>
          <t>Ezhuna (எழுநா)</t>
        </is>
      </c>
      <c r="H367" s="11" t="inlineStr">
        <is>
          <t>Online magazine article</t>
        </is>
      </c>
      <c r="I367" s="11" t="inlineStr">
        <is>
          <t>Tamil</t>
        </is>
      </c>
      <c r="J367" s="13" t="n"/>
      <c r="K367" s="13" t="inlineStr">
        <is>
          <t>East coast; sources</t>
        </is>
      </c>
      <c r="L367" s="11" t="inlineStr">
        <is>
          <t>Yes</t>
        </is>
      </c>
      <c r="M367" s="13" t="inlineStr">
        <is>
          <t>Series: East coast of Sri Lanka - a historical perspective</t>
        </is>
      </c>
      <c r="N367" s="14" t="inlineStr">
        <is>
          <t>https://www.ezhunaonline.com/evidence-for-keekhakarai-tamil-literature/</t>
        </is>
      </c>
    </row>
    <row r="368">
      <c r="A368" s="7" t="inlineStr">
        <is>
          <t>ALL-0367</t>
        </is>
      </c>
      <c r="B368" s="7" t="inlineStr">
        <is>
          <t>Magazines/Journals</t>
        </is>
      </c>
      <c r="C368" s="8" t="inlineStr">
        <is>
          <t>2021</t>
        </is>
      </c>
      <c r="D368" s="7" t="inlineStr">
        <is>
          <t>2021-01-29</t>
        </is>
      </c>
      <c r="E368" s="9" t="inlineStr">
        <is>
          <t>அழிந்துவரும் மரபுரிமைச் சின்னங்கள்</t>
        </is>
      </c>
      <c r="F368" s="9" t="inlineStr">
        <is>
          <t>இரத்தினவேலுப்பிள்ளை மயூரநாதன்</t>
        </is>
      </c>
      <c r="G368" s="9" t="inlineStr">
        <is>
          <t>Ezhuna (எழுநா)</t>
        </is>
      </c>
      <c r="H368" s="7" t="inlineStr">
        <is>
          <t>Online magazine article</t>
        </is>
      </c>
      <c r="I368" s="7" t="inlineStr">
        <is>
          <t>Tamil</t>
        </is>
      </c>
      <c r="J368" s="9" t="n"/>
      <c r="K368" s="9" t="n"/>
      <c r="L368" s="7" t="inlineStr">
        <is>
          <t>Yes</t>
        </is>
      </c>
      <c r="M368" s="9" t="inlineStr">
        <is>
          <t>Auto-collected 2026-10-14 (ezhuna); review.</t>
        </is>
      </c>
      <c r="N368" s="10" t="inlineStr">
        <is>
          <t>https://www.ezhunaonline.com/alinthu-varum-maraburimai-sinnangal/</t>
        </is>
      </c>
    </row>
    <row r="369">
      <c r="A369" s="11" t="inlineStr">
        <is>
          <t>ALL-0368</t>
        </is>
      </c>
      <c r="B369" s="11" t="inlineStr">
        <is>
          <t>Magazines/Journals</t>
        </is>
      </c>
      <c r="C369" s="12" t="inlineStr">
        <is>
          <t>2021</t>
        </is>
      </c>
      <c r="D369" s="11" t="inlineStr">
        <is>
          <t>2021-01-29</t>
        </is>
      </c>
      <c r="E369" s="13" t="inlineStr">
        <is>
          <t>யாழ்ப்பாண நகருக்கு முந்திய தலைநகரங்கள்</t>
        </is>
      </c>
      <c r="F369" s="13" t="inlineStr">
        <is>
          <t>இரத்தினவேலுப்பிள்ளை மயூரநாதன்</t>
        </is>
      </c>
      <c r="G369" s="13" t="inlineStr">
        <is>
          <t>Ezhuna (எழுநா)</t>
        </is>
      </c>
      <c r="H369" s="11" t="inlineStr">
        <is>
          <t>Online magazine article</t>
        </is>
      </c>
      <c r="I369" s="11" t="inlineStr">
        <is>
          <t>Tamil</t>
        </is>
      </c>
      <c r="J369" s="13" t="n"/>
      <c r="K369" s="13" t="n"/>
      <c r="L369" s="11" t="inlineStr">
        <is>
          <t>Yes</t>
        </is>
      </c>
      <c r="M369" s="13" t="inlineStr">
        <is>
          <t>Auto-collected 2026-10-14 (ezhuna); review.</t>
        </is>
      </c>
      <c r="N369" s="14" t="inlineStr">
        <is>
          <t>https://www.ezhunaonline.com/yaalpana-nagarukku-mundhiya-thalainagarangal/</t>
        </is>
      </c>
    </row>
    <row r="370">
      <c r="A370" s="7" t="inlineStr">
        <is>
          <t>ALL-0369</t>
        </is>
      </c>
      <c r="B370" s="7" t="inlineStr">
        <is>
          <t>Magazines/Journals</t>
        </is>
      </c>
      <c r="C370" s="8" t="inlineStr">
        <is>
          <t>2012</t>
        </is>
      </c>
      <c r="D370" s="7" t="n"/>
      <c r="E370" s="9" t="inlineStr">
        <is>
          <t>The Avuranchchi Stones and Resting Stones (Sumaithankikkal) in the Cultural Life of Tamils</t>
        </is>
      </c>
      <c r="F370" s="9" t="inlineStr">
        <is>
          <t>S. Sajitharan</t>
        </is>
      </c>
      <c r="G370" s="9" t="inlineStr">
        <is>
          <t>Life Style of Jaffna, Express Newspapers (Ceylon)</t>
        </is>
      </c>
      <c r="H370" s="7" t="inlineStr">
        <is>
          <t>Book chapter</t>
        </is>
      </c>
      <c r="I370" s="7" t="inlineStr">
        <is>
          <t>Tamil</t>
        </is>
      </c>
      <c r="J370" s="9" t="n"/>
      <c r="K370" s="9" t="inlineStr">
        <is>
          <t>stones; material culture</t>
        </is>
      </c>
      <c r="L370" s="7" t="inlineStr">
        <is>
          <t>Yes</t>
        </is>
      </c>
      <c r="M370" s="9" t="n"/>
      <c r="N370" s="10" t="inlineStr">
        <is>
          <t>https://www.his.jfn.ac.lk/?p=791</t>
        </is>
      </c>
    </row>
    <row r="371">
      <c r="A371" s="11" t="inlineStr">
        <is>
          <t>ALL-0370</t>
        </is>
      </c>
      <c r="B371" s="11" t="inlineStr">
        <is>
          <t>Magazines/Journals</t>
        </is>
      </c>
      <c r="C371" s="12" t="inlineStr">
        <is>
          <t>2012</t>
        </is>
      </c>
      <c r="D371" s="11" t="n"/>
      <c r="E371" s="13" t="inlineStr">
        <is>
          <t>The Dutch Church of Chankanai: one of the most important archaeological sites in the Jaffna Peninsula</t>
        </is>
      </c>
      <c r="F371" s="13" t="inlineStr">
        <is>
          <t>S. Sajitharan</t>
        </is>
      </c>
      <c r="G371" s="13" t="inlineStr">
        <is>
          <t>Kalasurapi (Historical Society journal)</t>
        </is>
      </c>
      <c r="H371" s="11" t="inlineStr">
        <is>
          <t>Magazine article</t>
        </is>
      </c>
      <c r="I371" s="11" t="inlineStr">
        <is>
          <t>Tamil</t>
        </is>
      </c>
      <c r="J371" s="13" t="inlineStr">
        <is>
          <t>Archaeology / தொல்லியல்</t>
        </is>
      </c>
      <c r="K371" s="13" t="inlineStr">
        <is>
          <t>archaeology; heritage</t>
        </is>
      </c>
      <c r="L371" s="11" t="inlineStr">
        <is>
          <t>Yes</t>
        </is>
      </c>
      <c r="M371" s="13" t="n"/>
      <c r="N371" s="14" t="inlineStr">
        <is>
          <t>https://www.his.jfn.ac.lk/?p=791</t>
        </is>
      </c>
    </row>
    <row r="372">
      <c r="A372" s="7" t="inlineStr">
        <is>
          <t>ALL-0371</t>
        </is>
      </c>
      <c r="B372" s="7" t="inlineStr">
        <is>
          <t>Magazines/Journals</t>
        </is>
      </c>
      <c r="C372" s="8" t="inlineStr">
        <is>
          <t>2008</t>
        </is>
      </c>
      <c r="D372" s="7" t="n"/>
      <c r="E372" s="9" t="inlineStr">
        <is>
          <t>Amazing Discovery of Archaeological Artifact by Dept. of Archaeology, Tamil University, Thanjavur</t>
        </is>
      </c>
      <c r="F372" s="9" t="inlineStr">
        <is>
          <t>S. Sajitharan</t>
        </is>
      </c>
      <c r="G372" s="9" t="inlineStr">
        <is>
          <t>Thedal (Archaeological Study Circle, Dept. of History, University of Jaffna)</t>
        </is>
      </c>
      <c r="H372" s="7" t="inlineStr">
        <is>
          <t>Magazine article</t>
        </is>
      </c>
      <c r="I372" s="7" t="inlineStr">
        <is>
          <t>Tamil</t>
        </is>
      </c>
      <c r="J372" s="9" t="inlineStr">
        <is>
          <t>Archaeology / தொல்லியல்</t>
        </is>
      </c>
      <c r="K372" s="9" t="inlineStr">
        <is>
          <t>தொல்லியல்</t>
        </is>
      </c>
      <c r="L372" s="7" t="inlineStr">
        <is>
          <t>Yes</t>
        </is>
      </c>
      <c r="M372" s="9" t="n"/>
      <c r="N372" s="10" t="inlineStr">
        <is>
          <t>https://www.his.jfn.ac.lk/?p=791</t>
        </is>
      </c>
    </row>
    <row r="373">
      <c r="A373" s="11" t="inlineStr">
        <is>
          <t>ALL-0372</t>
        </is>
      </c>
      <c r="B373" s="11" t="inlineStr">
        <is>
          <t>Magazines/Journals</t>
        </is>
      </c>
      <c r="C373" s="12" t="inlineStr">
        <is>
          <t>2003</t>
        </is>
      </c>
      <c r="D373" s="11" t="inlineStr">
        <is>
          <t>2003-04-11</t>
        </is>
      </c>
      <c r="E373" s="13" t="inlineStr">
        <is>
          <t>A magnum opus on Tamil-Brahmi inscriptions</t>
        </is>
      </c>
      <c r="F373" s="13" t="inlineStr">
        <is>
          <t>R. Champakalakshmi</t>
        </is>
      </c>
      <c r="G373" s="13" t="inlineStr">
        <is>
          <t>Frontline</t>
        </is>
      </c>
      <c r="H373" s="11" t="inlineStr">
        <is>
          <t>Book review</t>
        </is>
      </c>
      <c r="I373" s="11" t="inlineStr">
        <is>
          <t>English</t>
        </is>
      </c>
      <c r="J373" s="13" t="inlineStr">
        <is>
          <t>Inscriptions / கல்வெட்டு; Brahmi / பிராமி</t>
        </is>
      </c>
      <c r="K373" s="13" t="inlineStr">
        <is>
          <t>Tamil Brahmi; Mahadevan; Sinhala Brahmi</t>
        </is>
      </c>
      <c r="L373" s="11" t="inlineStr">
        <is>
          <t>Yes</t>
        </is>
      </c>
      <c r="M373" s="13" t="n"/>
      <c r="N373" s="14" t="inlineStr">
        <is>
          <t>https://www.worldgenweb.org/lkawgw/tamil-brahmi.htm</t>
        </is>
      </c>
    </row>
    <row r="374">
      <c r="A374" s="7" t="inlineStr">
        <is>
          <t>ALL-0373</t>
        </is>
      </c>
      <c r="B374" s="7" t="inlineStr">
        <is>
          <t>Magazines/Journals</t>
        </is>
      </c>
      <c r="C374" s="8" t="n"/>
      <c r="D374" s="7" t="n"/>
      <c r="E374" s="9" t="inlineStr">
        <is>
          <t>இலங்கைத் தமிழ்க் கல்வெட்டுகளில் பிராமணரும் பிரமதேயமும்</t>
        </is>
      </c>
      <c r="F374" s="9" t="n"/>
      <c r="G374" s="9" t="inlineStr">
        <is>
          <t>Ezhuna (எழுநா)</t>
        </is>
      </c>
      <c r="H374" s="7" t="inlineStr">
        <is>
          <t>Online magazine article</t>
        </is>
      </c>
      <c r="I374" s="7" t="inlineStr">
        <is>
          <t>Tamil</t>
        </is>
      </c>
      <c r="J374" s="9" t="inlineStr">
        <is>
          <t>Inscriptions / கல்வெட்டு</t>
        </is>
      </c>
      <c r="K374" s="9" t="inlineStr">
        <is>
          <t>கல்வெட்டு; Brahmadeya</t>
        </is>
      </c>
      <c r="L374" s="7" t="inlineStr">
        <is>
          <t>Unknown</t>
        </is>
      </c>
      <c r="M374" s="9" t="n"/>
      <c r="N374" s="10" t="inlineStr">
        <is>
          <t>https://www.ezhunaonline.com/article/brahmin-and-brahmatheya-in-sri-lankan-tamil-inscriptions/</t>
        </is>
      </c>
    </row>
    <row r="375">
      <c r="A375" s="11" t="inlineStr">
        <is>
          <t>ALL-0374</t>
        </is>
      </c>
      <c r="B375" s="11" t="inlineStr">
        <is>
          <t>Magazines/Journals</t>
        </is>
      </c>
      <c r="C375" s="12" t="n"/>
      <c r="D375" s="11" t="n"/>
      <c r="E375" s="13" t="inlineStr">
        <is>
          <t>இலங்கைப் பிராமிக் கல்வெட்டுக்களில் சங்ககால வேள்</t>
        </is>
      </c>
      <c r="F375" s="13" t="inlineStr">
        <is>
          <t>N. K. S. Thiruchelvam</t>
        </is>
      </c>
      <c r="G375" s="13" t="inlineStr">
        <is>
          <t>Ezhuna (எழுநா)</t>
        </is>
      </c>
      <c r="H375" s="11" t="inlineStr">
        <is>
          <t>Online magazine article</t>
        </is>
      </c>
      <c r="I375" s="11" t="inlineStr">
        <is>
          <t>Tamil</t>
        </is>
      </c>
      <c r="J375" s="13" t="inlineStr">
        <is>
          <t>Inscriptions / கல்வெட்டு; Brahmi / பிராமி</t>
        </is>
      </c>
      <c r="K375" s="13" t="inlineStr">
        <is>
          <t>பிராமி; Sangam; Vel</t>
        </is>
      </c>
      <c r="L375" s="11" t="inlineStr">
        <is>
          <t>Unknown</t>
        </is>
      </c>
      <c r="M375" s="13" t="n"/>
      <c r="N375" s="14" t="inlineStr">
        <is>
          <t>https://www.ezhunaonline.com/sangam-age-in-sri-lankan-brahmic-inscriptions/</t>
        </is>
      </c>
    </row>
    <row r="376">
      <c r="A376" s="7" t="inlineStr">
        <is>
          <t>ALL-0375</t>
        </is>
      </c>
      <c r="B376" s="7" t="inlineStr">
        <is>
          <t>Magazines/Journals</t>
        </is>
      </c>
      <c r="C376" s="8" t="n"/>
      <c r="D376" s="7" t="n"/>
      <c r="E376" s="9" t="inlineStr">
        <is>
          <t>இலங்கையில் கண்ணகி வழிபாடு புகுந்த முறை</t>
        </is>
      </c>
      <c r="F376" s="9" t="n"/>
      <c r="G376" s="9" t="inlineStr">
        <is>
          <t>Ezhuna (எழுநா)</t>
        </is>
      </c>
      <c r="H376" s="7" t="inlineStr">
        <is>
          <t>Online magazine article</t>
        </is>
      </c>
      <c r="I376" s="7" t="inlineStr">
        <is>
          <t>Tamil</t>
        </is>
      </c>
      <c r="J376" s="9" t="n"/>
      <c r="K376" s="9" t="inlineStr">
        <is>
          <t>Kannagi worship</t>
        </is>
      </c>
      <c r="L376" s="7" t="inlineStr">
        <is>
          <t>Unknown</t>
        </is>
      </c>
      <c r="M376" s="9" t="n"/>
      <c r="N376" s="10" t="inlineStr">
        <is>
          <t>https://www.ezhunaonline.com/how-kannagi-worship-entered-sri-lanka/</t>
        </is>
      </c>
    </row>
    <row r="377">
      <c r="A377" s="11" t="inlineStr">
        <is>
          <t>ALL-0376</t>
        </is>
      </c>
      <c r="B377" s="11" t="inlineStr">
        <is>
          <t>Magazines/Journals</t>
        </is>
      </c>
      <c r="C377" s="12" t="n"/>
      <c r="D377" s="11" t="n"/>
      <c r="E377" s="13" t="inlineStr">
        <is>
          <t>செட்டிகுளம் : தமிழரின் பூர்வீக வரலாற்றை வெளிச்சத்திற்கு கொண்டுவரும் சில தொல்லியற் சான்றுகள்</t>
        </is>
      </c>
      <c r="F377" s="13" t="n"/>
      <c r="G377" s="13" t="inlineStr">
        <is>
          <t>Ezhuna (எழுநா)</t>
        </is>
      </c>
      <c r="H377" s="11" t="inlineStr">
        <is>
          <t>Online magazine article</t>
        </is>
      </c>
      <c r="I377" s="11" t="inlineStr">
        <is>
          <t>Tamil</t>
        </is>
      </c>
      <c r="J377" s="13" t="inlineStr">
        <is>
          <t>Archaeology / தொல்லியல்</t>
        </is>
      </c>
      <c r="K377" s="13" t="inlineStr">
        <is>
          <t>தொல்லியல்; Cheddikulam</t>
        </is>
      </c>
      <c r="L377" s="11" t="inlineStr">
        <is>
          <t>Unknown</t>
        </is>
      </c>
      <c r="M377" s="13" t="n"/>
      <c r="N377" s="14" t="inlineStr">
        <is>
          <t>https://www.ezhunaonline.com/the-archaeological-value-of-cheddikulam/</t>
        </is>
      </c>
    </row>
    <row r="378">
      <c r="A378" s="7" t="inlineStr">
        <is>
          <t>ALL-0377</t>
        </is>
      </c>
      <c r="B378" s="7" t="inlineStr">
        <is>
          <t>Magazines/Journals</t>
        </is>
      </c>
      <c r="C378" s="8" t="n"/>
      <c r="D378" s="7" t="n"/>
      <c r="E378" s="9" t="inlineStr">
        <is>
          <t>நாட்டார் சமயங்களும் இந்து மதமும்</t>
        </is>
      </c>
      <c r="F378" s="9" t="n"/>
      <c r="G378" s="9" t="inlineStr">
        <is>
          <t>Ezhuna (எழுநா)</t>
        </is>
      </c>
      <c r="H378" s="7" t="inlineStr">
        <is>
          <t>Online magazine article</t>
        </is>
      </c>
      <c r="I378" s="7" t="inlineStr">
        <is>
          <t>Tamil</t>
        </is>
      </c>
      <c r="J378" s="9" t="inlineStr">
        <is>
          <t>Hero stones / நடுகல்</t>
        </is>
      </c>
      <c r="K378" s="9" t="inlineStr">
        <is>
          <t>folk religion; நடுகல்</t>
        </is>
      </c>
      <c r="L378" s="7" t="inlineStr">
        <is>
          <t>Unknown</t>
        </is>
      </c>
      <c r="M378" s="9" t="n"/>
      <c r="N378" s="10" t="inlineStr">
        <is>
          <t>https://www.ezhunaonline.com/folk-religion-and-hinduism/</t>
        </is>
      </c>
    </row>
    <row r="379">
      <c r="A379" s="11" t="inlineStr">
        <is>
          <t>ALL-0378</t>
        </is>
      </c>
      <c r="B379" s="11" t="inlineStr">
        <is>
          <t>Magazines/Journals</t>
        </is>
      </c>
      <c r="C379" s="12" t="n"/>
      <c r="D379" s="11" t="n"/>
      <c r="E379" s="13" t="inlineStr">
        <is>
          <t>பண்டைத் தமிழர் வழிபாட்டு மரபில் கண்ணகி</t>
        </is>
      </c>
      <c r="F379" s="13" t="n"/>
      <c r="G379" s="13" t="inlineStr">
        <is>
          <t>Ezhuna (எழுநா)</t>
        </is>
      </c>
      <c r="H379" s="11" t="inlineStr">
        <is>
          <t>Online magazine article</t>
        </is>
      </c>
      <c r="I379" s="11" t="inlineStr">
        <is>
          <t>Tamil</t>
        </is>
      </c>
      <c r="J379" s="13" t="n"/>
      <c r="K379" s="13" t="inlineStr">
        <is>
          <t>Kannagi worship</t>
        </is>
      </c>
      <c r="L379" s="11" t="inlineStr">
        <is>
          <t>Unknown</t>
        </is>
      </c>
      <c r="M379" s="13" t="n"/>
      <c r="N379" s="14" t="inlineStr">
        <is>
          <t>https://www.ezhunaonline.com/kanaki-worship-in-ancient-tamil-culture/</t>
        </is>
      </c>
    </row>
    <row r="380">
      <c r="A380" s="7" t="inlineStr">
        <is>
          <t>ALL-0379</t>
        </is>
      </c>
      <c r="B380" s="7" t="inlineStr">
        <is>
          <t>Magazines/Journals</t>
        </is>
      </c>
      <c r="C380" s="8" t="n"/>
      <c r="D380" s="7" t="n"/>
      <c r="E380" s="9" t="inlineStr">
        <is>
          <t>பிராமி எழுத்து வடிவமும் தொடக்ககால எழுத்தறிவும்</t>
        </is>
      </c>
      <c r="F380" s="9" t="n"/>
      <c r="G380" s="9" t="inlineStr">
        <is>
          <t>Ezhuna (எழுநா)</t>
        </is>
      </c>
      <c r="H380" s="7" t="inlineStr">
        <is>
          <t>Online magazine article</t>
        </is>
      </c>
      <c r="I380" s="7" t="inlineStr">
        <is>
          <t>Tamil</t>
        </is>
      </c>
      <c r="J380" s="9" t="inlineStr">
        <is>
          <t>Brahmi / பிராமி</t>
        </is>
      </c>
      <c r="K380" s="9" t="inlineStr">
        <is>
          <t>பிராமி; literacy</t>
        </is>
      </c>
      <c r="L380" s="7" t="inlineStr">
        <is>
          <t>Unknown</t>
        </is>
      </c>
      <c r="M380" s="9" t="n"/>
      <c r="N380" s="10" t="inlineStr">
        <is>
          <t>https://www.ezhunaonline.com/article/brahmi-script-and-early-literacy/</t>
        </is>
      </c>
    </row>
    <row r="381">
      <c r="A381" s="11" t="inlineStr">
        <is>
          <t>ALL-0380</t>
        </is>
      </c>
      <c r="B381" s="11" t="inlineStr">
        <is>
          <t>Magazines/Journals</t>
        </is>
      </c>
      <c r="C381" s="12" t="n"/>
      <c r="D381" s="11" t="n"/>
      <c r="E381" s="13" t="inlineStr">
        <is>
          <t>பெருங்கற்பண்பாட்டுக் கால இலங்கையில் தமிழரும் பௌத்தமும்</t>
        </is>
      </c>
      <c r="F381" s="13" t="n"/>
      <c r="G381" s="13" t="inlineStr">
        <is>
          <t>Ezhuna (எழுநா)</t>
        </is>
      </c>
      <c r="H381" s="11" t="inlineStr">
        <is>
          <t>Online magazine article</t>
        </is>
      </c>
      <c r="I381" s="11" t="inlineStr">
        <is>
          <t>Tamil</t>
        </is>
      </c>
      <c r="J381" s="13" t="inlineStr">
        <is>
          <t>Archaeology / தொல்லியல்</t>
        </is>
      </c>
      <c r="K381" s="13" t="inlineStr">
        <is>
          <t>megalithic; Buddhism; Tamils</t>
        </is>
      </c>
      <c r="L381" s="11" t="inlineStr">
        <is>
          <t>Unknown</t>
        </is>
      </c>
      <c r="M381" s="13" t="n"/>
      <c r="N381" s="14" t="inlineStr">
        <is>
          <t>https://www.ezhunaonline.com/compilation/buddhism-and-tamils-during-megalith-of-srilanka/</t>
        </is>
      </c>
    </row>
    <row r="382">
      <c r="A382" s="7" t="inlineStr">
        <is>
          <t>ALL-0381</t>
        </is>
      </c>
      <c r="B382" s="7" t="inlineStr">
        <is>
          <t>Magazines/Journals</t>
        </is>
      </c>
      <c r="C382" s="8" t="n"/>
      <c r="D382" s="7" t="n"/>
      <c r="E382" s="9" t="inlineStr">
        <is>
          <t>மீளுருவாக்கப்பட்ட ஆரியகுளமும் ஆரியச்சக்கரவர்த்திகளும்</t>
        </is>
      </c>
      <c r="F382" s="9" t="n"/>
      <c r="G382" s="9" t="inlineStr">
        <is>
          <t>Ezhuna (எழுநா)</t>
        </is>
      </c>
      <c r="H382" s="7" t="inlineStr">
        <is>
          <t>Online magazine article</t>
        </is>
      </c>
      <c r="I382" s="7" t="inlineStr">
        <is>
          <t>Tamil</t>
        </is>
      </c>
      <c r="J382" s="9" t="n"/>
      <c r="K382" s="9" t="inlineStr">
        <is>
          <t>history; Jaffna kingdom</t>
        </is>
      </c>
      <c r="L382" s="7" t="inlineStr">
        <is>
          <t>Unknown</t>
        </is>
      </c>
      <c r="M382" s="9" t="n"/>
      <c r="N382" s="10" t="inlineStr">
        <is>
          <t>https://www.ezhunaonline.com/history-of-ariya-kulam-jaffna/</t>
        </is>
      </c>
    </row>
    <row r="383">
      <c r="A383" s="11" t="inlineStr">
        <is>
          <t>ALL-0382</t>
        </is>
      </c>
      <c r="B383" s="11" t="inlineStr">
        <is>
          <t>Magazines/Journals</t>
        </is>
      </c>
      <c r="C383" s="12" t="n"/>
      <c r="D383" s="11" t="n"/>
      <c r="E383" s="13" t="inlineStr">
        <is>
          <t>யாழ்ப்பாணஅரசு தோன்ற முன்னர் வன்னிப் பெருநிலப்பரப்பில் தமிழ் இராசதானி இருந்ததை உறுதிப்படுத்தும் குருந்தன்குள ஆலய அழிபாடுகள்</t>
        </is>
      </c>
      <c r="F383" s="13" t="n"/>
      <c r="G383" s="13" t="inlineStr">
        <is>
          <t>Ezhuna (எழுநா)</t>
        </is>
      </c>
      <c r="H383" s="11" t="inlineStr">
        <is>
          <t>Online magazine article</t>
        </is>
      </c>
      <c r="I383" s="11" t="inlineStr">
        <is>
          <t>Tamil</t>
        </is>
      </c>
      <c r="J383" s="13" t="inlineStr">
        <is>
          <t>Archaeology / தொல்லியல்</t>
        </is>
      </c>
      <c r="K383" s="13" t="inlineStr">
        <is>
          <t>தொல்லியல்; Kurundankulam; Vanni</t>
        </is>
      </c>
      <c r="L383" s="11" t="inlineStr">
        <is>
          <t>Unknown</t>
        </is>
      </c>
      <c r="M383" s="13" t="n"/>
      <c r="N383" s="14" t="inlineStr">
        <is>
          <t>https://www.ezhunaonline.com/tamil-rasathani-in-vanni-kurundankula-temple/</t>
        </is>
      </c>
    </row>
    <row r="384">
      <c r="A384" s="7" t="inlineStr">
        <is>
          <t>ALL-0383</t>
        </is>
      </c>
      <c r="B384" s="7" t="inlineStr">
        <is>
          <t>Magazines/Journals</t>
        </is>
      </c>
      <c r="C384" s="8" t="n"/>
      <c r="D384" s="7" t="n"/>
      <c r="E384" s="9" t="inlineStr">
        <is>
          <t>வேலணை, சாட்டியில் பெருங்கற்காலப் பண்பாடு</t>
        </is>
      </c>
      <c r="F384" s="9" t="n"/>
      <c r="G384" s="9" t="inlineStr">
        <is>
          <t>Ezhuna (எழுநா)</t>
        </is>
      </c>
      <c r="H384" s="7" t="inlineStr">
        <is>
          <t>Online magazine article</t>
        </is>
      </c>
      <c r="I384" s="7" t="inlineStr">
        <is>
          <t>Tamil</t>
        </is>
      </c>
      <c r="J384" s="9" t="inlineStr">
        <is>
          <t>Archaeology / தொல்லியல்</t>
        </is>
      </c>
      <c r="K384" s="9" t="inlineStr">
        <is>
          <t>தொல்லியல்; megalithic; Chatti</t>
        </is>
      </c>
      <c r="L384" s="7" t="inlineStr">
        <is>
          <t>Unknown</t>
        </is>
      </c>
      <c r="M384" s="9" t="n"/>
      <c r="N384" s="10" t="inlineStr">
        <is>
          <t>https://www.ezhunaonline.com/velana-palaeolithic-culture-at-chatti/</t>
        </is>
      </c>
    </row>
    <row r="385">
      <c r="A385" s="11" t="inlineStr">
        <is>
          <t>ALL-0384</t>
        </is>
      </c>
      <c r="B385" s="11" t="inlineStr">
        <is>
          <t>Web Articles</t>
        </is>
      </c>
      <c r="C385" s="12" t="inlineStr">
        <is>
          <t>2026</t>
        </is>
      </c>
      <c r="D385" s="11" t="inlineStr">
        <is>
          <t>2026-07-27</t>
        </is>
      </c>
      <c r="E385" s="13" t="inlineStr">
        <is>
          <t>யாழ்ப்பாண இராச்சியத்தின் வரலாறு</t>
        </is>
      </c>
      <c r="F385" s="13" t="inlineStr">
        <is>
          <t>Wikipedia contributors</t>
        </is>
      </c>
      <c r="G385" s="13" t="inlineStr">
        <is>
          <t>Wikipedia (ta)</t>
        </is>
      </c>
      <c r="H385" s="11" t="inlineStr">
        <is>
          <t>Encyclopedia article</t>
        </is>
      </c>
      <c r="I385" s="11" t="inlineStr">
        <is>
          <t>Tamil</t>
        </is>
      </c>
      <c r="J385" s="13" t="n"/>
      <c r="K385" s="13" t="n"/>
      <c r="L385" s="11" t="inlineStr">
        <is>
          <t>Yes</t>
        </is>
      </c>
      <c r="M385" s="13" t="inlineStr">
        <is>
          <t>Date = page creation. Auto-collected 2026-10-14 (wikipedia); review.</t>
        </is>
      </c>
      <c r="N385" s="14" t="inlineStr">
        <is>
          <t>https://ta.wikipedia.org/wiki/%E0%AE%AF%E0%AE%BE%E0%AE%B4%E0%AF%8D%E0%AE%AA%E0%AF%8D%E0%AE%AA%E0%AE%BE%E0%AE%A3_%E0%AE%87%E0%AE%B0%E0%AE%BE%E0%AE%9A%E0%AF%8D%E0%AE%9A%E0%AE%BF%E0%AE%AF%E0%AE%A4%E0%AF%8D%E0%AE%A4%E0%AE%BF%E0%AE%A9%E0%AF%8D_%E0%AE%B5%E0%AE%B0%E0%AE%B2%E0%AE%BE%E0%AE%B1%E0%AF%81</t>
        </is>
      </c>
    </row>
    <row r="386">
      <c r="A386" s="7" t="inlineStr">
        <is>
          <t>ALL-0385</t>
        </is>
      </c>
      <c r="B386" s="7" t="inlineStr">
        <is>
          <t>Web Articles</t>
        </is>
      </c>
      <c r="C386" s="8" t="inlineStr">
        <is>
          <t>2026</t>
        </is>
      </c>
      <c r="D386" s="7" t="inlineStr">
        <is>
          <t>2026-08-07</t>
        </is>
      </c>
      <c r="E386" s="9" t="inlineStr">
        <is>
          <t>இலங்கையில் உள்ள தமிழ்க் கல்வெட்டுகள்</t>
        </is>
      </c>
      <c r="F386" s="9" t="inlineStr">
        <is>
          <t>Wikipedia contributors</t>
        </is>
      </c>
      <c r="G386" s="9" t="inlineStr">
        <is>
          <t>Wikipedia (ta)</t>
        </is>
      </c>
      <c r="H386" s="7" t="inlineStr">
        <is>
          <t>Encyclopedia article</t>
        </is>
      </c>
      <c r="I386" s="7" t="inlineStr">
        <is>
          <t>Tamil</t>
        </is>
      </c>
      <c r="J386" s="9" t="inlineStr">
        <is>
          <t>Inscriptions / கல்வெட்டு</t>
        </is>
      </c>
      <c r="K386" s="9" t="inlineStr">
        <is>
          <t>கல்வெட்டு; கல்வெட்டுகள்</t>
        </is>
      </c>
      <c r="L386" s="7" t="inlineStr">
        <is>
          <t>Yes</t>
        </is>
      </c>
      <c r="M386" s="9" t="inlineStr">
        <is>
          <t>Date = page creation. Auto-collected 2026-10-14 (wikipedia); review.</t>
        </is>
      </c>
      <c r="N386" s="10" t="inlineStr">
        <is>
          <t>https://ta.wikipedia.org/wiki/%E0%AE%87%E0%AE%B2%E0%AE%99%E0%AF%8D%E0%AE%95%E0%AF%88%E0%AE%AF%E0%AE%BF%E0%AE%B2%E0%AF%8D_%E0%AE%89%E0%AE%B3%E0%AF%8D%E0%AE%B3_%E0%AE%A4%E0%AE%AE%E0%AE%BF%E0%AE%B4%E0%AF%8D%E0%AE%95%E0%AF%8D_%E0%AE%95%E0%AE%B2%E0%AF%8D%E0%AE%B5%E0%AF%86%E0%AE%9F%E0%AF%8D%E0%AE%9F%E0%AF%81%E0%AE%95%E0%AE%B3%E0%AF%8D</t>
        </is>
      </c>
    </row>
    <row r="387">
      <c r="A387" s="11" t="inlineStr">
        <is>
          <t>ALL-0386</t>
        </is>
      </c>
      <c r="B387" s="11" t="inlineStr">
        <is>
          <t>Web Articles</t>
        </is>
      </c>
      <c r="C387" s="12" t="inlineStr">
        <is>
          <t>2025</t>
        </is>
      </c>
      <c r="D387" s="11" t="n"/>
      <c r="E387" s="13" t="inlineStr">
        <is>
          <t>யாழ்ப்பாணம். கோட்டையை சுற்றி எல்லைக்கல் நாட்டுப் பணியில் தொல்லியல் ...</t>
        </is>
      </c>
      <c r="F387" s="13" t="n"/>
      <c r="G387" s="13" t="inlineStr">
        <is>
          <t>uthayannews.ca</t>
        </is>
      </c>
      <c r="H387" s="11" t="inlineStr">
        <is>
          <t>Web page</t>
        </is>
      </c>
      <c r="I387" s="11" t="inlineStr">
        <is>
          <t>Tamil</t>
        </is>
      </c>
      <c r="J387" s="13" t="inlineStr">
        <is>
          <t>Archaeology / தொல்லியல்</t>
        </is>
      </c>
      <c r="K387" s="13" t="inlineStr">
        <is>
          <t>தொல்லியல்</t>
        </is>
      </c>
      <c r="L387" s="11" t="inlineStr">
        <is>
          <t>Yes</t>
        </is>
      </c>
      <c r="M387" s="13" t="inlineStr">
        <is>
          <t>Web search: யாழ்ப்பாணம் தொல்லியல். Auto-collected 2026-10-14 (ddg); review.</t>
        </is>
      </c>
      <c r="N387" s="14" t="inlineStr">
        <is>
          <t>https://uthayannews.ca/2025/12/19/%E0%AE%AF%E0%AE%BE%E0%AE%B4%E0%AF%8D%E0%AE%AA%E0%AF%8D%E0%AE%AA%E0%AE%BE%E0%AE%A3%E0%AE%AE%E0%AF%8D-%E0%AE%95%E0%AF%8B%E0%AE%9F%E0%AF%8D%E0%AE%9F%E0%AF%88%E0%AE%AF%E0%AF%88-%E0%AE%9A%E0%AF%81/</t>
        </is>
      </c>
    </row>
    <row r="388">
      <c r="A388" s="7" t="inlineStr">
        <is>
          <t>ALL-0387</t>
        </is>
      </c>
      <c r="B388" s="7" t="inlineStr">
        <is>
          <t>Web Articles</t>
        </is>
      </c>
      <c r="C388" s="8" t="inlineStr">
        <is>
          <t>2021</t>
        </is>
      </c>
      <c r="D388" s="7" t="n"/>
      <c r="E388" s="9" t="inlineStr">
        <is>
          <t>Sankiliyatital Archaeological Site in Jaffna</t>
        </is>
      </c>
      <c r="F388" s="9" t="inlineStr">
        <is>
          <t>Nishan Weerasooriya</t>
        </is>
      </c>
      <c r="G388" s="9" t="inlineStr">
        <is>
          <t>AmazingLanka.com</t>
        </is>
      </c>
      <c r="H388" s="7" t="inlineStr">
        <is>
          <t>Web article</t>
        </is>
      </c>
      <c r="I388" s="7" t="inlineStr">
        <is>
          <t>English</t>
        </is>
      </c>
      <c r="J388" s="9" t="inlineStr">
        <is>
          <t>Archaeology / தொல்லியல்</t>
        </is>
      </c>
      <c r="K388" s="9" t="inlineStr">
        <is>
          <t>தொல்லியல்; Jaffna</t>
        </is>
      </c>
      <c r="L388" s="7" t="inlineStr">
        <is>
          <t>Yes</t>
        </is>
      </c>
      <c r="M388" s="9" t="n"/>
      <c r="N388" s="10" t="inlineStr">
        <is>
          <t>https://amazinglanka.com/wp/sankiliyatital/</t>
        </is>
      </c>
    </row>
    <row r="389">
      <c r="A389" s="11" t="inlineStr">
        <is>
          <t>ALL-0388</t>
        </is>
      </c>
      <c r="B389" s="11" t="inlineStr">
        <is>
          <t>Web Articles</t>
        </is>
      </c>
      <c r="C389" s="12" t="inlineStr">
        <is>
          <t>2021</t>
        </is>
      </c>
      <c r="D389" s="11" t="inlineStr">
        <is>
          <t>2021-11-13</t>
        </is>
      </c>
      <c r="E389" s="13" t="inlineStr">
        <is>
          <t>தேவனாம்பிரியா</t>
        </is>
      </c>
      <c r="F389" s="13" t="inlineStr">
        <is>
          <t>Wikipedia contributors</t>
        </is>
      </c>
      <c r="G389" s="13" t="inlineStr">
        <is>
          <t>Wikipedia (ta)</t>
        </is>
      </c>
      <c r="H389" s="11" t="inlineStr">
        <is>
          <t>Encyclopedia article</t>
        </is>
      </c>
      <c r="I389" s="11" t="inlineStr">
        <is>
          <t>Tamil</t>
        </is>
      </c>
      <c r="J389" s="13" t="n"/>
      <c r="K389" s="13" t="n"/>
      <c r="L389" s="11" t="inlineStr">
        <is>
          <t>Yes</t>
        </is>
      </c>
      <c r="M389" s="13" t="inlineStr">
        <is>
          <t>Date = page creation. Auto-collected 2026-10-14 (wikipedia); review.</t>
        </is>
      </c>
      <c r="N389" s="14" t="inlineStr">
        <is>
          <t>https://ta.wikipedia.org/wiki/%E0%AE%A4%E0%AF%87%E0%AE%B5%E0%AE%A9%E0%AE%BE%E0%AE%AE%E0%AF%8D%E0%AE%AA%E0%AE%BF%E0%AE%B0%E0%AE%BF%E0%AE%AF%E0%AE%BE</t>
        </is>
      </c>
    </row>
    <row r="390">
      <c r="A390" s="7" t="inlineStr">
        <is>
          <t>ALL-0389</t>
        </is>
      </c>
      <c r="B390" s="7" t="inlineStr">
        <is>
          <t>Web Articles</t>
        </is>
      </c>
      <c r="C390" s="8" t="inlineStr">
        <is>
          <t>2021</t>
        </is>
      </c>
      <c r="D390" s="7" t="inlineStr">
        <is>
          <t>2021-12-01</t>
        </is>
      </c>
      <c r="E390" s="9" t="inlineStr">
        <is>
          <t>கோமரங்கடவலை கல்வெட்டு</t>
        </is>
      </c>
      <c r="F390" s="9" t="inlineStr">
        <is>
          <t>Wikipedia contributors</t>
        </is>
      </c>
      <c r="G390" s="9" t="inlineStr">
        <is>
          <t>Wikipedia (ta)</t>
        </is>
      </c>
      <c r="H390" s="7" t="inlineStr">
        <is>
          <t>Encyclopedia article</t>
        </is>
      </c>
      <c r="I390" s="7" t="inlineStr">
        <is>
          <t>Tamil</t>
        </is>
      </c>
      <c r="J390" s="9" t="inlineStr">
        <is>
          <t>Inscriptions / கல்வெட்டு</t>
        </is>
      </c>
      <c r="K390" s="9" t="inlineStr">
        <is>
          <t>கல்வெட்டு</t>
        </is>
      </c>
      <c r="L390" s="7" t="inlineStr">
        <is>
          <t>Yes</t>
        </is>
      </c>
      <c r="M390" s="9" t="inlineStr">
        <is>
          <t>Date = page creation. Auto-collected 2026-10-14 (wikipedia); review.</t>
        </is>
      </c>
      <c r="N390" s="10" t="inlineStr">
        <is>
          <t>https://ta.wikipedia.org/wiki/%E0%AE%95%E0%AF%8B%E0%AE%AE%E0%AE%B0%E0%AE%99%E0%AF%8D%E0%AE%95%E0%AE%9F%E0%AE%B5%E0%AE%B2%E0%AF%88_%E0%AE%95%E0%AE%B2%E0%AF%8D%E0%AE%B5%E0%AF%86%E0%AE%9F%E0%AF%8D%E0%AE%9F%E0%AF%81</t>
        </is>
      </c>
    </row>
    <row r="391">
      <c r="A391" s="11" t="inlineStr">
        <is>
          <t>ALL-0390</t>
        </is>
      </c>
      <c r="B391" s="11" t="inlineStr">
        <is>
          <t>Web Articles</t>
        </is>
      </c>
      <c r="C391" s="12" t="inlineStr">
        <is>
          <t>2020</t>
        </is>
      </c>
      <c r="D391" s="11" t="inlineStr">
        <is>
          <t>2020-04</t>
        </is>
      </c>
      <c r="E391" s="13" t="inlineStr">
        <is>
          <t>Tamil Inscriptions in Sri Lanka (list)</t>
        </is>
      </c>
      <c r="F391" s="13" t="inlineStr">
        <is>
          <t>Lanka Pradeepa</t>
        </is>
      </c>
      <c r="G391" s="13" t="inlineStr">
        <is>
          <t>Lanka Pradeepa (lankapradeepa.com)</t>
        </is>
      </c>
      <c r="H391" s="11" t="inlineStr">
        <is>
          <t>Web article</t>
        </is>
      </c>
      <c r="I391" s="11" t="inlineStr">
        <is>
          <t>English</t>
        </is>
      </c>
      <c r="J391" s="13" t="inlineStr">
        <is>
          <t>Inscriptions / கல்வெட்டு</t>
        </is>
      </c>
      <c r="K391" s="13" t="inlineStr">
        <is>
          <t>கல்வெட்டு; list; bibliography</t>
        </is>
      </c>
      <c r="L391" s="11" t="inlineStr">
        <is>
          <t>Yes</t>
        </is>
      </c>
      <c r="M391" s="13" t="inlineStr">
        <is>
          <t>Updated May 2023; 27 references</t>
        </is>
      </c>
      <c r="N391" s="14" t="inlineStr">
        <is>
          <t>https://www.lankapradeepa.com/2020/04/tamil-inscriptions-in-sri-lanka_16.html</t>
        </is>
      </c>
    </row>
    <row r="392">
      <c r="A392" s="7" t="inlineStr">
        <is>
          <t>ALL-0391</t>
        </is>
      </c>
      <c r="B392" s="7" t="inlineStr">
        <is>
          <t>Web Articles</t>
        </is>
      </c>
      <c r="C392" s="8" t="inlineStr">
        <is>
          <t>2020</t>
        </is>
      </c>
      <c r="D392" s="7" t="inlineStr">
        <is>
          <t>2020-12-11</t>
        </is>
      </c>
      <c r="E392" s="9" t="inlineStr">
        <is>
          <t>Pottery of Sri Lanka</t>
        </is>
      </c>
      <c r="F392" s="9" t="inlineStr">
        <is>
          <t>Wikipedia contributors</t>
        </is>
      </c>
      <c r="G392" s="9" t="inlineStr">
        <is>
          <t>Wikipedia (en)</t>
        </is>
      </c>
      <c r="H392" s="7" t="inlineStr">
        <is>
          <t>Encyclopedia article</t>
        </is>
      </c>
      <c r="I392" s="7" t="inlineStr">
        <is>
          <t>English</t>
        </is>
      </c>
      <c r="J392" s="9" t="n"/>
      <c r="K392" s="9" t="n"/>
      <c r="L392" s="7" t="inlineStr">
        <is>
          <t>Yes</t>
        </is>
      </c>
      <c r="M392" s="9" t="inlineStr">
        <is>
          <t>Date = page creation. Auto-collected 2026-10-14 (wikipedia); review.</t>
        </is>
      </c>
      <c r="N392" s="10" t="inlineStr">
        <is>
          <t>https://en.wikipedia.org/wiki/Pottery_of_Sri_Lanka</t>
        </is>
      </c>
    </row>
    <row r="393">
      <c r="A393" s="11" t="inlineStr">
        <is>
          <t>ALL-0392</t>
        </is>
      </c>
      <c r="B393" s="11" t="inlineStr">
        <is>
          <t>Web Articles</t>
        </is>
      </c>
      <c r="C393" s="12" t="inlineStr">
        <is>
          <t>2019</t>
        </is>
      </c>
      <c r="D393" s="11" t="inlineStr">
        <is>
          <t>2019-01-10</t>
        </is>
      </c>
      <c r="E393" s="13" t="inlineStr">
        <is>
          <t>Tamil inscriptions</t>
        </is>
      </c>
      <c r="F393" s="13" t="inlineStr">
        <is>
          <t>Wikipedia contributors</t>
        </is>
      </c>
      <c r="G393" s="13" t="inlineStr">
        <is>
          <t>Wikipedia (en)</t>
        </is>
      </c>
      <c r="H393" s="11" t="inlineStr">
        <is>
          <t>Encyclopedia article</t>
        </is>
      </c>
      <c r="I393" s="11" t="inlineStr">
        <is>
          <t>English</t>
        </is>
      </c>
      <c r="J393" s="13" t="inlineStr">
        <is>
          <t>Inscriptions / கல்வெட்டு</t>
        </is>
      </c>
      <c r="K393" s="13" t="inlineStr">
        <is>
          <t>inscription; inscriptions</t>
        </is>
      </c>
      <c r="L393" s="11" t="inlineStr">
        <is>
          <t>Yes</t>
        </is>
      </c>
      <c r="M393" s="13" t="inlineStr">
        <is>
          <t>Date = page creation. Auto-collected 2026-10-14 (wikipedia); review.</t>
        </is>
      </c>
      <c r="N393" s="14" t="inlineStr">
        <is>
          <t>https://en.wikipedia.org/wiki/Tamil_inscriptions</t>
        </is>
      </c>
    </row>
    <row r="394">
      <c r="A394" s="7" t="inlineStr">
        <is>
          <t>ALL-0393</t>
        </is>
      </c>
      <c r="B394" s="7" t="inlineStr">
        <is>
          <t>Web Articles</t>
        </is>
      </c>
      <c r="C394" s="8" t="inlineStr">
        <is>
          <t>2019</t>
        </is>
      </c>
      <c r="D394" s="7" t="inlineStr">
        <is>
          <t>2019-09-08</t>
        </is>
      </c>
      <c r="E394" s="9" t="inlineStr">
        <is>
          <t>வெடுக்குநாறிமலை ஆதி லிங்கேஸ்வரர் ஆலயம்</t>
        </is>
      </c>
      <c r="F394" s="9" t="inlineStr">
        <is>
          <t>Wikipedia contributors</t>
        </is>
      </c>
      <c r="G394" s="9" t="inlineStr">
        <is>
          <t>Wikipedia (ta)</t>
        </is>
      </c>
      <c r="H394" s="7" t="inlineStr">
        <is>
          <t>Encyclopedia article</t>
        </is>
      </c>
      <c r="I394" s="7" t="inlineStr">
        <is>
          <t>Tamil</t>
        </is>
      </c>
      <c r="J394" s="9" t="n"/>
      <c r="K394" s="9" t="n"/>
      <c r="L394" s="7" t="inlineStr">
        <is>
          <t>Yes</t>
        </is>
      </c>
      <c r="M394" s="9" t="inlineStr">
        <is>
          <t>Date = page creation. Auto-collected 2026-10-14 (wikipedia); review.</t>
        </is>
      </c>
      <c r="N394" s="10" t="inlineStr">
        <is>
          <t>https://ta.wikipedia.org/wiki/%E0%AE%B5%E0%AF%86%E0%AE%9F%E0%AF%81%E0%AE%95%E0%AF%8D%E0%AE%95%E0%AF%81%E0%AE%A8%E0%AE%BE%E0%AE%B1%E0%AE%BF%E0%AE%AE%E0%AE%B2%E0%AF%88_%E0%AE%86%E0%AE%A4%E0%AE%BF_%E0%AE%B2%E0%AE%BF%E0%AE%99%E0%AF%8D%E0%AE%95%E0%AF%87%E0%AE%B8%E0%AF%8D%E0%AE%B5%E0%AE%B0%E0%AE%B0%E0%AF%8D_%E0%AE%86%E0%AE%B2%E0%AE%AF%E0%AE%AE%E0%AF%8D</t>
        </is>
      </c>
    </row>
    <row r="395">
      <c r="A395" s="11" t="inlineStr">
        <is>
          <t>ALL-0394</t>
        </is>
      </c>
      <c r="B395" s="11" t="inlineStr">
        <is>
          <t>Web Articles</t>
        </is>
      </c>
      <c r="C395" s="12" t="inlineStr">
        <is>
          <t>2017</t>
        </is>
      </c>
      <c r="D395" s="11" t="inlineStr">
        <is>
          <t>2017-01-15</t>
        </is>
      </c>
      <c r="E395" s="13" t="inlineStr">
        <is>
          <t>Mantri Manai</t>
        </is>
      </c>
      <c r="F395" s="13" t="inlineStr">
        <is>
          <t>Wikipedia contributors</t>
        </is>
      </c>
      <c r="G395" s="13" t="inlineStr">
        <is>
          <t>Wikipedia (en)</t>
        </is>
      </c>
      <c r="H395" s="11" t="inlineStr">
        <is>
          <t>Encyclopedia article</t>
        </is>
      </c>
      <c r="I395" s="11" t="inlineStr">
        <is>
          <t>English</t>
        </is>
      </c>
      <c r="J395" s="13" t="n"/>
      <c r="K395" s="13" t="n"/>
      <c r="L395" s="11" t="inlineStr">
        <is>
          <t>Yes</t>
        </is>
      </c>
      <c r="M395" s="13" t="inlineStr">
        <is>
          <t>Date = page creation. Auto-collected 2026-10-14 (wikipedia); review.</t>
        </is>
      </c>
      <c r="N395" s="14" t="inlineStr">
        <is>
          <t>https://en.wikipedia.org/wiki/Mantri_Manai</t>
        </is>
      </c>
    </row>
    <row r="396">
      <c r="A396" s="7" t="inlineStr">
        <is>
          <t>ALL-0395</t>
        </is>
      </c>
      <c r="B396" s="7" t="inlineStr">
        <is>
          <t>Web Articles</t>
        </is>
      </c>
      <c r="C396" s="8" t="inlineStr">
        <is>
          <t>2016</t>
        </is>
      </c>
      <c r="D396" s="7" t="inlineStr">
        <is>
          <t>2016-01-15</t>
        </is>
      </c>
      <c r="E396" s="9" t="inlineStr">
        <is>
          <t>நாடு காட்டுப் பரவணிக் கல்வெட்டு</t>
        </is>
      </c>
      <c r="F396" s="9" t="inlineStr">
        <is>
          <t>Wikipedia contributors</t>
        </is>
      </c>
      <c r="G396" s="9" t="inlineStr">
        <is>
          <t>Wikipedia (ta)</t>
        </is>
      </c>
      <c r="H396" s="7" t="inlineStr">
        <is>
          <t>Encyclopedia article</t>
        </is>
      </c>
      <c r="I396" s="7" t="inlineStr">
        <is>
          <t>Tamil</t>
        </is>
      </c>
      <c r="J396" s="9" t="inlineStr">
        <is>
          <t>Inscriptions / கல்வெட்டு</t>
        </is>
      </c>
      <c r="K396" s="9" t="inlineStr">
        <is>
          <t>கல்வெட்டு</t>
        </is>
      </c>
      <c r="L396" s="7" t="inlineStr">
        <is>
          <t>Yes</t>
        </is>
      </c>
      <c r="M396" s="9" t="inlineStr">
        <is>
          <t>Date = page creation. Auto-collected 2026-10-14 (wikipedia); review.</t>
        </is>
      </c>
      <c r="N396" s="10" t="inlineStr">
        <is>
          <t>https://ta.wikipedia.org/wiki/%E0%AE%A8%E0%AE%BE%E0%AE%9F%E0%AF%81_%E0%AE%95%E0%AE%BE%E0%AE%9F%E0%AF%8D%E0%AE%9F%E0%AF%81%E0%AE%AA%E0%AF%8D_%E0%AE%AA%E0%AE%B0%E0%AE%B5%E0%AE%A3%E0%AE%BF%E0%AE%95%E0%AF%8D_%E0%AE%95%E0%AE%B2%E0%AF%8D%E0%AE%B5%E0%AF%86%E0%AE%9F%E0%AF%8D%E0%AE%9F%E0%AF%81</t>
        </is>
      </c>
    </row>
    <row r="397">
      <c r="A397" s="11" t="inlineStr">
        <is>
          <t>ALL-0396</t>
        </is>
      </c>
      <c r="B397" s="11" t="inlineStr">
        <is>
          <t>Web Articles</t>
        </is>
      </c>
      <c r="C397" s="12" t="inlineStr">
        <is>
          <t>2016</t>
        </is>
      </c>
      <c r="D397" s="11" t="inlineStr">
        <is>
          <t>2016-02-21</t>
        </is>
      </c>
      <c r="E397" s="13" t="inlineStr">
        <is>
          <t>Velgam Vehera</t>
        </is>
      </c>
      <c r="F397" s="13" t="inlineStr">
        <is>
          <t>Wikipedia contributors</t>
        </is>
      </c>
      <c r="G397" s="13" t="inlineStr">
        <is>
          <t>Wikipedia (en)</t>
        </is>
      </c>
      <c r="H397" s="11" t="inlineStr">
        <is>
          <t>Encyclopedia article</t>
        </is>
      </c>
      <c r="I397" s="11" t="inlineStr">
        <is>
          <t>English</t>
        </is>
      </c>
      <c r="J397" s="13" t="n"/>
      <c r="K397" s="13" t="n"/>
      <c r="L397" s="11" t="inlineStr">
        <is>
          <t>Yes</t>
        </is>
      </c>
      <c r="M397" s="13" t="inlineStr">
        <is>
          <t>Date = page creation. Auto-collected 2026-10-14 (wikipedia); review.</t>
        </is>
      </c>
      <c r="N397" s="14" t="inlineStr">
        <is>
          <t>https://en.wikipedia.org/wiki/Velgam_Vehera</t>
        </is>
      </c>
    </row>
    <row r="398">
      <c r="A398" s="7" t="inlineStr">
        <is>
          <t>ALL-0397</t>
        </is>
      </c>
      <c r="B398" s="7" t="inlineStr">
        <is>
          <t>Web Articles</t>
        </is>
      </c>
      <c r="C398" s="8" t="inlineStr">
        <is>
          <t>2016</t>
        </is>
      </c>
      <c r="D398" s="7" t="inlineStr">
        <is>
          <t>2016-04-03</t>
        </is>
      </c>
      <c r="E398" s="9" t="inlineStr">
        <is>
          <t>Kulakkottan</t>
        </is>
      </c>
      <c r="F398" s="9" t="inlineStr">
        <is>
          <t>Wikipedia contributors</t>
        </is>
      </c>
      <c r="G398" s="9" t="inlineStr">
        <is>
          <t>Wikipedia (en)</t>
        </is>
      </c>
      <c r="H398" s="7" t="inlineStr">
        <is>
          <t>Encyclopedia article</t>
        </is>
      </c>
      <c r="I398" s="7" t="inlineStr">
        <is>
          <t>English</t>
        </is>
      </c>
      <c r="J398" s="9" t="n"/>
      <c r="K398" s="9" t="n"/>
      <c r="L398" s="7" t="inlineStr">
        <is>
          <t>Yes</t>
        </is>
      </c>
      <c r="M398" s="9" t="inlineStr">
        <is>
          <t>Date = page creation. Auto-collected 2026-10-14 (wikipedia); review.</t>
        </is>
      </c>
      <c r="N398" s="10" t="inlineStr">
        <is>
          <t>https://en.wikipedia.org/wiki/Kulakkottan</t>
        </is>
      </c>
    </row>
    <row r="399">
      <c r="A399" s="11" t="inlineStr">
        <is>
          <t>ALL-0398</t>
        </is>
      </c>
      <c r="B399" s="11" t="inlineStr">
        <is>
          <t>Web Articles</t>
        </is>
      </c>
      <c r="C399" s="12" t="inlineStr">
        <is>
          <t>2016</t>
        </is>
      </c>
      <c r="D399" s="11" t="inlineStr">
        <is>
          <t>2016-04-21</t>
        </is>
      </c>
      <c r="E399" s="13" t="inlineStr">
        <is>
          <t>யாழ்ப்பாண மாவட்டத்தில் தொல்லியல் ரீதியாக பாதுகாக்கப்பட்ட நினைவுச் சின்னங்களின் பட்டியல்</t>
        </is>
      </c>
      <c r="F399" s="13" t="inlineStr">
        <is>
          <t>Wikipedia contributors</t>
        </is>
      </c>
      <c r="G399" s="13" t="inlineStr">
        <is>
          <t>Wikipedia (ta)</t>
        </is>
      </c>
      <c r="H399" s="11" t="inlineStr">
        <is>
          <t>Encyclopedia article</t>
        </is>
      </c>
      <c r="I399" s="11" t="inlineStr">
        <is>
          <t>Tamil</t>
        </is>
      </c>
      <c r="J399" s="13" t="inlineStr">
        <is>
          <t>Archaeology / தொல்லியல்</t>
        </is>
      </c>
      <c r="K399" s="13" t="inlineStr">
        <is>
          <t>தொல்லியல்</t>
        </is>
      </c>
      <c r="L399" s="11" t="inlineStr">
        <is>
          <t>Yes</t>
        </is>
      </c>
      <c r="M399" s="13" t="inlineStr">
        <is>
          <t>Date = page creation. Auto-collected 2026-10-14 (wikipedia); review.</t>
        </is>
      </c>
      <c r="N399" s="14" t="inlineStr">
        <is>
          <t>https://ta.wikipedia.org/wiki/%E0%AE%AF%E0%AE%BE%E0%AE%B4%E0%AF%8D%E0%AE%AA%E0%AF%8D%E0%AE%AA%E0%AE%BE%E0%AE%A3_%E0%AE%AE%E0%AE%BE%E0%AE%B5%E0%AE%9F%E0%AF%8D%E0%AE%9F%E0%AE%A4%E0%AF%8D%E0%AE%A4%E0%AE%BF%E0%AE%B2%E0%AF%8D_%E0%AE%A4%E0%AF%8A%E0%AE%B2%E0%AF%8D%E0%AE%B2%E0%AE%BF%E0%AE%AF%E0%AE%B2%E0%AF%8D_%E0%AE%B0%E0%AF%80%E0%AE%A4%E0%AE%BF%E0%AE%AF%E0%AE%BE%E0%AE%95_%E0%AE%AA%E0%AE%BE%E0%AE%A4%E0%AF%81%E0%AE%95%E0%AE%BE%E0%AE%95%E0%AF%8D%E0%AE%95%E0%AE%AA%E0%AF%8D%E0%AE%AA%E0%AE%9F%E0%AF%8D%E0%AE%9F_%E0%AE%A8%E0%AE%BF%E0%AE%A9%E0%AF%88%E0%AE%B5%E0%AF%81%E0%AE%9A%E0%AF%8D_%E0%AE%9A%E0%AE%BF%E0%AE%A9%E0%AF%8D%E0%AE%A9%E0%AE%99%E0%AF%8D%E0%AE%95%E0%AE%B3%E0%AE%BF%E0%AE%A9%E0%AF%8D_%E0%AE%AA%E0%AE%9F%E0%AF%8D%E0%AE%9F%E0%AE%BF%E0%AE%AF%E0%AE%B2%E0%AF%8D</t>
        </is>
      </c>
    </row>
    <row r="400">
      <c r="A400" s="7" t="inlineStr">
        <is>
          <t>ALL-0399</t>
        </is>
      </c>
      <c r="B400" s="7" t="inlineStr">
        <is>
          <t>Web Articles</t>
        </is>
      </c>
      <c r="C400" s="8" t="inlineStr">
        <is>
          <t>2016</t>
        </is>
      </c>
      <c r="D400" s="7" t="inlineStr">
        <is>
          <t>2016-12-31</t>
        </is>
      </c>
      <c r="E400" s="9" t="inlineStr">
        <is>
          <t>கந்தரோடை தொல்லியல் களம்</t>
        </is>
      </c>
      <c r="F400" s="9" t="inlineStr">
        <is>
          <t>Wikipedia contributors</t>
        </is>
      </c>
      <c r="G400" s="9" t="inlineStr">
        <is>
          <t>Wikipedia (ta)</t>
        </is>
      </c>
      <c r="H400" s="7" t="inlineStr">
        <is>
          <t>Encyclopedia article</t>
        </is>
      </c>
      <c r="I400" s="7" t="inlineStr">
        <is>
          <t>Tamil</t>
        </is>
      </c>
      <c r="J400" s="9" t="inlineStr">
        <is>
          <t>Archaeology / தொல்லியல்</t>
        </is>
      </c>
      <c r="K400" s="9" t="inlineStr">
        <is>
          <t>தொல்லியல்</t>
        </is>
      </c>
      <c r="L400" s="7" t="inlineStr">
        <is>
          <t>Yes</t>
        </is>
      </c>
      <c r="M400" s="9" t="inlineStr">
        <is>
          <t>Date = page creation. Auto-collected 2026-10-14 (wikipedia); review.</t>
        </is>
      </c>
      <c r="N400" s="10" t="inlineStr">
        <is>
          <t>https://ta.wikipedia.org/wiki/%E0%AE%95%E0%AE%A8%E0%AF%8D%E0%AE%A4%E0%AE%B0%E0%AF%8B%E0%AE%9F%E0%AF%88_%E0%AE%A4%E0%AF%8A%E0%AE%B2%E0%AF%8D%E0%AE%B2%E0%AE%BF%E0%AE%AF%E0%AE%B2%E0%AF%8D_%E0%AE%95%E0%AE%B3%E0%AE%AE%E0%AF%8D</t>
        </is>
      </c>
    </row>
    <row r="401">
      <c r="A401" s="11" t="inlineStr">
        <is>
          <t>ALL-0400</t>
        </is>
      </c>
      <c r="B401" s="11" t="inlineStr">
        <is>
          <t>Web Articles</t>
        </is>
      </c>
      <c r="C401" s="12" t="inlineStr">
        <is>
          <t>2015</t>
        </is>
      </c>
      <c r="D401" s="11" t="inlineStr">
        <is>
          <t>2015-02-22</t>
        </is>
      </c>
      <c r="E401" s="13" t="inlineStr">
        <is>
          <t>ஆ. வேலுப்பிள்ளை</t>
        </is>
      </c>
      <c r="F401" s="13" t="inlineStr">
        <is>
          <t>Wikipedia contributors</t>
        </is>
      </c>
      <c r="G401" s="13" t="inlineStr">
        <is>
          <t>Wikipedia (ta)</t>
        </is>
      </c>
      <c r="H401" s="11" t="inlineStr">
        <is>
          <t>Encyclopedia article</t>
        </is>
      </c>
      <c r="I401" s="11" t="inlineStr">
        <is>
          <t>Tamil</t>
        </is>
      </c>
      <c r="J401" s="13" t="n"/>
      <c r="K401" s="13" t="n"/>
      <c r="L401" s="11" t="inlineStr">
        <is>
          <t>Yes</t>
        </is>
      </c>
      <c r="M401" s="13" t="inlineStr">
        <is>
          <t>Date = page creation. Auto-collected 2026-10-14 (wikipedia); review.</t>
        </is>
      </c>
      <c r="N401" s="14" t="inlineStr">
        <is>
          <t>https://ta.wikipedia.org/wiki/%E0%AE%86._%E0%AE%B5%E0%AF%87%E0%AE%B2%E0%AF%81%E0%AE%AA%E0%AF%8D%E0%AE%AA%E0%AE%BF%E0%AE%B3%E0%AF%8D%E0%AE%B3%E0%AF%88</t>
        </is>
      </c>
    </row>
    <row r="402">
      <c r="A402" s="7" t="inlineStr">
        <is>
          <t>ALL-0401</t>
        </is>
      </c>
      <c r="B402" s="7" t="inlineStr">
        <is>
          <t>Web Articles</t>
        </is>
      </c>
      <c r="C402" s="8" t="inlineStr">
        <is>
          <t>2015</t>
        </is>
      </c>
      <c r="D402" s="7" t="inlineStr">
        <is>
          <t>2015-07-17</t>
        </is>
      </c>
      <c r="E402" s="9" t="inlineStr">
        <is>
          <t>வெஸ்ஸகிரிய</t>
        </is>
      </c>
      <c r="F402" s="9" t="inlineStr">
        <is>
          <t>Wikipedia contributors</t>
        </is>
      </c>
      <c r="G402" s="9" t="inlineStr">
        <is>
          <t>Wikipedia (ta)</t>
        </is>
      </c>
      <c r="H402" s="7" t="inlineStr">
        <is>
          <t>Encyclopedia article</t>
        </is>
      </c>
      <c r="I402" s="7" t="inlineStr">
        <is>
          <t>Tamil</t>
        </is>
      </c>
      <c r="J402" s="9" t="n"/>
      <c r="K402" s="9" t="n"/>
      <c r="L402" s="7" t="inlineStr">
        <is>
          <t>Yes</t>
        </is>
      </c>
      <c r="M402" s="9" t="inlineStr">
        <is>
          <t>Date = page creation. Auto-collected 2026-10-14 (wikipedia); review.</t>
        </is>
      </c>
      <c r="N402" s="10" t="inlineStr">
        <is>
          <t>https://ta.wikipedia.org/wiki/%E0%AE%B5%E0%AF%86%E0%AE%B8%E0%AF%8D%E0%AE%B8%E0%AE%95%E0%AE%BF%E0%AE%B0%E0%AE%BF%E0%AE%AF</t>
        </is>
      </c>
    </row>
    <row r="403">
      <c r="A403" s="11" t="inlineStr">
        <is>
          <t>ALL-0402</t>
        </is>
      </c>
      <c r="B403" s="11" t="inlineStr">
        <is>
          <t>Web Articles</t>
        </is>
      </c>
      <c r="C403" s="12" t="inlineStr">
        <is>
          <t>2015</t>
        </is>
      </c>
      <c r="D403" s="11" t="inlineStr">
        <is>
          <t>2015-07-19</t>
        </is>
      </c>
      <c r="E403" s="13" t="inlineStr">
        <is>
          <t>அனுராதபுரம் அருங்காட்சியகம்</t>
        </is>
      </c>
      <c r="F403" s="13" t="inlineStr">
        <is>
          <t>Wikipedia contributors</t>
        </is>
      </c>
      <c r="G403" s="13" t="inlineStr">
        <is>
          <t>Wikipedia (ta)</t>
        </is>
      </c>
      <c r="H403" s="11" t="inlineStr">
        <is>
          <t>Encyclopedia article</t>
        </is>
      </c>
      <c r="I403" s="11" t="inlineStr">
        <is>
          <t>Tamil</t>
        </is>
      </c>
      <c r="J403" s="13" t="n"/>
      <c r="K403" s="13" t="n"/>
      <c r="L403" s="11" t="inlineStr">
        <is>
          <t>Yes</t>
        </is>
      </c>
      <c r="M403" s="13" t="inlineStr">
        <is>
          <t>Date = page creation. Auto-collected 2026-10-14 (wikipedia); review.</t>
        </is>
      </c>
      <c r="N403" s="14" t="inlineStr">
        <is>
          <t>https://ta.wikipedia.org/wiki/%E0%AE%85%E0%AE%A9%E0%AF%81%E0%AE%B0%E0%AE%BE%E0%AE%A4%E0%AE%AA%E0%AF%81%E0%AE%B0%E0%AE%AE%E0%AF%8D_%E0%AE%85%E0%AE%B0%E0%AF%81%E0%AE%99%E0%AF%8D%E0%AE%95%E0%AE%BE%E0%AE%9F%E0%AF%8D%E0%AE%9A%E0%AE%BF%E0%AE%AF%E0%AE%95%E0%AE%AE%E0%AF%8D</t>
        </is>
      </c>
    </row>
    <row r="404">
      <c r="A404" s="7" t="inlineStr">
        <is>
          <t>ALL-0403</t>
        </is>
      </c>
      <c r="B404" s="7" t="inlineStr">
        <is>
          <t>Web Articles</t>
        </is>
      </c>
      <c r="C404" s="8" t="inlineStr">
        <is>
          <t>2015</t>
        </is>
      </c>
      <c r="D404" s="7" t="inlineStr">
        <is>
          <t>2015-07-19</t>
        </is>
      </c>
      <c r="E404" s="9" t="inlineStr">
        <is>
          <t>சேனரத் பரணவிதான</t>
        </is>
      </c>
      <c r="F404" s="9" t="inlineStr">
        <is>
          <t>Wikipedia contributors</t>
        </is>
      </c>
      <c r="G404" s="9" t="inlineStr">
        <is>
          <t>Wikipedia (ta)</t>
        </is>
      </c>
      <c r="H404" s="7" t="inlineStr">
        <is>
          <t>Encyclopedia article</t>
        </is>
      </c>
      <c r="I404" s="7" t="inlineStr">
        <is>
          <t>Tamil</t>
        </is>
      </c>
      <c r="J404" s="9" t="n"/>
      <c r="K404" s="9" t="n"/>
      <c r="L404" s="7" t="inlineStr">
        <is>
          <t>Yes</t>
        </is>
      </c>
      <c r="M404" s="9" t="inlineStr">
        <is>
          <t>Date = page creation. Auto-collected 2026-10-14 (wikipedia); review.</t>
        </is>
      </c>
      <c r="N404" s="10" t="inlineStr">
        <is>
          <t>https://ta.wikipedia.org/wiki/%E0%AE%9A%E0%AF%87%E0%AE%A9%E0%AE%B0%E0%AE%A4%E0%AF%8D_%E0%AE%AA%E0%AE%B0%E0%AE%A3%E0%AE%B5%E0%AE%BF%E0%AE%A4%E0%AE%BE%E0%AE%A9</t>
        </is>
      </c>
    </row>
    <row r="405">
      <c r="A405" s="11" t="inlineStr">
        <is>
          <t>ALL-0404</t>
        </is>
      </c>
      <c r="B405" s="11" t="inlineStr">
        <is>
          <t>Web Articles</t>
        </is>
      </c>
      <c r="C405" s="12" t="inlineStr">
        <is>
          <t>2015</t>
        </is>
      </c>
      <c r="D405" s="11" t="inlineStr">
        <is>
          <t>2015-07-19</t>
        </is>
      </c>
      <c r="E405" s="13" t="inlineStr">
        <is>
          <t>தொல்பொருள் காட்சிச்சாலை, வவுனியா</t>
        </is>
      </c>
      <c r="F405" s="13" t="inlineStr">
        <is>
          <t>Wikipedia contributors</t>
        </is>
      </c>
      <c r="G405" s="13" t="inlineStr">
        <is>
          <t>Wikipedia (ta)</t>
        </is>
      </c>
      <c r="H405" s="11" t="inlineStr">
        <is>
          <t>Encyclopedia article</t>
        </is>
      </c>
      <c r="I405" s="11" t="inlineStr">
        <is>
          <t>Tamil</t>
        </is>
      </c>
      <c r="J405" s="13" t="inlineStr">
        <is>
          <t>Archaeology / தொல்லியல்</t>
        </is>
      </c>
      <c r="K405" s="13" t="inlineStr">
        <is>
          <t>தொல்பொருள்</t>
        </is>
      </c>
      <c r="L405" s="11" t="inlineStr">
        <is>
          <t>Yes</t>
        </is>
      </c>
      <c r="M405" s="13" t="inlineStr">
        <is>
          <t>Date = page creation. Auto-collected 2026-10-14 (wikipedia); review.</t>
        </is>
      </c>
      <c r="N405" s="14" t="inlineStr">
        <is>
          <t>https://ta.wikipedia.org/wiki/%E0%AE%A4%E0%AF%8A%E0%AE%B2%E0%AF%8D%E0%AE%AA%E0%AF%8A%E0%AE%B0%E0%AF%81%E0%AE%B3%E0%AF%8D_%E0%AE%95%E0%AE%BE%E0%AE%9F%E0%AF%8D%E0%AE%9A%E0%AE%BF%E0%AE%9A%E0%AF%8D%E0%AE%9A%E0%AE%BE%E0%AE%B2%E0%AF%88%2C_%E0%AE%B5%E0%AE%B5%E0%AF%81%E0%AE%A9%E0%AE%BF%E0%AE%AF%E0%AE%BE</t>
        </is>
      </c>
    </row>
    <row r="406">
      <c r="A406" s="7" t="inlineStr">
        <is>
          <t>ALL-0405</t>
        </is>
      </c>
      <c r="B406" s="7" t="inlineStr">
        <is>
          <t>Web Articles</t>
        </is>
      </c>
      <c r="C406" s="8" t="inlineStr">
        <is>
          <t>2015</t>
        </is>
      </c>
      <c r="D406" s="7" t="inlineStr">
        <is>
          <t>2015-07-23</t>
        </is>
      </c>
      <c r="E406" s="9" t="inlineStr">
        <is>
          <t>சிரான் உபேந்திர தெரணியகல</t>
        </is>
      </c>
      <c r="F406" s="9" t="inlineStr">
        <is>
          <t>Wikipedia contributors</t>
        </is>
      </c>
      <c r="G406" s="9" t="inlineStr">
        <is>
          <t>Wikipedia (ta)</t>
        </is>
      </c>
      <c r="H406" s="7" t="inlineStr">
        <is>
          <t>Encyclopedia article</t>
        </is>
      </c>
      <c r="I406" s="7" t="inlineStr">
        <is>
          <t>Tamil</t>
        </is>
      </c>
      <c r="J406" s="9" t="n"/>
      <c r="K406" s="9" t="n"/>
      <c r="L406" s="7" t="inlineStr">
        <is>
          <t>Yes</t>
        </is>
      </c>
      <c r="M406" s="9" t="inlineStr">
        <is>
          <t>Date = page creation. Auto-collected 2026-10-14 (wikipedia); review.</t>
        </is>
      </c>
      <c r="N406" s="10" t="inlineStr">
        <is>
          <t>https://ta.wikipedia.org/wiki/%E0%AE%9A%E0%AE%BF%E0%AE%B0%E0%AE%BE%E0%AE%A9%E0%AF%8D_%E0%AE%89%E0%AE%AA%E0%AF%87%E0%AE%A8%E0%AF%8D%E0%AE%A4%E0%AE%BF%E0%AE%B0_%E0%AE%A4%E0%AF%86%E0%AE%B0%E0%AE%A3%E0%AE%BF%E0%AE%AF%E0%AE%95%E0%AE%B2</t>
        </is>
      </c>
    </row>
    <row r="407">
      <c r="A407" s="11" t="inlineStr">
        <is>
          <t>ALL-0406</t>
        </is>
      </c>
      <c r="B407" s="11" t="inlineStr">
        <is>
          <t>Web Articles</t>
        </is>
      </c>
      <c r="C407" s="12" t="inlineStr">
        <is>
          <t>2015</t>
        </is>
      </c>
      <c r="D407" s="11" t="inlineStr">
        <is>
          <t>2015-07-24</t>
        </is>
      </c>
      <c r="E407" s="13" t="inlineStr">
        <is>
          <t>தொல்பொருளியல் திணைக்களம், இலங்கை</t>
        </is>
      </c>
      <c r="F407" s="13" t="inlineStr">
        <is>
          <t>Wikipedia contributors</t>
        </is>
      </c>
      <c r="G407" s="13" t="inlineStr">
        <is>
          <t>Wikipedia (ta)</t>
        </is>
      </c>
      <c r="H407" s="11" t="inlineStr">
        <is>
          <t>Encyclopedia article</t>
        </is>
      </c>
      <c r="I407" s="11" t="inlineStr">
        <is>
          <t>Tamil</t>
        </is>
      </c>
      <c r="J407" s="13" t="n"/>
      <c r="K407" s="13" t="n"/>
      <c r="L407" s="11" t="inlineStr">
        <is>
          <t>Yes</t>
        </is>
      </c>
      <c r="M407" s="13" t="inlineStr">
        <is>
          <t>Date = page creation. Auto-collected 2026-10-14 (wikipedia); review.</t>
        </is>
      </c>
      <c r="N407" s="14" t="inlineStr">
        <is>
          <t>https://ta.wikipedia.org/wiki/%E0%AE%A4%E0%AF%8A%E0%AE%B2%E0%AF%8D%E0%AE%AA%E0%AF%8A%E0%AE%B0%E0%AF%81%E0%AE%B3%E0%AE%BF%E0%AE%AF%E0%AE%B2%E0%AF%8D_%E0%AE%A4%E0%AE%BF%E0%AE%A3%E0%AF%88%E0%AE%95%E0%AF%8D%E0%AE%95%E0%AE%B3%E0%AE%AE%E0%AF%8D%2C_%E0%AE%87%E0%AE%B2%E0%AE%99%E0%AF%8D%E0%AE%95%E0%AF%88</t>
        </is>
      </c>
    </row>
    <row r="408">
      <c r="A408" s="7" t="inlineStr">
        <is>
          <t>ALL-0407</t>
        </is>
      </c>
      <c r="B408" s="7" t="inlineStr">
        <is>
          <t>Web Articles</t>
        </is>
      </c>
      <c r="C408" s="8" t="inlineStr">
        <is>
          <t>2015</t>
        </is>
      </c>
      <c r="D408" s="7" t="inlineStr">
        <is>
          <t>2015-10-07</t>
        </is>
      </c>
      <c r="E408" s="9" t="inlineStr">
        <is>
          <t>அபயகிரித் தமிழ்க் கல்வெட்டு</t>
        </is>
      </c>
      <c r="F408" s="9" t="inlineStr">
        <is>
          <t>Wikipedia contributors</t>
        </is>
      </c>
      <c r="G408" s="9" t="inlineStr">
        <is>
          <t>Wikipedia (ta)</t>
        </is>
      </c>
      <c r="H408" s="7" t="inlineStr">
        <is>
          <t>Encyclopedia article</t>
        </is>
      </c>
      <c r="I408" s="7" t="inlineStr">
        <is>
          <t>Tamil</t>
        </is>
      </c>
      <c r="J408" s="9" t="inlineStr">
        <is>
          <t>Inscriptions / கல்வெட்டு</t>
        </is>
      </c>
      <c r="K408" s="9" t="inlineStr">
        <is>
          <t>கல்வெட்டு</t>
        </is>
      </c>
      <c r="L408" s="7" t="inlineStr">
        <is>
          <t>Yes</t>
        </is>
      </c>
      <c r="M408" s="9" t="inlineStr">
        <is>
          <t>Date = page creation. Auto-collected 2026-10-14 (wikipedia); review.</t>
        </is>
      </c>
      <c r="N408" s="10" t="inlineStr">
        <is>
          <t>https://ta.wikipedia.org/wiki/%E0%AE%85%E0%AE%AA%E0%AE%AF%E0%AE%95%E0%AE%BF%E0%AE%B0%E0%AE%BF%E0%AE%A4%E0%AF%8D_%E0%AE%A4%E0%AE%AE%E0%AE%BF%E0%AE%B4%E0%AF%8D%E0%AE%95%E0%AF%8D_%E0%AE%95%E0%AE%B2%E0%AF%8D%E0%AE%B5%E0%AF%86%E0%AE%9F%E0%AF%8D%E0%AE%9F%E0%AF%81</t>
        </is>
      </c>
    </row>
    <row r="409">
      <c r="A409" s="11" t="inlineStr">
        <is>
          <t>ALL-0408</t>
        </is>
      </c>
      <c r="B409" s="11" t="inlineStr">
        <is>
          <t>Web Articles</t>
        </is>
      </c>
      <c r="C409" s="12" t="inlineStr">
        <is>
          <t>2015</t>
        </is>
      </c>
      <c r="D409" s="11" t="inlineStr">
        <is>
          <t>2015-10-07</t>
        </is>
      </c>
      <c r="E409" s="13" t="inlineStr">
        <is>
          <t>இலங்கைத் தமிழ்க் கல்வெட்டுக்களின் பட்டியல்</t>
        </is>
      </c>
      <c r="F409" s="13" t="inlineStr">
        <is>
          <t>Wikipedia contributors</t>
        </is>
      </c>
      <c r="G409" s="13" t="inlineStr">
        <is>
          <t>Wikipedia (ta)</t>
        </is>
      </c>
      <c r="H409" s="11" t="inlineStr">
        <is>
          <t>Encyclopedia article</t>
        </is>
      </c>
      <c r="I409" s="11" t="inlineStr">
        <is>
          <t>Tamil</t>
        </is>
      </c>
      <c r="J409" s="13" t="inlineStr">
        <is>
          <t>Inscriptions / கல்வெட்டு</t>
        </is>
      </c>
      <c r="K409" s="13" t="inlineStr">
        <is>
          <t>கல்வெட்டு</t>
        </is>
      </c>
      <c r="L409" s="11" t="inlineStr">
        <is>
          <t>Yes</t>
        </is>
      </c>
      <c r="M409" s="13" t="inlineStr">
        <is>
          <t>Date = page creation. Auto-collected 2026-10-14 (wikipedia); review.</t>
        </is>
      </c>
      <c r="N409" s="14" t="inlineStr">
        <is>
          <t>https://ta.wikipedia.org/wiki/%E0%AE%87%E0%AE%B2%E0%AE%99%E0%AF%8D%E0%AE%95%E0%AF%88%E0%AE%A4%E0%AF%8D_%E0%AE%A4%E0%AE%AE%E0%AE%BF%E0%AE%B4%E0%AF%8D%E0%AE%95%E0%AF%8D_%E0%AE%95%E0%AE%B2%E0%AF%8D%E0%AE%B5%E0%AF%86%E0%AE%9F%E0%AF%8D%E0%AE%9F%E0%AF%81%E0%AE%95%E0%AF%8D%E0%AE%95%E0%AE%B3%E0%AE%BF%E0%AE%A9%E0%AF%8D_%E0%AE%AA%E0%AE%9F%E0%AF%8D%E0%AE%9F%E0%AE%BF%E0%AE%AF%E0%AE%B2%E0%AF%8D</t>
        </is>
      </c>
    </row>
    <row r="410">
      <c r="A410" s="7" t="inlineStr">
        <is>
          <t>ALL-0409</t>
        </is>
      </c>
      <c r="B410" s="7" t="inlineStr">
        <is>
          <t>Web Articles</t>
        </is>
      </c>
      <c r="C410" s="8" t="inlineStr">
        <is>
          <t>2015</t>
        </is>
      </c>
      <c r="D410" s="7" t="inlineStr">
        <is>
          <t>2015-10-09</t>
        </is>
      </c>
      <c r="E410" s="9" t="inlineStr">
        <is>
          <t>அனுராதபுரம் குமாரகணத்துப் பேரூரார் கல்வெட்டுக்கள்</t>
        </is>
      </c>
      <c r="F410" s="9" t="inlineStr">
        <is>
          <t>Wikipedia contributors</t>
        </is>
      </c>
      <c r="G410" s="9" t="inlineStr">
        <is>
          <t>Wikipedia (ta)</t>
        </is>
      </c>
      <c r="H410" s="7" t="inlineStr">
        <is>
          <t>Encyclopedia article</t>
        </is>
      </c>
      <c r="I410" s="7" t="inlineStr">
        <is>
          <t>Tamil</t>
        </is>
      </c>
      <c r="J410" s="9" t="inlineStr">
        <is>
          <t>Inscriptions / கல்வெட்டு</t>
        </is>
      </c>
      <c r="K410" s="9" t="inlineStr">
        <is>
          <t>கல்வெட்டு; கல்வெட்டுக்கள்</t>
        </is>
      </c>
      <c r="L410" s="7" t="inlineStr">
        <is>
          <t>Yes</t>
        </is>
      </c>
      <c r="M410" s="9" t="inlineStr">
        <is>
          <t>Date = page creation. Auto-collected 2026-10-14 (wikipedia); review.</t>
        </is>
      </c>
      <c r="N410" s="10" t="inlineStr">
        <is>
          <t>https://ta.wikipedia.org/wiki/%E0%AE%85%E0%AE%A9%E0%AF%81%E0%AE%B0%E0%AE%BE%E0%AE%A4%E0%AE%AA%E0%AF%81%E0%AE%B0%E0%AE%AE%E0%AF%8D_%E0%AE%95%E0%AF%81%E0%AE%AE%E0%AE%BE%E0%AE%B0%E0%AE%95%E0%AE%A3%E0%AE%A4%E0%AF%8D%E0%AE%A4%E0%AF%81%E0%AE%AA%E0%AF%8D_%E0%AE%AA%E0%AF%87%E0%AE%B0%E0%AF%82%E0%AE%B0%E0%AE%BE%E0%AE%B0%E0%AF%8D_%E0%AE%95%E0%AE%B2%E0%AF%8D%E0%AE%B5%E0%AF%86%E0%AE%9F%E0%AF%8D%E0%AE%9F%E0%AF%81%E0%AE%95%E0%AF%8D%E0%AE%95%E0%AE%B3%E0%AF%8D</t>
        </is>
      </c>
    </row>
    <row r="411">
      <c r="A411" s="11" t="inlineStr">
        <is>
          <t>ALL-0410</t>
        </is>
      </c>
      <c r="B411" s="11" t="inlineStr">
        <is>
          <t>Web Articles</t>
        </is>
      </c>
      <c r="C411" s="12" t="inlineStr">
        <is>
          <t>2015</t>
        </is>
      </c>
      <c r="D411" s="11" t="inlineStr">
        <is>
          <t>2015-10-10</t>
        </is>
      </c>
      <c r="E411" s="13" t="inlineStr">
        <is>
          <t>தாழிகுமாரன் கல்வெட்டு (மாதோட்டம்)</t>
        </is>
      </c>
      <c r="F411" s="13" t="inlineStr">
        <is>
          <t>Wikipedia contributors</t>
        </is>
      </c>
      <c r="G411" s="13" t="inlineStr">
        <is>
          <t>Wikipedia (ta)</t>
        </is>
      </c>
      <c r="H411" s="11" t="inlineStr">
        <is>
          <t>Encyclopedia article</t>
        </is>
      </c>
      <c r="I411" s="11" t="inlineStr">
        <is>
          <t>Tamil</t>
        </is>
      </c>
      <c r="J411" s="13" t="inlineStr">
        <is>
          <t>Inscriptions / கல்வெட்டு</t>
        </is>
      </c>
      <c r="K411" s="13" t="inlineStr">
        <is>
          <t>கல்வெட்டு</t>
        </is>
      </c>
      <c r="L411" s="11" t="inlineStr">
        <is>
          <t>Yes</t>
        </is>
      </c>
      <c r="M411" s="13" t="inlineStr">
        <is>
          <t>Date = page creation. Auto-collected 2026-10-14 (wikipedia); review.</t>
        </is>
      </c>
      <c r="N411" s="14" t="inlineStr">
        <is>
          <t>https://ta.wikipedia.org/wiki/%E0%AE%A4%E0%AE%BE%E0%AE%B4%E0%AE%BF%E0%AE%95%E0%AF%81%E0%AE%AE%E0%AE%BE%E0%AE%B0%E0%AE%A9%E0%AF%8D_%E0%AE%95%E0%AE%B2%E0%AF%8D%E0%AE%B5%E0%AF%86%E0%AE%9F%E0%AF%8D%E0%AE%9F%E0%AF%81_%28%E0%AE%AE%E0%AE%BE%E0%AE%A4%E0%AF%8B%E0%AE%9F%E0%AF%8D%E0%AE%9F%E0%AE%AE%E0%AF%8D%29</t>
        </is>
      </c>
    </row>
    <row r="412">
      <c r="A412" s="7" t="inlineStr">
        <is>
          <t>ALL-0411</t>
        </is>
      </c>
      <c r="B412" s="7" t="inlineStr">
        <is>
          <t>Web Articles</t>
        </is>
      </c>
      <c r="C412" s="8" t="inlineStr">
        <is>
          <t>2015</t>
        </is>
      </c>
      <c r="D412" s="7" t="inlineStr">
        <is>
          <t>2015-10-10</t>
        </is>
      </c>
      <c r="E412" s="9" t="inlineStr">
        <is>
          <t>பளமோட்டைக் கல்வெட்டு</t>
        </is>
      </c>
      <c r="F412" s="9" t="inlineStr">
        <is>
          <t>Wikipedia contributors</t>
        </is>
      </c>
      <c r="G412" s="9" t="inlineStr">
        <is>
          <t>Wikipedia (ta)</t>
        </is>
      </c>
      <c r="H412" s="7" t="inlineStr">
        <is>
          <t>Encyclopedia article</t>
        </is>
      </c>
      <c r="I412" s="7" t="inlineStr">
        <is>
          <t>Tamil</t>
        </is>
      </c>
      <c r="J412" s="9" t="inlineStr">
        <is>
          <t>Inscriptions / கல்வெட்டு</t>
        </is>
      </c>
      <c r="K412" s="9" t="inlineStr">
        <is>
          <t>கல்வெட்டு</t>
        </is>
      </c>
      <c r="L412" s="7" t="inlineStr">
        <is>
          <t>Yes</t>
        </is>
      </c>
      <c r="M412" s="9" t="inlineStr">
        <is>
          <t>Date = page creation. Auto-collected 2026-10-14 (wikipedia); review.</t>
        </is>
      </c>
      <c r="N412" s="10" t="inlineStr">
        <is>
          <t>https://ta.wikipedia.org/wiki/%E0%AE%AA%E0%AE%B3%E0%AE%AE%E0%AF%8B%E0%AE%9F%E0%AF%8D%E0%AE%9F%E0%AF%88%E0%AE%95%E0%AF%8D_%E0%AE%95%E0%AE%B2%E0%AF%8D%E0%AE%B5%E0%AF%86%E0%AE%9F%E0%AF%8D%E0%AE%9F%E0%AF%81</t>
        </is>
      </c>
    </row>
    <row r="413">
      <c r="A413" s="11" t="inlineStr">
        <is>
          <t>ALL-0412</t>
        </is>
      </c>
      <c r="B413" s="11" t="inlineStr">
        <is>
          <t>Web Articles</t>
        </is>
      </c>
      <c r="C413" s="12" t="inlineStr">
        <is>
          <t>2015</t>
        </is>
      </c>
      <c r="D413" s="11" t="inlineStr">
        <is>
          <t>2015-10-11</t>
        </is>
      </c>
      <c r="E413" s="13" t="inlineStr">
        <is>
          <t>மானாங்கேணிக் கல்வெட்டு</t>
        </is>
      </c>
      <c r="F413" s="13" t="inlineStr">
        <is>
          <t>Wikipedia contributors</t>
        </is>
      </c>
      <c r="G413" s="13" t="inlineStr">
        <is>
          <t>Wikipedia (ta)</t>
        </is>
      </c>
      <c r="H413" s="11" t="inlineStr">
        <is>
          <t>Encyclopedia article</t>
        </is>
      </c>
      <c r="I413" s="11" t="inlineStr">
        <is>
          <t>Tamil</t>
        </is>
      </c>
      <c r="J413" s="13" t="inlineStr">
        <is>
          <t>Inscriptions / கல்வெட்டு</t>
        </is>
      </c>
      <c r="K413" s="13" t="inlineStr">
        <is>
          <t>கல்வெட்டு</t>
        </is>
      </c>
      <c r="L413" s="11" t="inlineStr">
        <is>
          <t>Yes</t>
        </is>
      </c>
      <c r="M413" s="13" t="inlineStr">
        <is>
          <t>Date = page creation. Auto-collected 2026-10-14 (wikipedia); review.</t>
        </is>
      </c>
      <c r="N413" s="14" t="inlineStr">
        <is>
          <t>https://ta.wikipedia.org/wiki/%E0%AE%AE%E0%AE%BE%E0%AE%A9%E0%AE%BE%E0%AE%99%E0%AF%8D%E0%AE%95%E0%AF%87%E0%AE%A3%E0%AE%BF%E0%AE%95%E0%AF%8D_%E0%AE%95%E0%AE%B2%E0%AF%8D%E0%AE%B5%E0%AF%86%E0%AE%9F%E0%AF%8D%E0%AE%9F%E0%AF%81</t>
        </is>
      </c>
    </row>
    <row r="414">
      <c r="A414" s="7" t="inlineStr">
        <is>
          <t>ALL-0413</t>
        </is>
      </c>
      <c r="B414" s="7" t="inlineStr">
        <is>
          <t>Web Articles</t>
        </is>
      </c>
      <c r="C414" s="8" t="inlineStr">
        <is>
          <t>2015</t>
        </is>
      </c>
      <c r="D414" s="7" t="inlineStr">
        <is>
          <t>2015-10-13</t>
        </is>
      </c>
      <c r="E414" s="9" t="inlineStr">
        <is>
          <t>நிலாவெளிக் கல்வெட்டு</t>
        </is>
      </c>
      <c r="F414" s="9" t="inlineStr">
        <is>
          <t>Wikipedia contributors</t>
        </is>
      </c>
      <c r="G414" s="9" t="inlineStr">
        <is>
          <t>Wikipedia (ta)</t>
        </is>
      </c>
      <c r="H414" s="7" t="inlineStr">
        <is>
          <t>Encyclopedia article</t>
        </is>
      </c>
      <c r="I414" s="7" t="inlineStr">
        <is>
          <t>Tamil</t>
        </is>
      </c>
      <c r="J414" s="9" t="inlineStr">
        <is>
          <t>Inscriptions / கல்வெட்டு</t>
        </is>
      </c>
      <c r="K414" s="9" t="inlineStr">
        <is>
          <t>கல்வெட்டு</t>
        </is>
      </c>
      <c r="L414" s="7" t="inlineStr">
        <is>
          <t>Yes</t>
        </is>
      </c>
      <c r="M414" s="9" t="inlineStr">
        <is>
          <t>Date = page creation. Auto-collected 2026-10-14 (wikipedia); review.</t>
        </is>
      </c>
      <c r="N414" s="10" t="inlineStr">
        <is>
          <t>https://ta.wikipedia.org/wiki/%E0%AE%A8%E0%AE%BF%E0%AE%B2%E0%AE%BE%E0%AE%B5%E0%AF%86%E0%AE%B3%E0%AE%BF%E0%AE%95%E0%AF%8D_%E0%AE%95%E0%AE%B2%E0%AF%8D%E0%AE%B5%E0%AF%86%E0%AE%9F%E0%AF%8D%E0%AE%9F%E0%AF%81</t>
        </is>
      </c>
    </row>
    <row r="415">
      <c r="A415" s="11" t="inlineStr">
        <is>
          <t>ALL-0414</t>
        </is>
      </c>
      <c r="B415" s="11" t="inlineStr">
        <is>
          <t>Web Articles</t>
        </is>
      </c>
      <c r="C415" s="12" t="inlineStr">
        <is>
          <t>2015</t>
        </is>
      </c>
      <c r="D415" s="11" t="inlineStr">
        <is>
          <t>2015-10-14</t>
        </is>
      </c>
      <c r="E415" s="13" t="inlineStr">
        <is>
          <t>அதரகுளிய கல்வெட்டு</t>
        </is>
      </c>
      <c r="F415" s="13" t="inlineStr">
        <is>
          <t>Wikipedia contributors</t>
        </is>
      </c>
      <c r="G415" s="13" t="inlineStr">
        <is>
          <t>Wikipedia (ta)</t>
        </is>
      </c>
      <c r="H415" s="11" t="inlineStr">
        <is>
          <t>Encyclopedia article</t>
        </is>
      </c>
      <c r="I415" s="11" t="inlineStr">
        <is>
          <t>Tamil</t>
        </is>
      </c>
      <c r="J415" s="13" t="inlineStr">
        <is>
          <t>Inscriptions / கல்வெட்டு</t>
        </is>
      </c>
      <c r="K415" s="13" t="inlineStr">
        <is>
          <t>கல்வெட்டு</t>
        </is>
      </c>
      <c r="L415" s="11" t="inlineStr">
        <is>
          <t>Yes</t>
        </is>
      </c>
      <c r="M415" s="13" t="inlineStr">
        <is>
          <t>Date = page creation. Auto-collected 2026-10-14 (wikipedia); review.</t>
        </is>
      </c>
      <c r="N415" s="14" t="inlineStr">
        <is>
          <t>https://ta.wikipedia.org/wiki/%E0%AE%85%E0%AE%A4%E0%AE%B0%E0%AE%95%E0%AF%81%E0%AE%B3%E0%AE%BF%E0%AE%AF_%E0%AE%95%E0%AE%B2%E0%AF%8D%E0%AE%B5%E0%AF%86%E0%AE%9F%E0%AF%8D%E0%AE%9F%E0%AF%81</t>
        </is>
      </c>
    </row>
    <row r="416">
      <c r="A416" s="7" t="inlineStr">
        <is>
          <t>ALL-0415</t>
        </is>
      </c>
      <c r="B416" s="7" t="inlineStr">
        <is>
          <t>Web Articles</t>
        </is>
      </c>
      <c r="C416" s="8" t="inlineStr">
        <is>
          <t>2015</t>
        </is>
      </c>
      <c r="D416" s="7" t="inlineStr">
        <is>
          <t>2015-10-14</t>
        </is>
      </c>
      <c r="E416" s="9" t="inlineStr">
        <is>
          <t>ஆதகட கல்வெட்டு</t>
        </is>
      </c>
      <c r="F416" s="9" t="inlineStr">
        <is>
          <t>Wikipedia contributors</t>
        </is>
      </c>
      <c r="G416" s="9" t="inlineStr">
        <is>
          <t>Wikipedia (ta)</t>
        </is>
      </c>
      <c r="H416" s="7" t="inlineStr">
        <is>
          <t>Encyclopedia article</t>
        </is>
      </c>
      <c r="I416" s="7" t="inlineStr">
        <is>
          <t>Tamil</t>
        </is>
      </c>
      <c r="J416" s="9" t="inlineStr">
        <is>
          <t>Inscriptions / கல்வெட்டு</t>
        </is>
      </c>
      <c r="K416" s="9" t="inlineStr">
        <is>
          <t>கல்வெட்டு</t>
        </is>
      </c>
      <c r="L416" s="7" t="inlineStr">
        <is>
          <t>Yes</t>
        </is>
      </c>
      <c r="M416" s="9" t="inlineStr">
        <is>
          <t>Date = page creation. Auto-collected 2026-10-14 (wikipedia); review.</t>
        </is>
      </c>
      <c r="N416" s="10" t="inlineStr">
        <is>
          <t>https://ta.wikipedia.org/wiki/%E0%AE%86%E0%AE%A4%E0%AE%95%E0%AE%9F_%E0%AE%95%E0%AE%B2%E0%AF%8D%E0%AE%B5%E0%AF%86%E0%AE%9F%E0%AF%8D%E0%AE%9F%E0%AF%81</t>
        </is>
      </c>
    </row>
    <row r="417">
      <c r="A417" s="11" t="inlineStr">
        <is>
          <t>ALL-0416</t>
        </is>
      </c>
      <c r="B417" s="11" t="inlineStr">
        <is>
          <t>Web Articles</t>
        </is>
      </c>
      <c r="C417" s="12" t="inlineStr">
        <is>
          <t>2015</t>
        </is>
      </c>
      <c r="D417" s="11" t="inlineStr">
        <is>
          <t>2015-10-15</t>
        </is>
      </c>
      <c r="E417" s="13" t="inlineStr">
        <is>
          <t>சிறுகுளத்தூர் உடையான் கல்வெட்டு</t>
        </is>
      </c>
      <c r="F417" s="13" t="inlineStr">
        <is>
          <t>Wikipedia contributors</t>
        </is>
      </c>
      <c r="G417" s="13" t="inlineStr">
        <is>
          <t>Wikipedia (ta)</t>
        </is>
      </c>
      <c r="H417" s="11" t="inlineStr">
        <is>
          <t>Encyclopedia article</t>
        </is>
      </c>
      <c r="I417" s="11" t="inlineStr">
        <is>
          <t>Tamil</t>
        </is>
      </c>
      <c r="J417" s="13" t="inlineStr">
        <is>
          <t>Inscriptions / கல்வெட்டு</t>
        </is>
      </c>
      <c r="K417" s="13" t="inlineStr">
        <is>
          <t>கல்வெட்டு</t>
        </is>
      </c>
      <c r="L417" s="11" t="inlineStr">
        <is>
          <t>Yes</t>
        </is>
      </c>
      <c r="M417" s="13" t="inlineStr">
        <is>
          <t>Date = page creation. Auto-collected 2026-10-14 (wikipedia); review.</t>
        </is>
      </c>
      <c r="N417" s="14" t="inlineStr">
        <is>
          <t>https://ta.wikipedia.org/wiki/%E0%AE%9A%E0%AE%BF%E0%AE%B1%E0%AF%81%E0%AE%95%E0%AF%81%E0%AE%B3%E0%AE%A4%E0%AF%8D%E0%AE%A4%E0%AF%82%E0%AE%B0%E0%AF%8D_%E0%AE%89%E0%AE%9F%E0%AF%88%E0%AE%AF%E0%AE%BE%E0%AE%A9%E0%AF%8D_%E0%AE%95%E0%AE%B2%E0%AF%8D%E0%AE%B5%E0%AF%86%E0%AE%9F%E0%AF%8D%E0%AE%9F%E0%AF%81</t>
        </is>
      </c>
    </row>
    <row r="418">
      <c r="A418" s="7" t="inlineStr">
        <is>
          <t>ALL-0417</t>
        </is>
      </c>
      <c r="B418" s="7" t="inlineStr">
        <is>
          <t>Web Articles</t>
        </is>
      </c>
      <c r="C418" s="8" t="inlineStr">
        <is>
          <t>2015</t>
        </is>
      </c>
      <c r="D418" s="7" t="inlineStr">
        <is>
          <t>2015-10-15</t>
        </is>
      </c>
      <c r="E418" s="9" t="inlineStr">
        <is>
          <t>பொலநறுவை வேளைக்காரர் கல்வெட்டு</t>
        </is>
      </c>
      <c r="F418" s="9" t="inlineStr">
        <is>
          <t>Wikipedia contributors</t>
        </is>
      </c>
      <c r="G418" s="9" t="inlineStr">
        <is>
          <t>Wikipedia (ta)</t>
        </is>
      </c>
      <c r="H418" s="7" t="inlineStr">
        <is>
          <t>Encyclopedia article</t>
        </is>
      </c>
      <c r="I418" s="7" t="inlineStr">
        <is>
          <t>Tamil</t>
        </is>
      </c>
      <c r="J418" s="9" t="inlineStr">
        <is>
          <t>Inscriptions / கல்வெட்டு</t>
        </is>
      </c>
      <c r="K418" s="9" t="inlineStr">
        <is>
          <t>கல்வெட்டு</t>
        </is>
      </c>
      <c r="L418" s="7" t="inlineStr">
        <is>
          <t>Yes</t>
        </is>
      </c>
      <c r="M418" s="9" t="inlineStr">
        <is>
          <t>Date = page creation. Auto-collected 2026-10-14 (wikipedia); review.</t>
        </is>
      </c>
      <c r="N418" s="10" t="inlineStr">
        <is>
          <t>https://ta.wikipedia.org/wiki/%E0%AE%AA%E0%AF%8A%E0%AE%B2%E0%AE%A8%E0%AE%B1%E0%AF%81%E0%AE%B5%E0%AF%88_%E0%AE%B5%E0%AF%87%E0%AE%B3%E0%AF%88%E0%AE%95%E0%AF%8D%E0%AE%95%E0%AE%BE%E0%AE%B0%E0%AE%B0%E0%AF%8D_%E0%AE%95%E0%AE%B2%E0%AF%8D%E0%AE%B5%E0%AF%86%E0%AE%9F%E0%AF%8D%E0%AE%9F%E0%AF%81</t>
        </is>
      </c>
    </row>
    <row r="419">
      <c r="A419" s="11" t="inlineStr">
        <is>
          <t>ALL-0418</t>
        </is>
      </c>
      <c r="B419" s="11" t="inlineStr">
        <is>
          <t>Web Articles</t>
        </is>
      </c>
      <c r="C419" s="12" t="inlineStr">
        <is>
          <t>2015</t>
        </is>
      </c>
      <c r="D419" s="11" t="inlineStr">
        <is>
          <t>2015-10-15</t>
        </is>
      </c>
      <c r="E419" s="13" t="inlineStr">
        <is>
          <t>மயிலன் குளம் வேளைக்காரர் கல்வெட்டு</t>
        </is>
      </c>
      <c r="F419" s="13" t="inlineStr">
        <is>
          <t>Wikipedia contributors</t>
        </is>
      </c>
      <c r="G419" s="13" t="inlineStr">
        <is>
          <t>Wikipedia (ta)</t>
        </is>
      </c>
      <c r="H419" s="11" t="inlineStr">
        <is>
          <t>Encyclopedia article</t>
        </is>
      </c>
      <c r="I419" s="11" t="inlineStr">
        <is>
          <t>Tamil</t>
        </is>
      </c>
      <c r="J419" s="13" t="inlineStr">
        <is>
          <t>Inscriptions / கல்வெட்டு</t>
        </is>
      </c>
      <c r="K419" s="13" t="inlineStr">
        <is>
          <t>கல்வெட்டு</t>
        </is>
      </c>
      <c r="L419" s="11" t="inlineStr">
        <is>
          <t>Yes</t>
        </is>
      </c>
      <c r="M419" s="13" t="inlineStr">
        <is>
          <t>Date = page creation. Auto-collected 2026-10-14 (wikipedia); review.</t>
        </is>
      </c>
      <c r="N419" s="14" t="inlineStr">
        <is>
          <t>https://ta.wikipedia.org/wiki/%E0%AE%AE%E0%AE%AF%E0%AE%BF%E0%AE%B2%E0%AE%A9%E0%AF%8D_%E0%AE%95%E0%AF%81%E0%AE%B3%E0%AE%AE%E0%AF%8D_%E0%AE%B5%E0%AF%87%E0%AE%B3%E0%AF%88%E0%AE%95%E0%AF%8D%E0%AE%95%E0%AE%BE%E0%AE%B0%E0%AE%B0%E0%AF%8D_%E0%AE%95%E0%AE%B2%E0%AF%8D%E0%AE%B5%E0%AF%86%E0%AE%9F%E0%AF%8D%E0%AE%9F%E0%AF%81</t>
        </is>
      </c>
    </row>
    <row r="420">
      <c r="A420" s="7" t="inlineStr">
        <is>
          <t>ALL-0419</t>
        </is>
      </c>
      <c r="B420" s="7" t="inlineStr">
        <is>
          <t>Web Articles</t>
        </is>
      </c>
      <c r="C420" s="8" t="inlineStr">
        <is>
          <t>2015</t>
        </is>
      </c>
      <c r="D420" s="7" t="inlineStr">
        <is>
          <t>2015-11-29</t>
        </is>
      </c>
      <c r="E420" s="9" t="inlineStr">
        <is>
          <t>Department of Archaeology (Sri Lanka)</t>
        </is>
      </c>
      <c r="F420" s="9" t="inlineStr">
        <is>
          <t>Wikipedia contributors</t>
        </is>
      </c>
      <c r="G420" s="9" t="inlineStr">
        <is>
          <t>Wikipedia (en)</t>
        </is>
      </c>
      <c r="H420" s="7" t="inlineStr">
        <is>
          <t>Encyclopedia article</t>
        </is>
      </c>
      <c r="I420" s="7" t="inlineStr">
        <is>
          <t>English</t>
        </is>
      </c>
      <c r="J420" s="9" t="inlineStr">
        <is>
          <t>Archaeology / தொல்லியல்</t>
        </is>
      </c>
      <c r="K420" s="9" t="inlineStr">
        <is>
          <t>archaeology</t>
        </is>
      </c>
      <c r="L420" s="7" t="inlineStr">
        <is>
          <t>Yes</t>
        </is>
      </c>
      <c r="M420" s="9" t="inlineStr">
        <is>
          <t>Date = page creation. Auto-collected 2026-10-14 (wikipedia); review.</t>
        </is>
      </c>
      <c r="N420" s="10" t="inlineStr">
        <is>
          <t>https://en.wikipedia.org/wiki/Department_of_Archaeology_%28Sri_Lanka%29</t>
        </is>
      </c>
    </row>
    <row r="421">
      <c r="A421" s="11" t="inlineStr">
        <is>
          <t>ALL-0420</t>
        </is>
      </c>
      <c r="B421" s="11" t="inlineStr">
        <is>
          <t>Web Articles</t>
        </is>
      </c>
      <c r="C421" s="12" t="inlineStr">
        <is>
          <t>2014</t>
        </is>
      </c>
      <c r="D421" s="11" t="inlineStr">
        <is>
          <t>2014-01-12</t>
        </is>
      </c>
      <c r="E421" s="13" t="inlineStr">
        <is>
          <t>Megalithic graffiti symbols</t>
        </is>
      </c>
      <c r="F421" s="13" t="inlineStr">
        <is>
          <t>Wikipedia contributors</t>
        </is>
      </c>
      <c r="G421" s="13" t="inlineStr">
        <is>
          <t>Wikipedia (en)</t>
        </is>
      </c>
      <c r="H421" s="11" t="inlineStr">
        <is>
          <t>Encyclopedia article</t>
        </is>
      </c>
      <c r="I421" s="11" t="inlineStr">
        <is>
          <t>English</t>
        </is>
      </c>
      <c r="J421" s="13" t="inlineStr">
        <is>
          <t>Brahmi / பிராமி; Archaeology / தொல்லியல்</t>
        </is>
      </c>
      <c r="K421" s="13" t="inlineStr">
        <is>
          <t>megalithic</t>
        </is>
      </c>
      <c r="L421" s="11" t="inlineStr">
        <is>
          <t>Yes</t>
        </is>
      </c>
      <c r="M421" s="13" t="inlineStr">
        <is>
          <t>Date = page creation. Auto-collected 2026-10-14 (wikipedia); review.</t>
        </is>
      </c>
      <c r="N421" s="14" t="inlineStr">
        <is>
          <t>https://en.wikipedia.org/wiki/Megalithic_graffiti_symbols</t>
        </is>
      </c>
    </row>
    <row r="422">
      <c r="A422" s="7" t="inlineStr">
        <is>
          <t>ALL-0421</t>
        </is>
      </c>
      <c r="B422" s="7" t="inlineStr">
        <is>
          <t>Web Articles</t>
        </is>
      </c>
      <c r="C422" s="8" t="inlineStr">
        <is>
          <t>2014</t>
        </is>
      </c>
      <c r="D422" s="7" t="inlineStr">
        <is>
          <t>2014-03-01</t>
        </is>
      </c>
      <c r="E422" s="9" t="inlineStr">
        <is>
          <t>யாழ்ப்பாண இராச்சியம் (சிற்றம்பலம்)</t>
        </is>
      </c>
      <c r="F422" s="9" t="inlineStr">
        <is>
          <t>Wikipedia contributors</t>
        </is>
      </c>
      <c r="G422" s="9" t="inlineStr">
        <is>
          <t>Wikipedia (ta)</t>
        </is>
      </c>
      <c r="H422" s="7" t="inlineStr">
        <is>
          <t>Encyclopedia article</t>
        </is>
      </c>
      <c r="I422" s="7" t="inlineStr">
        <is>
          <t>Tamil</t>
        </is>
      </c>
      <c r="J422" s="9" t="n"/>
      <c r="K422" s="9" t="n"/>
      <c r="L422" s="7" t="inlineStr">
        <is>
          <t>Yes</t>
        </is>
      </c>
      <c r="M422" s="9" t="inlineStr">
        <is>
          <t>Date = page creation. Auto-collected 2026-10-14 (wikipedia); review.</t>
        </is>
      </c>
      <c r="N422" s="10" t="inlineStr">
        <is>
          <t>https://ta.wikipedia.org/wiki/%E0%AE%AF%E0%AE%BE%E0%AE%B4%E0%AF%8D%E0%AE%AA%E0%AF%8D%E0%AE%AA%E0%AE%BE%E0%AE%A3_%E0%AE%87%E0%AE%B0%E0%AE%BE%E0%AE%9A%E0%AF%8D%E0%AE%9A%E0%AE%BF%E0%AE%AF%E0%AE%AE%E0%AF%8D_%28%E0%AE%9A%E0%AE%BF%E0%AE%B1%E0%AF%8D%E0%AE%B1%E0%AE%AE%E0%AF%8D%E0%AE%AA%E0%AE%B2%E0%AE%AE%E0%AF%8D%29</t>
        </is>
      </c>
    </row>
    <row r="423">
      <c r="A423" s="11" t="inlineStr">
        <is>
          <t>ALL-0422</t>
        </is>
      </c>
      <c r="B423" s="11" t="inlineStr">
        <is>
          <t>Web Articles</t>
        </is>
      </c>
      <c r="C423" s="12" t="inlineStr">
        <is>
          <t>2014</t>
        </is>
      </c>
      <c r="D423" s="11" t="inlineStr">
        <is>
          <t>2014-08-27</t>
        </is>
      </c>
      <c r="E423" s="13" t="inlineStr">
        <is>
          <t>காலி மும்மொழிக் கல்வெட்டு</t>
        </is>
      </c>
      <c r="F423" s="13" t="inlineStr">
        <is>
          <t>Wikipedia contributors</t>
        </is>
      </c>
      <c r="G423" s="13" t="inlineStr">
        <is>
          <t>Wikipedia (ta)</t>
        </is>
      </c>
      <c r="H423" s="11" t="inlineStr">
        <is>
          <t>Encyclopedia article</t>
        </is>
      </c>
      <c r="I423" s="11" t="inlineStr">
        <is>
          <t>Tamil</t>
        </is>
      </c>
      <c r="J423" s="13" t="inlineStr">
        <is>
          <t>Inscriptions / கல்வெட்டு</t>
        </is>
      </c>
      <c r="K423" s="13" t="inlineStr">
        <is>
          <t>கல்வெட்டு</t>
        </is>
      </c>
      <c r="L423" s="11" t="inlineStr">
        <is>
          <t>Yes</t>
        </is>
      </c>
      <c r="M423" s="13" t="inlineStr">
        <is>
          <t>Date = page creation. Auto-collected 2026-10-14 (wikipedia); review.</t>
        </is>
      </c>
      <c r="N423" s="14" t="inlineStr">
        <is>
          <t>https://ta.wikipedia.org/wiki/%E0%AE%95%E0%AE%BE%E0%AE%B2%E0%AE%BF_%E0%AE%AE%E0%AF%81%E0%AE%AE%E0%AF%8D%E0%AE%AE%E0%AF%8A%E0%AE%B4%E0%AE%BF%E0%AE%95%E0%AF%8D_%E0%AE%95%E0%AE%B2%E0%AF%8D%E0%AE%B5%E0%AF%86%E0%AE%9F%E0%AF%8D%E0%AE%9F%E0%AF%81</t>
        </is>
      </c>
    </row>
    <row r="424">
      <c r="A424" s="7" t="inlineStr">
        <is>
          <t>ALL-0423</t>
        </is>
      </c>
      <c r="B424" s="7" t="inlineStr">
        <is>
          <t>Web Articles</t>
        </is>
      </c>
      <c r="C424" s="8" t="inlineStr">
        <is>
          <t>2014</t>
        </is>
      </c>
      <c r="D424" s="7" t="inlineStr">
        <is>
          <t>2014-10-08</t>
        </is>
      </c>
      <c r="E424" s="9" t="inlineStr">
        <is>
          <t>யாழ்ப்பாணத்துச் சாசனங்கள்</t>
        </is>
      </c>
      <c r="F424" s="9" t="inlineStr">
        <is>
          <t>Wikipedia contributors</t>
        </is>
      </c>
      <c r="G424" s="9" t="inlineStr">
        <is>
          <t>Wikipedia (ta)</t>
        </is>
      </c>
      <c r="H424" s="7" t="inlineStr">
        <is>
          <t>Encyclopedia article</t>
        </is>
      </c>
      <c r="I424" s="7" t="inlineStr">
        <is>
          <t>Tamil</t>
        </is>
      </c>
      <c r="J424" s="9" t="inlineStr">
        <is>
          <t>Inscriptions / கல்வெட்டு</t>
        </is>
      </c>
      <c r="K424" s="9" t="n"/>
      <c r="L424" s="7" t="inlineStr">
        <is>
          <t>Yes</t>
        </is>
      </c>
      <c r="M424" s="9" t="inlineStr">
        <is>
          <t>Date = page creation. Auto-collected 2026-10-14 (wikipedia); review.</t>
        </is>
      </c>
      <c r="N424" s="10" t="inlineStr">
        <is>
          <t>https://ta.wikipedia.org/wiki/%E0%AE%AF%E0%AE%BE%E0%AE%B4%E0%AF%8D%E0%AE%AA%E0%AF%8D%E0%AE%AA%E0%AE%BE%E0%AE%A3%E0%AE%A4%E0%AF%8D%E0%AE%A4%E0%AF%81%E0%AE%9A%E0%AF%8D_%E0%AE%9A%E0%AE%BE%E0%AE%9A%E0%AE%A9%E0%AE%99%E0%AF%8D%E0%AE%95%E0%AE%B3%E0%AF%8D</t>
        </is>
      </c>
    </row>
    <row r="425">
      <c r="A425" s="11" t="inlineStr">
        <is>
          <t>ALL-0424</t>
        </is>
      </c>
      <c r="B425" s="11" t="inlineStr">
        <is>
          <t>Web Articles</t>
        </is>
      </c>
      <c r="C425" s="12" t="inlineStr">
        <is>
          <t>2014</t>
        </is>
      </c>
      <c r="D425" s="11" t="inlineStr">
        <is>
          <t>2014-10-10</t>
        </is>
      </c>
      <c r="E425" s="13" t="inlineStr">
        <is>
          <t>இலங்கையில் சங்ககால நாணயங்கள்</t>
        </is>
      </c>
      <c r="F425" s="13" t="inlineStr">
        <is>
          <t>Wikipedia contributors</t>
        </is>
      </c>
      <c r="G425" s="13" t="inlineStr">
        <is>
          <t>Wikipedia (ta)</t>
        </is>
      </c>
      <c r="H425" s="11" t="inlineStr">
        <is>
          <t>Encyclopedia article</t>
        </is>
      </c>
      <c r="I425" s="11" t="inlineStr">
        <is>
          <t>Tamil</t>
        </is>
      </c>
      <c r="J425" s="13" t="inlineStr">
        <is>
          <t>Coins / நாணயம்</t>
        </is>
      </c>
      <c r="K425" s="13" t="n"/>
      <c r="L425" s="11" t="inlineStr">
        <is>
          <t>Yes</t>
        </is>
      </c>
      <c r="M425" s="13" t="inlineStr">
        <is>
          <t>Date = page creation. Auto-collected 2026-10-14 (wikipedia); review.</t>
        </is>
      </c>
      <c r="N425" s="14" t="inlineStr">
        <is>
          <t>https://ta.wikipedia.org/wiki/%E0%AE%87%E0%AE%B2%E0%AE%99%E0%AF%8D%E0%AE%95%E0%AF%88%E0%AE%AF%E0%AE%BF%E0%AE%B2%E0%AF%8D_%E0%AE%9A%E0%AE%99%E0%AF%8D%E0%AE%95%E0%AE%95%E0%AE%BE%E0%AE%B2_%E0%AE%A8%E0%AE%BE%E0%AE%A3%E0%AE%AF%E0%AE%99%E0%AF%8D%E0%AE%95%E0%AE%B3%E0%AF%8D</t>
        </is>
      </c>
    </row>
    <row r="426">
      <c r="A426" s="7" t="inlineStr">
        <is>
          <t>ALL-0425</t>
        </is>
      </c>
      <c r="B426" s="7" t="inlineStr">
        <is>
          <t>Web Articles</t>
        </is>
      </c>
      <c r="C426" s="8" t="inlineStr">
        <is>
          <t>2014</t>
        </is>
      </c>
      <c r="D426" s="7" t="inlineStr">
        <is>
          <t>2014-10-10</t>
        </is>
      </c>
      <c r="E426" s="9" t="inlineStr">
        <is>
          <t>நயினாதீவுக் கல்வெட்டு</t>
        </is>
      </c>
      <c r="F426" s="9" t="inlineStr">
        <is>
          <t>Wikipedia contributors</t>
        </is>
      </c>
      <c r="G426" s="9" t="inlineStr">
        <is>
          <t>Wikipedia (ta)</t>
        </is>
      </c>
      <c r="H426" s="7" t="inlineStr">
        <is>
          <t>Encyclopedia article</t>
        </is>
      </c>
      <c r="I426" s="7" t="inlineStr">
        <is>
          <t>Tamil</t>
        </is>
      </c>
      <c r="J426" s="9" t="inlineStr">
        <is>
          <t>Inscriptions / கல்வெட்டு</t>
        </is>
      </c>
      <c r="K426" s="9" t="inlineStr">
        <is>
          <t>கல்வெட்டு</t>
        </is>
      </c>
      <c r="L426" s="7" t="inlineStr">
        <is>
          <t>Yes</t>
        </is>
      </c>
      <c r="M426" s="9" t="inlineStr">
        <is>
          <t>Date = page creation. Auto-collected 2026-10-14 (wikipedia); review.</t>
        </is>
      </c>
      <c r="N426" s="10" t="inlineStr">
        <is>
          <t>https://ta.wikipedia.org/wiki/%E0%AE%A8%E0%AE%AF%E0%AE%BF%E0%AE%A9%E0%AE%BE%E0%AE%A4%E0%AF%80%E0%AE%B5%E0%AF%81%E0%AE%95%E0%AF%8D_%E0%AE%95%E0%AE%B2%E0%AF%8D%E0%AE%B5%E0%AF%86%E0%AE%9F%E0%AF%8D%E0%AE%9F%E0%AF%81</t>
        </is>
      </c>
    </row>
    <row r="427">
      <c r="A427" s="11" t="inlineStr">
        <is>
          <t>ALL-0426</t>
        </is>
      </c>
      <c r="B427" s="11" t="inlineStr">
        <is>
          <t>Web Articles</t>
        </is>
      </c>
      <c r="C427" s="12" t="inlineStr">
        <is>
          <t>2014</t>
        </is>
      </c>
      <c r="D427" s="11" t="inlineStr">
        <is>
          <t>2014-10-11</t>
        </is>
      </c>
      <c r="E427" s="13" t="inlineStr">
        <is>
          <t>யாழ்ப்பாணம் பிரதான வீதிக் கல்வெட்டு</t>
        </is>
      </c>
      <c r="F427" s="13" t="inlineStr">
        <is>
          <t>Wikipedia contributors</t>
        </is>
      </c>
      <c r="G427" s="13" t="inlineStr">
        <is>
          <t>Wikipedia (ta)</t>
        </is>
      </c>
      <c r="H427" s="11" t="inlineStr">
        <is>
          <t>Encyclopedia article</t>
        </is>
      </c>
      <c r="I427" s="11" t="inlineStr">
        <is>
          <t>Tamil</t>
        </is>
      </c>
      <c r="J427" s="13" t="inlineStr">
        <is>
          <t>Inscriptions / கல்வெட்டு</t>
        </is>
      </c>
      <c r="K427" s="13" t="inlineStr">
        <is>
          <t>கல்வெட்டு</t>
        </is>
      </c>
      <c r="L427" s="11" t="inlineStr">
        <is>
          <t>Yes</t>
        </is>
      </c>
      <c r="M427" s="13" t="inlineStr">
        <is>
          <t>Date = page creation. Auto-collected 2026-10-14 (wikipedia); review.</t>
        </is>
      </c>
      <c r="N427" s="14" t="inlineStr">
        <is>
          <t>https://ta.wikipedia.org/wiki/%E0%AE%AF%E0%AE%BE%E0%AE%B4%E0%AF%8D%E0%AE%AA%E0%AF%8D%E0%AE%AA%E0%AE%BE%E0%AE%A3%E0%AE%AE%E0%AF%8D_%E0%AE%AA%E0%AE%BF%E0%AE%B0%E0%AE%A4%E0%AE%BE%E0%AE%A9_%E0%AE%B5%E0%AF%80%E0%AE%A4%E0%AE%BF%E0%AE%95%E0%AF%8D_%E0%AE%95%E0%AE%B2%E0%AF%8D%E0%AE%B5%E0%AF%86%E0%AE%9F%E0%AF%8D%E0%AE%9F%E0%AF%81</t>
        </is>
      </c>
    </row>
    <row r="428">
      <c r="A428" s="7" t="inlineStr">
        <is>
          <t>ALL-0427</t>
        </is>
      </c>
      <c r="B428" s="7" t="inlineStr">
        <is>
          <t>Web Articles</t>
        </is>
      </c>
      <c r="C428" s="8" t="inlineStr">
        <is>
          <t>2014</t>
        </is>
      </c>
      <c r="D428" s="7" t="inlineStr">
        <is>
          <t>2014-10-25</t>
        </is>
      </c>
      <c r="E428" s="9" t="inlineStr">
        <is>
          <t>கருணாகரப் பிள்ளையார் கோயிற் கல்வெட்டு</t>
        </is>
      </c>
      <c r="F428" s="9" t="inlineStr">
        <is>
          <t>Wikipedia contributors</t>
        </is>
      </c>
      <c r="G428" s="9" t="inlineStr">
        <is>
          <t>Wikipedia (ta)</t>
        </is>
      </c>
      <c r="H428" s="7" t="inlineStr">
        <is>
          <t>Encyclopedia article</t>
        </is>
      </c>
      <c r="I428" s="7" t="inlineStr">
        <is>
          <t>Tamil</t>
        </is>
      </c>
      <c r="J428" s="9" t="inlineStr">
        <is>
          <t>Inscriptions / கல்வெட்டு</t>
        </is>
      </c>
      <c r="K428" s="9" t="inlineStr">
        <is>
          <t>கல்வெட்டு</t>
        </is>
      </c>
      <c r="L428" s="7" t="inlineStr">
        <is>
          <t>Yes</t>
        </is>
      </c>
      <c r="M428" s="9" t="inlineStr">
        <is>
          <t>Date = page creation. Auto-collected 2026-10-14 (wikipedia); review.</t>
        </is>
      </c>
      <c r="N428" s="10" t="inlineStr">
        <is>
          <t>https://ta.wikipedia.org/wiki/%E0%AE%95%E0%AE%B0%E0%AF%81%E0%AE%A3%E0%AE%BE%E0%AE%95%E0%AE%B0%E0%AE%AA%E0%AF%8D_%E0%AE%AA%E0%AE%BF%E0%AE%B3%E0%AF%8D%E0%AE%B3%E0%AF%88%E0%AE%AF%E0%AE%BE%E0%AE%B0%E0%AF%8D_%E0%AE%95%E0%AF%8B%E0%AE%AF%E0%AE%BF%E0%AE%B1%E0%AF%8D_%E0%AE%95%E0%AE%B2%E0%AF%8D%E0%AE%B5%E0%AF%86%E0%AE%9F%E0%AF%8D%E0%AE%9F%E0%AF%81</t>
        </is>
      </c>
    </row>
    <row r="429">
      <c r="A429" s="11" t="inlineStr">
        <is>
          <t>ALL-0428</t>
        </is>
      </c>
      <c r="B429" s="11" t="inlineStr">
        <is>
          <t>Web Articles</t>
        </is>
      </c>
      <c r="C429" s="12" t="inlineStr">
        <is>
          <t>2014</t>
        </is>
      </c>
      <c r="D429" s="11" t="inlineStr">
        <is>
          <t>2014-12-10</t>
        </is>
      </c>
      <c r="E429" s="13" t="inlineStr">
        <is>
          <t>இரத்தினபுரி தேசிய நூதனசாலை</t>
        </is>
      </c>
      <c r="F429" s="13" t="inlineStr">
        <is>
          <t>Wikipedia contributors</t>
        </is>
      </c>
      <c r="G429" s="13" t="inlineStr">
        <is>
          <t>Wikipedia (ta)</t>
        </is>
      </c>
      <c r="H429" s="11" t="inlineStr">
        <is>
          <t>Encyclopedia article</t>
        </is>
      </c>
      <c r="I429" s="11" t="inlineStr">
        <is>
          <t>Tamil</t>
        </is>
      </c>
      <c r="J429" s="13" t="n"/>
      <c r="K429" s="13" t="n"/>
      <c r="L429" s="11" t="inlineStr">
        <is>
          <t>Yes</t>
        </is>
      </c>
      <c r="M429" s="13" t="inlineStr">
        <is>
          <t>Date = page creation. Auto-collected 2026-10-14 (wikipedia); review.</t>
        </is>
      </c>
      <c r="N429" s="14" t="inlineStr">
        <is>
          <t>https://ta.wikipedia.org/wiki/%E0%AE%87%E0%AE%B0%E0%AE%A4%E0%AF%8D%E0%AE%A4%E0%AE%BF%E0%AE%A9%E0%AE%AA%E0%AF%81%E0%AE%B0%E0%AE%BF_%E0%AE%A4%E0%AF%87%E0%AE%9A%E0%AE%BF%E0%AE%AF_%E0%AE%A8%E0%AF%82%E0%AE%A4%E0%AE%A9%E0%AE%9A%E0%AE%BE%E0%AE%B2%E0%AF%88</t>
        </is>
      </c>
    </row>
    <row r="430">
      <c r="A430" s="7" t="inlineStr">
        <is>
          <t>ALL-0429</t>
        </is>
      </c>
      <c r="B430" s="7" t="inlineStr">
        <is>
          <t>Web Articles</t>
        </is>
      </c>
      <c r="C430" s="8" t="inlineStr">
        <is>
          <t>2013</t>
        </is>
      </c>
      <c r="D430" s="7" t="inlineStr">
        <is>
          <t>2013-02-02</t>
        </is>
      </c>
      <c r="E430" s="9" t="inlineStr">
        <is>
          <t>சீனர் - தமிழர் தொடர்புகள்</t>
        </is>
      </c>
      <c r="F430" s="9" t="inlineStr">
        <is>
          <t>Wikipedia contributors</t>
        </is>
      </c>
      <c r="G430" s="9" t="inlineStr">
        <is>
          <t>Wikipedia (ta)</t>
        </is>
      </c>
      <c r="H430" s="7" t="inlineStr">
        <is>
          <t>Encyclopedia article</t>
        </is>
      </c>
      <c r="I430" s="7" t="inlineStr">
        <is>
          <t>Tamil</t>
        </is>
      </c>
      <c r="J430" s="9" t="n"/>
      <c r="K430" s="9" t="n"/>
      <c r="L430" s="7" t="inlineStr">
        <is>
          <t>Yes</t>
        </is>
      </c>
      <c r="M430" s="9" t="inlineStr">
        <is>
          <t>Date = page creation. Auto-collected 2026-10-14 (wikipedia); review.</t>
        </is>
      </c>
      <c r="N430" s="10" t="inlineStr">
        <is>
          <t>https://ta.wikipedia.org/wiki/%E0%AE%9A%E0%AF%80%E0%AE%A9%E0%AE%B0%E0%AF%8D_-_%E0%AE%A4%E0%AE%AE%E0%AE%BF%E0%AE%B4%E0%AE%B0%E0%AF%8D_%E0%AE%A4%E0%AF%8A%E0%AE%9F%E0%AE%B0%E0%AF%8D%E0%AE%AA%E0%AF%81%E0%AE%95%E0%AE%B3%E0%AF%8D</t>
        </is>
      </c>
    </row>
    <row r="431">
      <c r="A431" s="11" t="inlineStr">
        <is>
          <t>ALL-0430</t>
        </is>
      </c>
      <c r="B431" s="11" t="inlineStr">
        <is>
          <t>Web Articles</t>
        </is>
      </c>
      <c r="C431" s="12" t="inlineStr">
        <is>
          <t>2013</t>
        </is>
      </c>
      <c r="D431" s="11" t="inlineStr">
        <is>
          <t>2013-05-10</t>
        </is>
      </c>
      <c r="E431" s="13" t="inlineStr">
        <is>
          <t>வேளிர் (ஈழம்)</t>
        </is>
      </c>
      <c r="F431" s="13" t="inlineStr">
        <is>
          <t>Wikipedia contributors</t>
        </is>
      </c>
      <c r="G431" s="13" t="inlineStr">
        <is>
          <t>Wikipedia (ta)</t>
        </is>
      </c>
      <c r="H431" s="11" t="inlineStr">
        <is>
          <t>Encyclopedia article</t>
        </is>
      </c>
      <c r="I431" s="11" t="inlineStr">
        <is>
          <t>Tamil</t>
        </is>
      </c>
      <c r="J431" s="13" t="n"/>
      <c r="K431" s="13" t="n"/>
      <c r="L431" s="11" t="inlineStr">
        <is>
          <t>Yes</t>
        </is>
      </c>
      <c r="M431" s="13" t="inlineStr">
        <is>
          <t>Date = page creation. Auto-collected 2026-10-14 (wikipedia); review.</t>
        </is>
      </c>
      <c r="N431" s="14" t="inlineStr">
        <is>
          <t>https://ta.wikipedia.org/wiki/%E0%AE%B5%E0%AF%87%E0%AE%B3%E0%AE%BF%E0%AE%B0%E0%AF%8D_%28%E0%AE%88%E0%AE%B4%E0%AE%AE%E0%AF%8D%29</t>
        </is>
      </c>
    </row>
    <row r="432">
      <c r="A432" s="7" t="inlineStr">
        <is>
          <t>ALL-0431</t>
        </is>
      </c>
      <c r="B432" s="7" t="inlineStr">
        <is>
          <t>Web Articles</t>
        </is>
      </c>
      <c r="C432" s="8" t="inlineStr">
        <is>
          <t>2013</t>
        </is>
      </c>
      <c r="D432" s="7" t="inlineStr">
        <is>
          <t>2013-08-21</t>
        </is>
      </c>
      <c r="E432" s="9" t="inlineStr">
        <is>
          <t>Archaeological Museum, Jaffna</t>
        </is>
      </c>
      <c r="F432" s="9" t="inlineStr">
        <is>
          <t>Wikipedia contributors</t>
        </is>
      </c>
      <c r="G432" s="9" t="inlineStr">
        <is>
          <t>Wikipedia (en)</t>
        </is>
      </c>
      <c r="H432" s="7" t="inlineStr">
        <is>
          <t>Encyclopedia article</t>
        </is>
      </c>
      <c r="I432" s="7" t="inlineStr">
        <is>
          <t>English</t>
        </is>
      </c>
      <c r="J432" s="9" t="inlineStr">
        <is>
          <t>Archaeology / தொல்லியல்</t>
        </is>
      </c>
      <c r="K432" s="9" t="inlineStr">
        <is>
          <t>archaeological</t>
        </is>
      </c>
      <c r="L432" s="7" t="inlineStr">
        <is>
          <t>Yes</t>
        </is>
      </c>
      <c r="M432" s="9" t="inlineStr">
        <is>
          <t>Date = page creation. Auto-collected 2026-10-14 (wikipedia); review.</t>
        </is>
      </c>
      <c r="N432" s="10" t="inlineStr">
        <is>
          <t>https://en.wikipedia.org/wiki/Archaeological_Museum%2C_Jaffna</t>
        </is>
      </c>
    </row>
    <row r="433">
      <c r="A433" s="11" t="inlineStr">
        <is>
          <t>ALL-0432</t>
        </is>
      </c>
      <c r="B433" s="11" t="inlineStr">
        <is>
          <t>Web Articles</t>
        </is>
      </c>
      <c r="C433" s="12" t="inlineStr">
        <is>
          <t>2012</t>
        </is>
      </c>
      <c r="D433" s="11" t="inlineStr">
        <is>
          <t>2012-01-17</t>
        </is>
      </c>
      <c r="E433" s="13" t="inlineStr">
        <is>
          <t>History of the Jaffna kingdom</t>
        </is>
      </c>
      <c r="F433" s="13" t="inlineStr">
        <is>
          <t>Wikipedia contributors</t>
        </is>
      </c>
      <c r="G433" s="13" t="inlineStr">
        <is>
          <t>Wikipedia (en)</t>
        </is>
      </c>
      <c r="H433" s="11" t="inlineStr">
        <is>
          <t>Encyclopedia article</t>
        </is>
      </c>
      <c r="I433" s="11" t="inlineStr">
        <is>
          <t>English</t>
        </is>
      </c>
      <c r="J433" s="13" t="n"/>
      <c r="K433" s="13" t="n"/>
      <c r="L433" s="11" t="inlineStr">
        <is>
          <t>Yes</t>
        </is>
      </c>
      <c r="M433" s="13" t="inlineStr">
        <is>
          <t>Date = page creation. Auto-collected 2026-10-14 (wikipedia); review.</t>
        </is>
      </c>
      <c r="N433" s="14" t="inlineStr">
        <is>
          <t>https://en.wikipedia.org/wiki/History_of_the_Jaffna_kingdom</t>
        </is>
      </c>
    </row>
    <row r="434">
      <c r="A434" s="7" t="inlineStr">
        <is>
          <t>ALL-0433</t>
        </is>
      </c>
      <c r="B434" s="7" t="inlineStr">
        <is>
          <t>Web Articles</t>
        </is>
      </c>
      <c r="C434" s="8" t="inlineStr">
        <is>
          <t>2012</t>
        </is>
      </c>
      <c r="D434" s="7" t="inlineStr">
        <is>
          <t>2012-06-27</t>
        </is>
      </c>
      <c r="E434" s="9" t="inlineStr">
        <is>
          <t>Prehistoric skeleton found in Sri Lanka</t>
        </is>
      </c>
      <c r="F434" s="9" t="n"/>
      <c r="G434" s="9" t="inlineStr">
        <is>
          <t>SEAArch (Southeast Asian Archaeology)</t>
        </is>
      </c>
      <c r="H434" s="7" t="inlineStr">
        <is>
          <t>Web article</t>
        </is>
      </c>
      <c r="I434" s="7" t="inlineStr">
        <is>
          <t>English</t>
        </is>
      </c>
      <c r="J434" s="9" t="inlineStr">
        <is>
          <t>Archaeology / தொல்லியல்</t>
        </is>
      </c>
      <c r="K434" s="9" t="inlineStr">
        <is>
          <t>prehistory; archaeology</t>
        </is>
      </c>
      <c r="L434" s="7" t="inlineStr">
        <is>
          <t>Yes</t>
        </is>
      </c>
      <c r="M434" s="9" t="n"/>
      <c r="N434" s="10" t="inlineStr">
        <is>
          <t>https://southeastasianarchaeology.com/2012/06/27/prehistoric-skeleton-found-in-sri-lanka</t>
        </is>
      </c>
    </row>
    <row r="435">
      <c r="A435" s="11" t="inlineStr">
        <is>
          <t>ALL-0434</t>
        </is>
      </c>
      <c r="B435" s="11" t="inlineStr">
        <is>
          <t>Web Articles</t>
        </is>
      </c>
      <c r="C435" s="12" t="inlineStr">
        <is>
          <t>2012</t>
        </is>
      </c>
      <c r="D435" s="11" t="inlineStr">
        <is>
          <t>2012-07-22</t>
        </is>
      </c>
      <c r="E435" s="13" t="inlineStr">
        <is>
          <t>Anaikoddai seal</t>
        </is>
      </c>
      <c r="F435" s="13" t="inlineStr">
        <is>
          <t>Wikipedia contributors</t>
        </is>
      </c>
      <c r="G435" s="13" t="inlineStr">
        <is>
          <t>Wikipedia (en)</t>
        </is>
      </c>
      <c r="H435" s="11" t="inlineStr">
        <is>
          <t>Encyclopedia article</t>
        </is>
      </c>
      <c r="I435" s="11" t="inlineStr">
        <is>
          <t>English</t>
        </is>
      </c>
      <c r="J435" s="13" t="inlineStr">
        <is>
          <t>Inscriptions / கல்வெட்டு</t>
        </is>
      </c>
      <c r="K435" s="13" t="n"/>
      <c r="L435" s="11" t="inlineStr">
        <is>
          <t>Yes</t>
        </is>
      </c>
      <c r="M435" s="13" t="inlineStr">
        <is>
          <t>Date = page creation. Auto-collected 2026-10-14 (wikipedia); review.</t>
        </is>
      </c>
      <c r="N435" s="14" t="inlineStr">
        <is>
          <t>https://en.wikipedia.org/wiki/Anaikoddai_seal</t>
        </is>
      </c>
    </row>
    <row r="436">
      <c r="A436" s="7" t="inlineStr">
        <is>
          <t>ALL-0435</t>
        </is>
      </c>
      <c r="B436" s="7" t="inlineStr">
        <is>
          <t>Web Articles</t>
        </is>
      </c>
      <c r="C436" s="8" t="inlineStr">
        <is>
          <t>2011</t>
        </is>
      </c>
      <c r="D436" s="7" t="inlineStr">
        <is>
          <t>2011-02-03</t>
        </is>
      </c>
      <c r="E436" s="9" t="inlineStr">
        <is>
          <t>இலங்கைத் தமிழர் வரலாறு - தமிழ் நூல் பட்டியல்</t>
        </is>
      </c>
      <c r="F436" s="9" t="inlineStr">
        <is>
          <t>Wikipedia contributors</t>
        </is>
      </c>
      <c r="G436" s="9" t="inlineStr">
        <is>
          <t>Wikipedia (ta)</t>
        </is>
      </c>
      <c r="H436" s="7" t="inlineStr">
        <is>
          <t>Encyclopedia article</t>
        </is>
      </c>
      <c r="I436" s="7" t="inlineStr">
        <is>
          <t>Tamil</t>
        </is>
      </c>
      <c r="J436" s="9" t="n"/>
      <c r="K436" s="9" t="n"/>
      <c r="L436" s="7" t="inlineStr">
        <is>
          <t>Yes</t>
        </is>
      </c>
      <c r="M436" s="9" t="inlineStr">
        <is>
          <t>Date = page creation. Auto-collected 2026-10-14 (wikipedia); review.</t>
        </is>
      </c>
      <c r="N436" s="10" t="inlineStr">
        <is>
          <t>https://ta.wikipedia.org/wiki/%E0%AE%87%E0%AE%B2%E0%AE%99%E0%AF%8D%E0%AE%95%E0%AF%88%E0%AE%A4%E0%AF%8D_%E0%AE%A4%E0%AE%AE%E0%AE%BF%E0%AE%B4%E0%AE%B0%E0%AF%8D_%E0%AE%B5%E0%AE%B0%E0%AE%B2%E0%AE%BE%E0%AE%B1%E0%AF%81_-_%E0%AE%A4%E0%AE%AE%E0%AE%BF%E0%AE%B4%E0%AF%8D_%E0%AE%A8%E0%AF%82%E0%AE%B2%E0%AF%8D_%E0%AE%AA%E0%AE%9F%E0%AF%8D%E0%AE%9F%E0%AE%BF%E0%AE%AF%E0%AE%B2%E0%AF%8D</t>
        </is>
      </c>
    </row>
    <row r="437">
      <c r="A437" s="11" t="inlineStr">
        <is>
          <t>ALL-0436</t>
        </is>
      </c>
      <c r="B437" s="11" t="inlineStr">
        <is>
          <t>Web Articles</t>
        </is>
      </c>
      <c r="C437" s="12" t="inlineStr">
        <is>
          <t>2011</t>
        </is>
      </c>
      <c r="D437" s="11" t="inlineStr">
        <is>
          <t>2011-09-01</t>
        </is>
      </c>
      <c r="E437" s="13" t="inlineStr">
        <is>
          <t>மட்டக்களப்பு மான்மியம்</t>
        </is>
      </c>
      <c r="F437" s="13" t="inlineStr">
        <is>
          <t>Wikipedia contributors</t>
        </is>
      </c>
      <c r="G437" s="13" t="inlineStr">
        <is>
          <t>Wikipedia (ta)</t>
        </is>
      </c>
      <c r="H437" s="11" t="inlineStr">
        <is>
          <t>Encyclopedia article</t>
        </is>
      </c>
      <c r="I437" s="11" t="inlineStr">
        <is>
          <t>Tamil</t>
        </is>
      </c>
      <c r="J437" s="13" t="n"/>
      <c r="K437" s="13" t="n"/>
      <c r="L437" s="11" t="inlineStr">
        <is>
          <t>Yes</t>
        </is>
      </c>
      <c r="M437" s="13" t="inlineStr">
        <is>
          <t>Date = page creation. Auto-collected 2026-10-14 (wikipedia); review.</t>
        </is>
      </c>
      <c r="N437" s="14" t="inlineStr">
        <is>
          <t>https://ta.wikipedia.org/wiki/%E0%AE%AE%E0%AE%9F%E0%AF%8D%E0%AE%9F%E0%AE%95%E0%AF%8D%E0%AE%95%E0%AE%B3%E0%AE%AA%E0%AF%8D%E0%AE%AA%E0%AF%81_%E0%AE%AE%E0%AE%BE%E0%AE%A9%E0%AF%8D%E0%AE%AE%E0%AE%BF%E0%AE%AF%E0%AE%AE%E0%AF%8D</t>
        </is>
      </c>
    </row>
    <row r="438">
      <c r="A438" s="7" t="inlineStr">
        <is>
          <t>ALL-0437</t>
        </is>
      </c>
      <c r="B438" s="7" t="inlineStr">
        <is>
          <t>Web Articles</t>
        </is>
      </c>
      <c r="C438" s="8" t="inlineStr">
        <is>
          <t>2010</t>
        </is>
      </c>
      <c r="D438" s="7" t="inlineStr">
        <is>
          <t>2010-08-06</t>
        </is>
      </c>
      <c r="E438" s="9" t="inlineStr">
        <is>
          <t>நாயன்மார்கட்டுக் கல்வெட்டு</t>
        </is>
      </c>
      <c r="F438" s="9" t="inlineStr">
        <is>
          <t>Wikipedia contributors</t>
        </is>
      </c>
      <c r="G438" s="9" t="inlineStr">
        <is>
          <t>Wikipedia (ta)</t>
        </is>
      </c>
      <c r="H438" s="7" t="inlineStr">
        <is>
          <t>Encyclopedia article</t>
        </is>
      </c>
      <c r="I438" s="7" t="inlineStr">
        <is>
          <t>Tamil</t>
        </is>
      </c>
      <c r="J438" s="9" t="inlineStr">
        <is>
          <t>Inscriptions / கல்வெட்டு</t>
        </is>
      </c>
      <c r="K438" s="9" t="inlineStr">
        <is>
          <t>கல்வெட்டு</t>
        </is>
      </c>
      <c r="L438" s="7" t="inlineStr">
        <is>
          <t>Yes</t>
        </is>
      </c>
      <c r="M438" s="9" t="inlineStr">
        <is>
          <t>Date = page creation. Auto-collected 2026-10-14 (wikipedia); review.</t>
        </is>
      </c>
      <c r="N438" s="10" t="inlineStr">
        <is>
          <t>https://ta.wikipedia.org/wiki/%E0%AE%A8%E0%AE%BE%E0%AE%AF%E0%AE%A9%E0%AF%8D%E0%AE%AE%E0%AE%BE%E0%AE%B0%E0%AF%8D%E0%AE%95%E0%AE%9F%E0%AF%8D%E0%AE%9F%E0%AF%81%E0%AE%95%E0%AF%8D_%E0%AE%95%E0%AE%B2%E0%AF%8D%E0%AE%B5%E0%AF%86%E0%AE%9F%E0%AF%8D%E0%AE%9F%E0%AF%81</t>
        </is>
      </c>
    </row>
    <row r="439">
      <c r="A439" s="11" t="inlineStr">
        <is>
          <t>ALL-0438</t>
        </is>
      </c>
      <c r="B439" s="11" t="inlineStr">
        <is>
          <t>Web Articles</t>
        </is>
      </c>
      <c r="C439" s="12" t="inlineStr">
        <is>
          <t>2010</t>
        </is>
      </c>
      <c r="D439" s="11" t="inlineStr">
        <is>
          <t>2010-11-01</t>
        </is>
      </c>
      <c r="E439" s="13" t="inlineStr">
        <is>
          <t>Tissamaharama inscription No. 53</t>
        </is>
      </c>
      <c r="F439" s="13" t="inlineStr">
        <is>
          <t>Wikipedia contributors</t>
        </is>
      </c>
      <c r="G439" s="13" t="inlineStr">
        <is>
          <t>Wikipedia (en)</t>
        </is>
      </c>
      <c r="H439" s="11" t="inlineStr">
        <is>
          <t>Encyclopedia article</t>
        </is>
      </c>
      <c r="I439" s="11" t="inlineStr">
        <is>
          <t>English</t>
        </is>
      </c>
      <c r="J439" s="13" t="inlineStr">
        <is>
          <t>Inscriptions / கல்வெட்டு</t>
        </is>
      </c>
      <c r="K439" s="13" t="inlineStr">
        <is>
          <t>inscription</t>
        </is>
      </c>
      <c r="L439" s="11" t="inlineStr">
        <is>
          <t>Yes</t>
        </is>
      </c>
      <c r="M439" s="13" t="inlineStr">
        <is>
          <t>Date = page creation. Auto-collected 2026-10-14 (wikipedia); review.</t>
        </is>
      </c>
      <c r="N439" s="14" t="inlineStr">
        <is>
          <t>https://en.wikipedia.org/wiki/Tissamaharama_inscription_No._53</t>
        </is>
      </c>
    </row>
    <row r="440">
      <c r="A440" s="7" t="inlineStr">
        <is>
          <t>ALL-0439</t>
        </is>
      </c>
      <c r="B440" s="7" t="inlineStr">
        <is>
          <t>Web Articles</t>
        </is>
      </c>
      <c r="C440" s="8" t="inlineStr">
        <is>
          <t>2008</t>
        </is>
      </c>
      <c r="D440" s="7" t="inlineStr">
        <is>
          <t>2008-08-09</t>
        </is>
      </c>
      <c r="E440" s="9" t="inlineStr">
        <is>
          <t>Prehistory of Sri Lanka</t>
        </is>
      </c>
      <c r="F440" s="9" t="inlineStr">
        <is>
          <t>Wikipedia contributors</t>
        </is>
      </c>
      <c r="G440" s="9" t="inlineStr">
        <is>
          <t>Wikipedia (en)</t>
        </is>
      </c>
      <c r="H440" s="7" t="inlineStr">
        <is>
          <t>Encyclopedia article</t>
        </is>
      </c>
      <c r="I440" s="7" t="inlineStr">
        <is>
          <t>English</t>
        </is>
      </c>
      <c r="J440" s="9" t="n"/>
      <c r="K440" s="9" t="n"/>
      <c r="L440" s="7" t="inlineStr">
        <is>
          <t>Yes</t>
        </is>
      </c>
      <c r="M440" s="9" t="inlineStr">
        <is>
          <t>Date = page creation. Auto-collected 2026-10-14 (wikipedia); review.</t>
        </is>
      </c>
      <c r="N440" s="10" t="inlineStr">
        <is>
          <t>https://en.wikipedia.org/wiki/Prehistory_of_Sri_Lanka</t>
        </is>
      </c>
    </row>
    <row r="441">
      <c r="A441" s="11" t="inlineStr">
        <is>
          <t>ALL-0440</t>
        </is>
      </c>
      <c r="B441" s="11" t="inlineStr">
        <is>
          <t>Web Articles</t>
        </is>
      </c>
      <c r="C441" s="12" t="inlineStr">
        <is>
          <t>2008</t>
        </is>
      </c>
      <c r="D441" s="11" t="inlineStr">
        <is>
          <t>2008-10-12</t>
        </is>
      </c>
      <c r="E441" s="13" t="inlineStr">
        <is>
          <t>கா. இந்திரபாலா</t>
        </is>
      </c>
      <c r="F441" s="13" t="inlineStr">
        <is>
          <t>Wikipedia contributors</t>
        </is>
      </c>
      <c r="G441" s="13" t="inlineStr">
        <is>
          <t>Wikipedia (ta)</t>
        </is>
      </c>
      <c r="H441" s="11" t="inlineStr">
        <is>
          <t>Encyclopedia article</t>
        </is>
      </c>
      <c r="I441" s="11" t="inlineStr">
        <is>
          <t>Tamil</t>
        </is>
      </c>
      <c r="J441" s="13" t="n"/>
      <c r="K441" s="13" t="n"/>
      <c r="L441" s="11" t="inlineStr">
        <is>
          <t>Yes</t>
        </is>
      </c>
      <c r="M441" s="13" t="inlineStr">
        <is>
          <t>Date = page creation. Auto-collected 2026-10-14 (wikipedia); review.</t>
        </is>
      </c>
      <c r="N441" s="14" t="inlineStr">
        <is>
          <t>https://ta.wikipedia.org/wiki/%E0%AE%95%E0%AE%BE._%E0%AE%87%E0%AE%A8%E0%AF%8D%E0%AE%A4%E0%AE%BF%E0%AE%B0%E0%AE%AA%E0%AE%BE%E0%AE%B2%E0%AE%BE</t>
        </is>
      </c>
    </row>
    <row r="442">
      <c r="A442" s="7" t="inlineStr">
        <is>
          <t>ALL-0441</t>
        </is>
      </c>
      <c r="B442" s="7" t="inlineStr">
        <is>
          <t>Web Articles</t>
        </is>
      </c>
      <c r="C442" s="8" t="inlineStr">
        <is>
          <t>2008</t>
        </is>
      </c>
      <c r="D442" s="7" t="inlineStr">
        <is>
          <t>2008-12-27</t>
        </is>
      </c>
      <c r="E442" s="9" t="inlineStr">
        <is>
          <t>Kandarodai</t>
        </is>
      </c>
      <c r="F442" s="9" t="inlineStr">
        <is>
          <t>Wikipedia contributors</t>
        </is>
      </c>
      <c r="G442" s="9" t="inlineStr">
        <is>
          <t>Wikipedia (en)</t>
        </is>
      </c>
      <c r="H442" s="7" t="inlineStr">
        <is>
          <t>Encyclopedia article</t>
        </is>
      </c>
      <c r="I442" s="7" t="inlineStr">
        <is>
          <t>English</t>
        </is>
      </c>
      <c r="J442" s="9" t="n"/>
      <c r="K442" s="9" t="n"/>
      <c r="L442" s="7" t="inlineStr">
        <is>
          <t>Yes</t>
        </is>
      </c>
      <c r="M442" s="9" t="inlineStr">
        <is>
          <t>Date = page creation. Auto-collected 2026-10-14 (wikipedia); review.</t>
        </is>
      </c>
      <c r="N442" s="10" t="inlineStr">
        <is>
          <t>https://en.wikipedia.org/wiki/Kandarodai</t>
        </is>
      </c>
    </row>
    <row r="443">
      <c r="A443" s="11" t="inlineStr">
        <is>
          <t>ALL-0442</t>
        </is>
      </c>
      <c r="B443" s="11" t="inlineStr">
        <is>
          <t>Web Articles</t>
        </is>
      </c>
      <c r="C443" s="12" t="inlineStr">
        <is>
          <t>2007</t>
        </is>
      </c>
      <c r="D443" s="11" t="inlineStr">
        <is>
          <t>2007-12-07</t>
        </is>
      </c>
      <c r="E443" s="13" t="inlineStr">
        <is>
          <t>தமிழி</t>
        </is>
      </c>
      <c r="F443" s="13" t="inlineStr">
        <is>
          <t>Wikipedia contributors</t>
        </is>
      </c>
      <c r="G443" s="13" t="inlineStr">
        <is>
          <t>Wikipedia (ta)</t>
        </is>
      </c>
      <c r="H443" s="11" t="inlineStr">
        <is>
          <t>Encyclopedia article</t>
        </is>
      </c>
      <c r="I443" s="11" t="inlineStr">
        <is>
          <t>Tamil</t>
        </is>
      </c>
      <c r="J443" s="13" t="n"/>
      <c r="K443" s="13" t="n"/>
      <c r="L443" s="11" t="inlineStr">
        <is>
          <t>Yes</t>
        </is>
      </c>
      <c r="M443" s="13" t="inlineStr">
        <is>
          <t>Date = page creation. Auto-collected 2026-10-14 (wikipedia); review.</t>
        </is>
      </c>
      <c r="N443" s="14" t="inlineStr">
        <is>
          <t>https://ta.wikipedia.org/wiki/%E0%AE%A4%E0%AE%AE%E0%AE%BF%E0%AE%B4%E0%AE%BF</t>
        </is>
      </c>
    </row>
    <row r="444">
      <c r="A444" s="7" t="inlineStr">
        <is>
          <t>ALL-0443</t>
        </is>
      </c>
      <c r="B444" s="7" t="inlineStr">
        <is>
          <t>Web Articles</t>
        </is>
      </c>
      <c r="C444" s="8" t="inlineStr">
        <is>
          <t>2007</t>
        </is>
      </c>
      <c r="D444" s="7" t="inlineStr">
        <is>
          <t>2007-12-26</t>
        </is>
      </c>
      <c r="E444" s="9" t="inlineStr">
        <is>
          <t>Naga people (Lanka)</t>
        </is>
      </c>
      <c r="F444" s="9" t="inlineStr">
        <is>
          <t>Wikipedia contributors</t>
        </is>
      </c>
      <c r="G444" s="9" t="inlineStr">
        <is>
          <t>Wikipedia (en)</t>
        </is>
      </c>
      <c r="H444" s="7" t="inlineStr">
        <is>
          <t>Encyclopedia article</t>
        </is>
      </c>
      <c r="I444" s="7" t="inlineStr">
        <is>
          <t>English</t>
        </is>
      </c>
      <c r="J444" s="9" t="n"/>
      <c r="K444" s="9" t="n"/>
      <c r="L444" s="7" t="inlineStr">
        <is>
          <t>Yes</t>
        </is>
      </c>
      <c r="M444" s="9" t="inlineStr">
        <is>
          <t>Date = page creation. Auto-collected 2026-10-14 (wikipedia); review.</t>
        </is>
      </c>
      <c r="N444" s="10" t="inlineStr">
        <is>
          <t>https://en.wikipedia.org/wiki/Naga_people_%28Lanka%29</t>
        </is>
      </c>
    </row>
    <row r="445">
      <c r="A445" s="11" t="inlineStr">
        <is>
          <t>ALL-0444</t>
        </is>
      </c>
      <c r="B445" s="11" t="inlineStr">
        <is>
          <t>Web Articles</t>
        </is>
      </c>
      <c r="C445" s="12" t="inlineStr">
        <is>
          <t>2006</t>
        </is>
      </c>
      <c r="D445" s="11" t="inlineStr">
        <is>
          <t>2006-04-29</t>
        </is>
      </c>
      <c r="E445" s="13" t="inlineStr">
        <is>
          <t>பொ. பூலோகசிங்கம்</t>
        </is>
      </c>
      <c r="F445" s="13" t="inlineStr">
        <is>
          <t>Wikipedia contributors</t>
        </is>
      </c>
      <c r="G445" s="13" t="inlineStr">
        <is>
          <t>Wikipedia (ta)</t>
        </is>
      </c>
      <c r="H445" s="11" t="inlineStr">
        <is>
          <t>Encyclopedia article</t>
        </is>
      </c>
      <c r="I445" s="11" t="inlineStr">
        <is>
          <t>Tamil</t>
        </is>
      </c>
      <c r="J445" s="13" t="n"/>
      <c r="K445" s="13" t="n"/>
      <c r="L445" s="11" t="inlineStr">
        <is>
          <t>Yes</t>
        </is>
      </c>
      <c r="M445" s="13" t="inlineStr">
        <is>
          <t>Date = page creation. Auto-collected 2026-10-14 (wikipedia); review.</t>
        </is>
      </c>
      <c r="N445" s="14" t="inlineStr">
        <is>
          <t>https://ta.wikipedia.org/wiki/%E0%AE%AA%E0%AF%8A._%E0%AE%AA%E0%AF%82%E0%AE%B2%E0%AF%8B%E0%AE%95%E0%AE%9A%E0%AE%BF%E0%AE%99%E0%AF%8D%E0%AE%95%E0%AE%AE%E0%AF%8D</t>
        </is>
      </c>
    </row>
    <row r="446">
      <c r="A446" s="7" t="inlineStr">
        <is>
          <t>ALL-0445</t>
        </is>
      </c>
      <c r="B446" s="7" t="inlineStr">
        <is>
          <t>Web Articles</t>
        </is>
      </c>
      <c r="C446" s="8" t="inlineStr">
        <is>
          <t>2006</t>
        </is>
      </c>
      <c r="D446" s="7" t="inlineStr">
        <is>
          <t>2006-08-30</t>
        </is>
      </c>
      <c r="E446" s="9" t="inlineStr">
        <is>
          <t>Velanai</t>
        </is>
      </c>
      <c r="F446" s="9" t="inlineStr">
        <is>
          <t>Wikipedia contributors</t>
        </is>
      </c>
      <c r="G446" s="9" t="inlineStr">
        <is>
          <t>Wikipedia (en)</t>
        </is>
      </c>
      <c r="H446" s="7" t="inlineStr">
        <is>
          <t>Encyclopedia article</t>
        </is>
      </c>
      <c r="I446" s="7" t="inlineStr">
        <is>
          <t>English</t>
        </is>
      </c>
      <c r="J446" s="9" t="n"/>
      <c r="K446" s="9" t="n"/>
      <c r="L446" s="7" t="inlineStr">
        <is>
          <t>Yes</t>
        </is>
      </c>
      <c r="M446" s="9" t="inlineStr">
        <is>
          <t>Date = page creation. Auto-collected 2026-10-14 (wikipedia); review.</t>
        </is>
      </c>
      <c r="N446" s="10" t="inlineStr">
        <is>
          <t>https://en.wikipedia.org/wiki/Velanai</t>
        </is>
      </c>
    </row>
    <row r="447">
      <c r="A447" s="11" t="inlineStr">
        <is>
          <t>ALL-0446</t>
        </is>
      </c>
      <c r="B447" s="11" t="inlineStr">
        <is>
          <t>Web Articles</t>
        </is>
      </c>
      <c r="C447" s="12" t="inlineStr">
        <is>
          <t>2006</t>
        </is>
      </c>
      <c r="D447" s="11" t="inlineStr">
        <is>
          <t>2006-10-24</t>
        </is>
      </c>
      <c r="E447" s="13" t="inlineStr">
        <is>
          <t>நாடுகள் அடிப்படையில் தொல்லியல் களங்களின் பட்டியல்</t>
        </is>
      </c>
      <c r="F447" s="13" t="inlineStr">
        <is>
          <t>Wikipedia contributors</t>
        </is>
      </c>
      <c r="G447" s="13" t="inlineStr">
        <is>
          <t>Wikipedia (ta)</t>
        </is>
      </c>
      <c r="H447" s="11" t="inlineStr">
        <is>
          <t>Encyclopedia article</t>
        </is>
      </c>
      <c r="I447" s="11" t="inlineStr">
        <is>
          <t>Tamil</t>
        </is>
      </c>
      <c r="J447" s="13" t="inlineStr">
        <is>
          <t>Archaeology / தொல்லியல்</t>
        </is>
      </c>
      <c r="K447" s="13" t="inlineStr">
        <is>
          <t>தொல்லியல்</t>
        </is>
      </c>
      <c r="L447" s="11" t="inlineStr">
        <is>
          <t>Yes</t>
        </is>
      </c>
      <c r="M447" s="13" t="inlineStr">
        <is>
          <t>Date = page creation. Auto-collected 2026-10-14 (wikipedia); review.</t>
        </is>
      </c>
      <c r="N447" s="14" t="inlineStr">
        <is>
          <t>https://ta.wikipedia.org/wiki/%E0%AE%A8%E0%AE%BE%E0%AE%9F%E0%AF%81%E0%AE%95%E0%AE%B3%E0%AF%8D_%E0%AE%85%E0%AE%9F%E0%AE%BF%E0%AE%AA%E0%AF%8D%E0%AE%AA%E0%AE%9F%E0%AF%88%E0%AE%AF%E0%AE%BF%E0%AE%B2%E0%AF%8D_%E0%AE%A4%E0%AF%8A%E0%AE%B2%E0%AF%8D%E0%AE%B2%E0%AE%BF%E0%AE%AF%E0%AE%B2%E0%AF%8D_%E0%AE%95%E0%AE%B3%E0%AE%99%E0%AF%8D%E0%AE%95%E0%AE%B3%E0%AE%BF%E0%AE%A9%E0%AF%8D_%E0%AE%AA%E0%AE%9F%E0%AF%8D%E0%AE%9F%E0%AE%BF%E0%AE%AF%E0%AE%B2%E0%AF%8D</t>
        </is>
      </c>
    </row>
    <row r="448">
      <c r="A448" s="7" t="inlineStr">
        <is>
          <t>ALL-0447</t>
        </is>
      </c>
      <c r="B448" s="7" t="inlineStr">
        <is>
          <t>Web Articles</t>
        </is>
      </c>
      <c r="C448" s="8" t="inlineStr">
        <is>
          <t>2006</t>
        </is>
      </c>
      <c r="D448" s="7" t="inlineStr">
        <is>
          <t>2006-11-07</t>
        </is>
      </c>
      <c r="E448" s="9" t="inlineStr">
        <is>
          <t>Tamil-Brahmi</t>
        </is>
      </c>
      <c r="F448" s="9" t="inlineStr">
        <is>
          <t>Wikipedia contributors</t>
        </is>
      </c>
      <c r="G448" s="9" t="inlineStr">
        <is>
          <t>Wikipedia (en)</t>
        </is>
      </c>
      <c r="H448" s="7" t="inlineStr">
        <is>
          <t>Encyclopedia article</t>
        </is>
      </c>
      <c r="I448" s="7" t="inlineStr">
        <is>
          <t>English</t>
        </is>
      </c>
      <c r="J448" s="9" t="inlineStr">
        <is>
          <t>Brahmi / பிராமி</t>
        </is>
      </c>
      <c r="K448" s="9" t="inlineStr">
        <is>
          <t>brahmi</t>
        </is>
      </c>
      <c r="L448" s="7" t="inlineStr">
        <is>
          <t>Yes</t>
        </is>
      </c>
      <c r="M448" s="9" t="inlineStr">
        <is>
          <t>Date = page creation. Auto-collected 2026-10-14 (wikipedia); review.</t>
        </is>
      </c>
      <c r="N448" s="10" t="inlineStr">
        <is>
          <t>https://en.wikipedia.org/wiki/Tamil-Brahmi</t>
        </is>
      </c>
    </row>
    <row r="449">
      <c r="A449" s="11" t="inlineStr">
        <is>
          <t>ALL-0448</t>
        </is>
      </c>
      <c r="B449" s="11" t="inlineStr">
        <is>
          <t>Web Articles</t>
        </is>
      </c>
      <c r="C449" s="12" t="n"/>
      <c r="D449" s="11" t="n"/>
      <c r="E449" s="13" t="inlineStr">
        <is>
          <t>Ancient Buddhist Shrines in Batticaloa and Ampara Districts</t>
        </is>
      </c>
      <c r="F449" s="13" t="n"/>
      <c r="G449" s="13" t="inlineStr">
        <is>
          <t>AmazingLanka.com</t>
        </is>
      </c>
      <c r="H449" s="11" t="inlineStr">
        <is>
          <t>Web article</t>
        </is>
      </c>
      <c r="I449" s="11" t="inlineStr">
        <is>
          <t>English</t>
        </is>
      </c>
      <c r="J449" s="13" t="inlineStr">
        <is>
          <t>Archaeology / தொல்லியல்</t>
        </is>
      </c>
      <c r="K449" s="13" t="inlineStr">
        <is>
          <t>archaeology; East</t>
        </is>
      </c>
      <c r="L449" s="11" t="inlineStr">
        <is>
          <t>Unknown</t>
        </is>
      </c>
      <c r="M449" s="13" t="n"/>
      <c r="N449" s="14" t="inlineStr">
        <is>
          <t>https://amazinglanka.com/wp/buddhist-shrines-in-batticaloa-and-ampara/</t>
        </is>
      </c>
    </row>
    <row r="450">
      <c r="A450" s="7" t="inlineStr">
        <is>
          <t>ALL-0449</t>
        </is>
      </c>
      <c r="B450" s="7" t="inlineStr">
        <is>
          <t>Web Articles</t>
        </is>
      </c>
      <c r="C450" s="8" t="n"/>
      <c r="D450" s="7" t="n"/>
      <c r="E450" s="9" t="inlineStr">
        <is>
          <t>Buddhism amongst Tamils in Sri Lanka</t>
        </is>
      </c>
      <c r="F450" s="9" t="inlineStr">
        <is>
          <t>Wikipedia contributors</t>
        </is>
      </c>
      <c r="G450" s="9" t="inlineStr">
        <is>
          <t>Wikipedia (en)</t>
        </is>
      </c>
      <c r="H450" s="7" t="inlineStr">
        <is>
          <t>Encyclopedia article</t>
        </is>
      </c>
      <c r="I450" s="7" t="inlineStr">
        <is>
          <t>English</t>
        </is>
      </c>
      <c r="J450" s="9" t="n"/>
      <c r="K450" s="9" t="n"/>
      <c r="L450" s="7" t="inlineStr">
        <is>
          <t>Unknown</t>
        </is>
      </c>
      <c r="M450" s="9" t="inlineStr">
        <is>
          <t>Date = page creation. Auto-collected 2026-10-14 (wikipedia); review.</t>
        </is>
      </c>
      <c r="N450" s="10" t="inlineStr">
        <is>
          <t>https://en.wikipedia.org/wiki/Buddhism_amongst_Tamils_in_Sri_Lanka</t>
        </is>
      </c>
    </row>
    <row r="451">
      <c r="A451" s="11" t="inlineStr">
        <is>
          <t>ALL-0450</t>
        </is>
      </c>
      <c r="B451" s="11" t="inlineStr">
        <is>
          <t>Web Articles</t>
        </is>
      </c>
      <c r="C451" s="12" t="n"/>
      <c r="D451" s="11" t="n"/>
      <c r="E451" s="13" t="inlineStr">
        <is>
          <t>Buddhist Remains in the Jaffna Peninsula</t>
        </is>
      </c>
      <c r="F451" s="13" t="n"/>
      <c r="G451" s="13" t="inlineStr">
        <is>
          <t>AmazingLanka.com</t>
        </is>
      </c>
      <c r="H451" s="11" t="inlineStr">
        <is>
          <t>Web article</t>
        </is>
      </c>
      <c r="I451" s="11" t="inlineStr">
        <is>
          <t>English</t>
        </is>
      </c>
      <c r="J451" s="13" t="inlineStr">
        <is>
          <t>Archaeology / தொல்லியல்</t>
        </is>
      </c>
      <c r="K451" s="13" t="inlineStr">
        <is>
          <t>தொல்லியல்; Jaffna</t>
        </is>
      </c>
      <c r="L451" s="11" t="inlineStr">
        <is>
          <t>Unknown</t>
        </is>
      </c>
      <c r="M451" s="13" t="n"/>
      <c r="N451" s="14" t="inlineStr">
        <is>
          <t>https://amazinglanka.com/wp/jaffna/</t>
        </is>
      </c>
    </row>
    <row r="452">
      <c r="A452" s="7" t="inlineStr">
        <is>
          <t>ALL-0451</t>
        </is>
      </c>
      <c r="B452" s="7" t="inlineStr">
        <is>
          <t>Web Articles</t>
        </is>
      </c>
      <c r="C452" s="8" t="n"/>
      <c r="D452" s="7" t="n"/>
      <c r="E452" s="9" t="inlineStr">
        <is>
          <t>Buddhist Ruins at Tikali in Pungudutivu Island in Jaffna</t>
        </is>
      </c>
      <c r="F452" s="9" t="n"/>
      <c r="G452" s="9" t="inlineStr">
        <is>
          <t>AmazingLanka.com</t>
        </is>
      </c>
      <c r="H452" s="7" t="inlineStr">
        <is>
          <t>Web article</t>
        </is>
      </c>
      <c r="I452" s="7" t="inlineStr">
        <is>
          <t>English</t>
        </is>
      </c>
      <c r="J452" s="9" t="inlineStr">
        <is>
          <t>Archaeology / தொல்லியல்</t>
        </is>
      </c>
      <c r="K452" s="9" t="inlineStr">
        <is>
          <t>தொல்லியல்; Pungudutivu</t>
        </is>
      </c>
      <c r="L452" s="7" t="inlineStr">
        <is>
          <t>Unknown</t>
        </is>
      </c>
      <c r="M452" s="9" t="n"/>
      <c r="N452" s="10" t="inlineStr">
        <is>
          <t>https://amazinglanka.com/wp/tikali/</t>
        </is>
      </c>
    </row>
    <row r="453">
      <c r="A453" s="11" t="inlineStr">
        <is>
          <t>ALL-0452</t>
        </is>
      </c>
      <c r="B453" s="11" t="inlineStr">
        <is>
          <t>Web Articles</t>
        </is>
      </c>
      <c r="C453" s="12" t="n"/>
      <c r="D453" s="11" t="n"/>
      <c r="E453" s="13" t="inlineStr">
        <is>
          <t>Cankilian Thoppu</t>
        </is>
      </c>
      <c r="F453" s="13" t="inlineStr">
        <is>
          <t>Wikipedia contributors</t>
        </is>
      </c>
      <c r="G453" s="13" t="inlineStr">
        <is>
          <t>Wikipedia (en)</t>
        </is>
      </c>
      <c r="H453" s="11" t="inlineStr">
        <is>
          <t>Encyclopedia article</t>
        </is>
      </c>
      <c r="I453" s="11" t="inlineStr">
        <is>
          <t>English</t>
        </is>
      </c>
      <c r="J453" s="13" t="n"/>
      <c r="K453" s="13" t="n"/>
      <c r="L453" s="11" t="inlineStr">
        <is>
          <t>Unknown</t>
        </is>
      </c>
      <c r="M453" s="13" t="inlineStr">
        <is>
          <t>Date = page creation. Auto-collected 2026-10-14 (wikipedia); review.</t>
        </is>
      </c>
      <c r="N453" s="14" t="inlineStr">
        <is>
          <t>https://en.wikipedia.org/wiki/Cankilian_Thoppu</t>
        </is>
      </c>
    </row>
    <row r="454">
      <c r="A454" s="7" t="inlineStr">
        <is>
          <t>ALL-0453</t>
        </is>
      </c>
      <c r="B454" s="7" t="inlineStr">
        <is>
          <t>Web Articles</t>
        </is>
      </c>
      <c r="C454" s="8" t="n"/>
      <c r="D454" s="7" t="n"/>
      <c r="E454" s="9" t="inlineStr">
        <is>
          <t>List of Archaeological Protected Monuments in Jaffna District</t>
        </is>
      </c>
      <c r="F454" s="9" t="inlineStr">
        <is>
          <t>Wikipedia contributors</t>
        </is>
      </c>
      <c r="G454" s="9" t="inlineStr">
        <is>
          <t>Wikipedia (en)</t>
        </is>
      </c>
      <c r="H454" s="7" t="inlineStr">
        <is>
          <t>Encyclopedia article</t>
        </is>
      </c>
      <c r="I454" s="7" t="inlineStr">
        <is>
          <t>English</t>
        </is>
      </c>
      <c r="J454" s="9" t="inlineStr">
        <is>
          <t>Archaeology / தொல்லியல்</t>
        </is>
      </c>
      <c r="K454" s="9" t="inlineStr">
        <is>
          <t>archaeological</t>
        </is>
      </c>
      <c r="L454" s="7" t="inlineStr">
        <is>
          <t>Unknown</t>
        </is>
      </c>
      <c r="M454" s="9" t="inlineStr">
        <is>
          <t>Date = page creation. Auto-collected 2026-10-14 (wikipedia); review.</t>
        </is>
      </c>
      <c r="N454" s="10" t="inlineStr">
        <is>
          <t>https://en.wikipedia.org/wiki/List_of_Archaeological_Protected_Monuments_in_Jaffna_District</t>
        </is>
      </c>
    </row>
    <row r="455">
      <c r="A455" s="11" t="inlineStr">
        <is>
          <t>ALL-0454</t>
        </is>
      </c>
      <c r="B455" s="11" t="inlineStr">
        <is>
          <t>Web Articles</t>
        </is>
      </c>
      <c r="C455" s="12" t="n"/>
      <c r="D455" s="11" t="n"/>
      <c r="E455" s="13" t="inlineStr">
        <is>
          <t>Manniththalai Sand Bar Ancient Settlement and Archaeological Sites</t>
        </is>
      </c>
      <c r="F455" s="13" t="n"/>
      <c r="G455" s="13" t="inlineStr">
        <is>
          <t>AmazingLanka.com</t>
        </is>
      </c>
      <c r="H455" s="11" t="inlineStr">
        <is>
          <t>Web article</t>
        </is>
      </c>
      <c r="I455" s="11" t="inlineStr">
        <is>
          <t>English</t>
        </is>
      </c>
      <c r="J455" s="13" t="inlineStr">
        <is>
          <t>Archaeology / தொல்லியல்</t>
        </is>
      </c>
      <c r="K455" s="13" t="inlineStr">
        <is>
          <t>தொல்லியல்; settlement</t>
        </is>
      </c>
      <c r="L455" s="11" t="inlineStr">
        <is>
          <t>Unknown</t>
        </is>
      </c>
      <c r="M455" s="13" t="n"/>
      <c r="N455" s="14" t="inlineStr">
        <is>
          <t>https://amazinglanka.com/wp/manniththalai-settlements/</t>
        </is>
      </c>
    </row>
    <row r="456">
      <c r="A456" s="7" t="inlineStr">
        <is>
          <t>ALL-0455</t>
        </is>
      </c>
      <c r="B456" s="7" t="inlineStr">
        <is>
          <t>Web Articles</t>
        </is>
      </c>
      <c r="C456" s="8" t="n"/>
      <c r="D456" s="7" t="n"/>
      <c r="E456" s="9" t="inlineStr">
        <is>
          <t>Sources of ancient Tamil history</t>
        </is>
      </c>
      <c r="F456" s="9" t="inlineStr">
        <is>
          <t>Wikipedia contributors</t>
        </is>
      </c>
      <c r="G456" s="9" t="inlineStr">
        <is>
          <t>Wikipedia (en)</t>
        </is>
      </c>
      <c r="H456" s="7" t="inlineStr">
        <is>
          <t>Encyclopedia article</t>
        </is>
      </c>
      <c r="I456" s="7" t="inlineStr">
        <is>
          <t>English</t>
        </is>
      </c>
      <c r="J456" s="9" t="n"/>
      <c r="K456" s="9" t="n"/>
      <c r="L456" s="7" t="inlineStr">
        <is>
          <t>Unknown</t>
        </is>
      </c>
      <c r="M456" s="9" t="inlineStr">
        <is>
          <t>Date = page creation. Auto-collected 2026-10-14 (wikipedia); review.</t>
        </is>
      </c>
      <c r="N456" s="10" t="inlineStr">
        <is>
          <t>https://en.wikipedia.org/wiki/Sources_of_ancient_Tamil_history</t>
        </is>
      </c>
    </row>
    <row r="457">
      <c r="A457" s="11" t="inlineStr">
        <is>
          <t>ALL-0456</t>
        </is>
      </c>
      <c r="B457" s="11" t="inlineStr">
        <is>
          <t>Web Articles</t>
        </is>
      </c>
      <c r="C457" s="12" t="n"/>
      <c r="D457" s="11" t="n"/>
      <c r="E457" s="13" t="inlineStr">
        <is>
          <t>Vallipuram</t>
        </is>
      </c>
      <c r="F457" s="13" t="inlineStr">
        <is>
          <t>Wikipedia contributors</t>
        </is>
      </c>
      <c r="G457" s="13" t="inlineStr">
        <is>
          <t>Wikipedia (en)</t>
        </is>
      </c>
      <c r="H457" s="11" t="inlineStr">
        <is>
          <t>Encyclopedia article</t>
        </is>
      </c>
      <c r="I457" s="11" t="inlineStr">
        <is>
          <t>English</t>
        </is>
      </c>
      <c r="J457" s="13" t="n"/>
      <c r="K457" s="13" t="n"/>
      <c r="L457" s="11" t="inlineStr">
        <is>
          <t>Unknown</t>
        </is>
      </c>
      <c r="M457" s="13" t="inlineStr">
        <is>
          <t>Date = page creation. Auto-collected 2026-10-14 (wikipedia); review.</t>
        </is>
      </c>
      <c r="N457" s="14" t="inlineStr">
        <is>
          <t>https://en.wikipedia.org/wiki/Vallipuram</t>
        </is>
      </c>
    </row>
    <row r="458">
      <c r="A458" s="7" t="inlineStr">
        <is>
          <t>ALL-0457</t>
        </is>
      </c>
      <c r="B458" s="7" t="inlineStr">
        <is>
          <t>Web Articles</t>
        </is>
      </c>
      <c r="C458" s="8" t="n"/>
      <c r="D458" s="7" t="n"/>
      <c r="E458" s="9" t="inlineStr">
        <is>
          <t>Vanni Bandara Stone Memorial in Oddusuddan: A Legacy of Resistance</t>
        </is>
      </c>
      <c r="F458" s="9" t="n"/>
      <c r="G458" s="9" t="inlineStr">
        <is>
          <t>AmazingLanka.com</t>
        </is>
      </c>
      <c r="H458" s="7" t="inlineStr">
        <is>
          <t>Web article</t>
        </is>
      </c>
      <c r="I458" s="7" t="inlineStr">
        <is>
          <t>English</t>
        </is>
      </c>
      <c r="J458" s="9" t="inlineStr">
        <is>
          <t>Hero stones / நடுகல்</t>
        </is>
      </c>
      <c r="K458" s="9" t="inlineStr">
        <is>
          <t>memorial stone; Vanni</t>
        </is>
      </c>
      <c r="L458" s="7" t="inlineStr">
        <is>
          <t>Unknown</t>
        </is>
      </c>
      <c r="M458" s="9" t="n"/>
      <c r="N458" s="10" t="inlineStr">
        <is>
          <t>https://amazinglanka.com/wp/vanni-bandara-en/</t>
        </is>
      </c>
    </row>
    <row r="459">
      <c r="A459" s="11" t="inlineStr">
        <is>
          <t>ALL-0458</t>
        </is>
      </c>
      <c r="B459" s="11" t="inlineStr">
        <is>
          <t>Web Articles</t>
        </is>
      </c>
      <c r="C459" s="12" t="n"/>
      <c r="D459" s="11" t="n"/>
      <c r="E459" s="13" t="inlineStr">
        <is>
          <t>அனுராதபுரம் நான்கு நாட்டார் கல்வெட்டு</t>
        </is>
      </c>
      <c r="F459" s="13" t="inlineStr">
        <is>
          <t>Wikipedia contributors</t>
        </is>
      </c>
      <c r="G459" s="13" t="inlineStr">
        <is>
          <t>Wikipedia (ta)</t>
        </is>
      </c>
      <c r="H459" s="11" t="inlineStr">
        <is>
          <t>Encyclopedia article</t>
        </is>
      </c>
      <c r="I459" s="11" t="inlineStr">
        <is>
          <t>Tamil</t>
        </is>
      </c>
      <c r="J459" s="13" t="inlineStr">
        <is>
          <t>Inscriptions / கல்வெட்டு</t>
        </is>
      </c>
      <c r="K459" s="13" t="inlineStr">
        <is>
          <t>கல்வெட்டு</t>
        </is>
      </c>
      <c r="L459" s="11" t="inlineStr">
        <is>
          <t>Unknown</t>
        </is>
      </c>
      <c r="M459" s="13" t="inlineStr">
        <is>
          <t>Date = page creation. Auto-collected 2026-10-14 (wikipedia); review.</t>
        </is>
      </c>
      <c r="N459" s="14" t="inlineStr">
        <is>
          <t>https://ta.wikipedia.org/wiki/%E0%AE%85%E0%AE%A9%E0%AF%81%E0%AE%B0%E0%AE%BE%E0%AE%A4%E0%AE%AA%E0%AF%81%E0%AE%B0%E0%AE%AE%E0%AF%8D_%E0%AE%A8%E0%AE%BE%E0%AE%A9%E0%AF%8D%E0%AE%95%E0%AF%81_%E0%AE%A8%E0%AE%BE%E0%AE%9F%E0%AF%8D%E0%AE%9F%E0%AE%BE%E0%AE%B0%E0%AF%8D_%E0%AE%95%E0%AE%B2%E0%AF%8D%E0%AE%B5%E0%AF%86%E0%AE%9F%E0%AF%8D%E0%AE%9F%E0%AF%81</t>
        </is>
      </c>
    </row>
    <row r="460">
      <c r="A460" s="7" t="inlineStr">
        <is>
          <t>ALL-0459</t>
        </is>
      </c>
      <c r="B460" s="7" t="inlineStr">
        <is>
          <t>Web Articles</t>
        </is>
      </c>
      <c r="C460" s="8" t="n"/>
      <c r="D460" s="7" t="n"/>
      <c r="E460" s="9" t="inlineStr">
        <is>
          <t>கோப்பாய் சங்கிலியன் கோட்டை</t>
        </is>
      </c>
      <c r="F460" s="9" t="inlineStr">
        <is>
          <t>Wikipedia contributors</t>
        </is>
      </c>
      <c r="G460" s="9" t="inlineStr">
        <is>
          <t>Wikipedia (ta)</t>
        </is>
      </c>
      <c r="H460" s="7" t="inlineStr">
        <is>
          <t>Encyclopedia article</t>
        </is>
      </c>
      <c r="I460" s="7" t="inlineStr">
        <is>
          <t>Tamil</t>
        </is>
      </c>
      <c r="J460" s="9" t="n"/>
      <c r="K460" s="9" t="n"/>
      <c r="L460" s="7" t="inlineStr">
        <is>
          <t>Unknown</t>
        </is>
      </c>
      <c r="M460" s="9" t="inlineStr">
        <is>
          <t>Date = page creation. Auto-collected 2026-10-14 (wikipedia); review.</t>
        </is>
      </c>
      <c r="N460" s="10" t="inlineStr">
        <is>
          <t>https://ta.wikipedia.org/wiki/%E0%AE%95%E0%AF%8B%E0%AE%AA%E0%AF%8D%E0%AE%AA%E0%AE%BE%E0%AE%AF%E0%AF%8D_%E0%AE%9A%E0%AE%99%E0%AF%8D%E0%AE%95%E0%AE%BF%E0%AE%B2%E0%AE%BF%E0%AE%AF%E0%AE%A9%E0%AF%8D_%E0%AE%95%E0%AF%8B%E0%AE%9F%E0%AF%8D%E0%AE%9F%E0%AF%88</t>
        </is>
      </c>
    </row>
    <row r="461">
      <c r="A461" s="11" t="inlineStr">
        <is>
          <t>ALL-0460</t>
        </is>
      </c>
      <c r="B461" s="11" t="inlineStr">
        <is>
          <t>Web Articles</t>
        </is>
      </c>
      <c r="C461" s="12" t="n"/>
      <c r="D461" s="11" t="n"/>
      <c r="E461" s="13" t="inlineStr">
        <is>
          <t>தமிழ்க் கல்வெட்டுகள்</t>
        </is>
      </c>
      <c r="F461" s="13" t="inlineStr">
        <is>
          <t>Wikipedia contributors</t>
        </is>
      </c>
      <c r="G461" s="13" t="inlineStr">
        <is>
          <t>Wikipedia (ta)</t>
        </is>
      </c>
      <c r="H461" s="11" t="inlineStr">
        <is>
          <t>Encyclopedia article</t>
        </is>
      </c>
      <c r="I461" s="11" t="inlineStr">
        <is>
          <t>Tamil</t>
        </is>
      </c>
      <c r="J461" s="13" t="inlineStr">
        <is>
          <t>Inscriptions / கல்வெட்டு</t>
        </is>
      </c>
      <c r="K461" s="13" t="inlineStr">
        <is>
          <t>கல்வெட்டு; கல்வெட்டுகள்</t>
        </is>
      </c>
      <c r="L461" s="11" t="inlineStr">
        <is>
          <t>Unknown</t>
        </is>
      </c>
      <c r="M461" s="13" t="inlineStr">
        <is>
          <t>Date = page creation. Auto-collected 2026-10-14 (wikipedia); review.</t>
        </is>
      </c>
      <c r="N461" s="14" t="inlineStr">
        <is>
          <t>https://ta.wikipedia.org/wiki/%E0%AE%A4%E0%AE%AE%E0%AE%BF%E0%AE%B4%E0%AF%8D%E0%AE%95%E0%AF%8D_%E0%AE%95%E0%AE%B2%E0%AF%8D%E0%AE%B5%E0%AF%86%E0%AE%9F%E0%AF%8D%E0%AE%9F%E0%AF%81%E0%AE%95%E0%AE%B3%E0%AF%8D</t>
        </is>
      </c>
    </row>
    <row r="462">
      <c r="A462" s="7" t="inlineStr">
        <is>
          <t>ALL-0461</t>
        </is>
      </c>
      <c r="B462" s="7" t="inlineStr">
        <is>
          <t>Web Articles</t>
        </is>
      </c>
      <c r="C462" s="8" t="n"/>
      <c r="D462" s="7" t="n"/>
      <c r="E462" s="9" t="inlineStr">
        <is>
          <t>தம்பிலுவில் கல்வெட்டு</t>
        </is>
      </c>
      <c r="F462" s="9" t="inlineStr">
        <is>
          <t>Wikipedia contributors</t>
        </is>
      </c>
      <c r="G462" s="9" t="inlineStr">
        <is>
          <t>Wikipedia (ta)</t>
        </is>
      </c>
      <c r="H462" s="7" t="inlineStr">
        <is>
          <t>Encyclopedia article</t>
        </is>
      </c>
      <c r="I462" s="7" t="inlineStr">
        <is>
          <t>Tamil</t>
        </is>
      </c>
      <c r="J462" s="9" t="inlineStr">
        <is>
          <t>Inscriptions / கல்வெட்டு</t>
        </is>
      </c>
      <c r="K462" s="9" t="inlineStr">
        <is>
          <t>கல்வெட்டு</t>
        </is>
      </c>
      <c r="L462" s="7" t="inlineStr">
        <is>
          <t>Unknown</t>
        </is>
      </c>
      <c r="M462" s="9" t="inlineStr">
        <is>
          <t>Date = page creation. Auto-collected 2026-10-14 (wikipedia); review.</t>
        </is>
      </c>
      <c r="N462" s="10" t="inlineStr">
        <is>
          <t>https://ta.wikipedia.org/wiki/%E0%AE%A4%E0%AE%AE%E0%AF%8D%E0%AE%AA%E0%AE%BF%E0%AE%B2%E0%AF%81%E0%AE%B5%E0%AE%BF%E0%AE%B2%E0%AF%8D_%E0%AE%95%E0%AE%B2%E0%AF%8D%E0%AE%B5%E0%AF%86%E0%AE%9F%E0%AF%8D%E0%AE%9F%E0%AF%81</t>
        </is>
      </c>
    </row>
    <row r="463">
      <c r="A463" s="11" t="inlineStr">
        <is>
          <t>ALL-0462</t>
        </is>
      </c>
      <c r="B463" s="11" t="inlineStr">
        <is>
          <t>Web Articles</t>
        </is>
      </c>
      <c r="C463" s="12" t="n"/>
      <c r="D463" s="11" t="n"/>
      <c r="E463" s="13" t="inlineStr">
        <is>
          <t>யாழ்ப்பாண இராச்சியம் - Tamil Heritage</t>
        </is>
      </c>
      <c r="F463" s="13" t="n"/>
      <c r="G463" s="13" t="inlineStr">
        <is>
          <t>telibrary.com</t>
        </is>
      </c>
      <c r="H463" s="11" t="inlineStr">
        <is>
          <t>Web page</t>
        </is>
      </c>
      <c r="I463" s="11" t="inlineStr">
        <is>
          <t>Tamil</t>
        </is>
      </c>
      <c r="J463" s="13" t="inlineStr">
        <is>
          <t>Archaeology / தொல்லியல்</t>
        </is>
      </c>
      <c r="K463" s="13" t="n"/>
      <c r="L463" s="11" t="inlineStr">
        <is>
          <t>Unknown</t>
        </is>
      </c>
      <c r="M463" s="13" t="inlineStr">
        <is>
          <t>Web search: யாழ்ப்பாணம் தொல்லியல். Auto-collected 2026-10-14 (ddg); review.</t>
        </is>
      </c>
      <c r="N463" s="14" t="inlineStr">
        <is>
          <t>https://telibrary.com/category/history/%E0%AE%AF%E0%AE%BE%E0%AE%B4%E0%AF%8D%E0%AE%AA%E0%AF%8D%E0%AE%AA%E0%AE%BE%E0%AE%A3-%E0%AE%87%E0%AE%B0%E0%AE%BE%E0%AE%9A%E0%AF%8D%E0%AE%9A%E0%AE%BF%E0%AE%AF%E0%AE%AE%E0%AF%8D/</t>
        </is>
      </c>
    </row>
    <row r="464">
      <c r="A464" s="7" t="inlineStr">
        <is>
          <t>ALL-0463</t>
        </is>
      </c>
      <c r="B464" s="7" t="inlineStr">
        <is>
          <t>Web Articles</t>
        </is>
      </c>
      <c r="C464" s="8" t="n"/>
      <c r="D464" s="7" t="n"/>
      <c r="E464" s="9" t="inlineStr">
        <is>
          <t>யாழ்ப்பாண வரலாறு - யாழ்ப்பாணப் பெட்டகம்</t>
        </is>
      </c>
      <c r="F464" s="9" t="n"/>
      <c r="G464" s="9" t="inlineStr">
        <is>
          <t>treasurehouseofjaffna.com</t>
        </is>
      </c>
      <c r="H464" s="7" t="inlineStr">
        <is>
          <t>Web page</t>
        </is>
      </c>
      <c r="I464" s="7" t="inlineStr">
        <is>
          <t>Tamil</t>
        </is>
      </c>
      <c r="J464" s="9" t="n"/>
      <c r="K464" s="9" t="n"/>
      <c r="L464" s="7" t="inlineStr">
        <is>
          <t>Unknown</t>
        </is>
      </c>
      <c r="M464" s="9" t="inlineStr">
        <is>
          <t>Web search: யாழ்ப்பாணம் தொல்லியல். Auto-collected 2026-10-14 (ddg); review.</t>
        </is>
      </c>
      <c r="N464" s="10" t="inlineStr">
        <is>
          <t>https://treasurehouseofjaffna.com/%E0%AE%AF%E0%AE%BE%E0%AE%B4%E0%AF%8D%E0%AE%AA%E0%AF%8D%E0%AE%AA%E0%AE%BE%E0%AE%A3-%E0%AE%B5%E0%AE%B0%E0%AE%B2%E0%AE%BE%E0%AE%B1%E0%AF%81/</t>
        </is>
      </c>
    </row>
    <row r="465">
      <c r="A465" s="11" t="inlineStr">
        <is>
          <t>ALL-0464</t>
        </is>
      </c>
      <c r="B465" s="11" t="inlineStr">
        <is>
          <t>Web Articles</t>
        </is>
      </c>
      <c r="C465" s="12" t="n"/>
      <c r="D465" s="11" t="n"/>
      <c r="E465" s="13" t="inlineStr">
        <is>
          <t>யாழ்ப்பாணம் ஆனைக்கோட்டை தொல்லியல் கண்காட்சி ஆரம்பம்!</t>
        </is>
      </c>
      <c r="F465" s="13" t="n"/>
      <c r="G465" s="13" t="inlineStr">
        <is>
          <t>shritharan.com</t>
        </is>
      </c>
      <c r="H465" s="11" t="inlineStr">
        <is>
          <t>Web page</t>
        </is>
      </c>
      <c r="I465" s="11" t="inlineStr">
        <is>
          <t>Tamil</t>
        </is>
      </c>
      <c r="J465" s="13" t="inlineStr">
        <is>
          <t>Archaeology / தொல்லியல்</t>
        </is>
      </c>
      <c r="K465" s="13" t="inlineStr">
        <is>
          <t>தொல்லியல்</t>
        </is>
      </c>
      <c r="L465" s="11" t="inlineStr">
        <is>
          <t>Unknown</t>
        </is>
      </c>
      <c r="M465" s="13" t="inlineStr">
        <is>
          <t>Web search: யாழ்ப்பாணம் தொல்லியல். Auto-collected 2026-10-14 (ddg); review.</t>
        </is>
      </c>
      <c r="N465" s="14" t="inlineStr">
        <is>
          <t>https://shritharan.com/parliamentary-work/%E0%AE%AF%E0%AE%BE%E0%AE%B4%E0%AF%8D%E0%AE%AA%E0%AF%8D%E0%AE%AA%E0%AE%BE%E0%AE%A3%E0%AE%AE%E0%AF%8D-%E0%AE%86%E0%AE%A9%E0%AF%88%E0%AE%95%E0%AF%8D%E0%AE%95%E0%AF%8B%E0%AE%9F%E0%AF%8D%E0%AE%9F%E0%AF%88/</t>
        </is>
      </c>
    </row>
  </sheetData>
  <autoFilter ref="A1:N46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8" customWidth="1" min="1" max="1"/>
    <col width="80" customWidth="1" min="2" max="2"/>
    <col width="50" customWidth="1" min="3" max="3"/>
  </cols>
  <sheetData>
    <row r="1">
      <c r="A1" s="15" t="inlineStr">
        <is>
          <t>Source</t>
        </is>
      </c>
      <c r="B1" s="15" t="inlineStr">
        <is>
          <t>What it contributed</t>
        </is>
      </c>
      <c r="C1" s="15" t="inlineStr">
        <is>
          <t>URL</t>
        </is>
      </c>
    </row>
    <row r="2">
      <c r="A2" s="16" t="inlineStr">
        <is>
          <t>Noolaham digital library</t>
        </is>
      </c>
      <c r="B2" s="17" t="inlineStr">
        <is>
          <t>Sri Lankan Tamil books, journals, newspapers (digitised)</t>
        </is>
      </c>
      <c r="C2" s="18" t="inlineStr">
        <is>
          <t>https://noolaham.org</t>
        </is>
      </c>
    </row>
    <row r="3">
      <c r="A3" s="16" t="inlineStr">
        <is>
          <t>Ezhuna (எழுநா)</t>
        </is>
      </c>
      <c r="B3" s="17" t="inlineStr">
        <is>
          <t>Serialised Tamil articles on Brahmi inscriptions, Naga inscriptions, Kantarodai archaeology, East coast history</t>
        </is>
      </c>
      <c r="C3" s="18" t="inlineStr">
        <is>
          <t>https://www.ezhunaonline.com</t>
        </is>
      </c>
    </row>
    <row r="4">
      <c r="A4" s="16" t="inlineStr">
        <is>
          <t>University of Jaffna - Dept. of History staff pages</t>
        </is>
      </c>
      <c r="B4" s="17" t="inlineStr">
        <is>
          <t>Publication lists of archaeology/epigraphy staff</t>
        </is>
      </c>
      <c r="C4" s="18" t="inlineStr">
        <is>
          <t>https://www.his.jfn.ac.lk</t>
        </is>
      </c>
    </row>
    <row r="5">
      <c r="A5" s="16" t="inlineStr">
        <is>
          <t>University of Jaffna - Prof. S. Pathmanathan page</t>
        </is>
      </c>
      <c r="B5" s="17" t="inlineStr">
        <is>
          <t>Inscription books and papers</t>
        </is>
      </c>
      <c r="C5" s="18" t="inlineStr">
        <is>
          <t>https://jfn.ac.lk/prof-s-pathmanathan/</t>
        </is>
      </c>
    </row>
    <row r="6">
      <c r="A6" s="16" t="inlineStr">
        <is>
          <t>University repositories (Jaffna, Peradeniya, SEUSL, Kelaniya)</t>
        </is>
      </c>
      <c r="B6" s="17" t="inlineStr">
        <is>
          <t>Theses, journal articles, conference papers</t>
        </is>
      </c>
      <c r="C6" s="18" t="inlineStr">
        <is>
          <t>https://rer.jfn.ac.lk</t>
        </is>
      </c>
    </row>
    <row r="7">
      <c r="A7" s="16" t="inlineStr">
        <is>
          <t>TamilNet / Tamil Guardian</t>
        </is>
      </c>
      <c r="B7" s="17" t="inlineStr">
        <is>
          <t>English news on finds and debates</t>
        </is>
      </c>
      <c r="C7" s="18" t="inlineStr">
        <is>
          <t>https://www.tamilnet.com</t>
        </is>
      </c>
    </row>
    <row r="8">
      <c r="A8" s="16" t="inlineStr">
        <is>
          <t>Virakesari, Thinakkural, Tamil Mirror, Thinakaran, Tamilwin, IBC Tamil</t>
        </is>
      </c>
      <c r="B8" s="17" t="inlineStr">
        <is>
          <t>Tamil newspaper reports and features</t>
        </is>
      </c>
      <c r="C8" s="18" t="inlineStr">
        <is>
          <t>https://www.virakesari.lk</t>
        </is>
      </c>
    </row>
    <row r="9">
      <c r="A9" s="16" t="inlineStr">
        <is>
          <t>Sunday Times, Sunday Observer, Daily News, The Island, Colombo Telegraph</t>
        </is>
      </c>
      <c r="B9" s="17" t="inlineStr">
        <is>
          <t>English newspaper features and opinion</t>
        </is>
      </c>
      <c r="C9" s="18" t="inlineStr">
        <is>
          <t>https://www.sundaytimes.lk</t>
        </is>
      </c>
    </row>
    <row r="10">
      <c r="A10" s="16" t="inlineStr">
        <is>
          <t>Lanka Pradeepa list of Tamil inscriptions</t>
        </is>
      </c>
      <c r="B10" s="17" t="inlineStr">
        <is>
          <t>27-item reference list of Tamil inscription publications</t>
        </is>
      </c>
      <c r="C10" s="18" t="inlineStr">
        <is>
          <t>https://www.lankapradeepa.com/2020/04/tamil-inscriptions-in-sri-lanka_16.html</t>
        </is>
      </c>
    </row>
    <row r="11">
      <c r="A11" s="16" t="n"/>
      <c r="B11" s="17" t="n"/>
      <c r="C11" s="17" t="n"/>
    </row>
    <row r="12">
      <c r="A12" s="16" t="inlineStr">
        <is>
          <t>Method</t>
        </is>
      </c>
      <c r="B12" s="17" t="inlineStr">
        <is>
          <t>Searched Tamil and English keywords (கல்வெட்டு, கல்வெட்டுகள், தமிழ், தொல்லியல், நடுகல், பாறை ஓவியம், inscription, Brahmi, epigraphy, hero stone, rock art, coins), opened catalogue and listing pages, recorded bibliographic details, then removed duplicates.</t>
        </is>
      </c>
      <c r="C12" s="17" t="n"/>
    </row>
    <row r="13">
      <c r="A13" s="16" t="inlineStr">
        <is>
          <t>Verification</t>
        </is>
      </c>
      <c r="B13" s="17" t="inlineStr">
        <is>
          <t>Rows whose Notes say 'to verify' have a missing or unconfirmed year, author or title; open the URL to confirm.</t>
        </is>
      </c>
      <c r="C13" s="17" t="n"/>
    </row>
    <row r="14">
      <c r="A14" s="16" t="inlineStr">
        <is>
          <t>Updates</t>
        </is>
      </c>
      <c r="B14" s="17" t="inlineStr">
        <is>
          <t>The GitHub repository runs a daily scraper (news, web pages, Wikipedia, Ezhuna, OpenAlex, Crossref) that appends new items to data/raw/auto_*.tsv and rebuilds this workbook. A one-time backfill searched each year from 1996.</t>
        </is>
      </c>
      <c r="C14" s="17"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2026-10-14T09:02:29Z</dcterms:created>
  <dcterms:modified xsi:type="dcterms:W3CDTF">2026-10-14T09:02:29Z</dcterms:modified>
</cp:coreProperties>
</file>